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5"/>
    <sheet state="visible" name="Main CEA" sheetId="2" r:id="rId6"/>
    <sheet state="visible" name="Counterfactual malaria" sheetId="3" r:id="rId7"/>
    <sheet state="visible" name="LeverageFunging" sheetId="4" r:id="rId8"/>
    <sheet state="visible" name="Inputs" sheetId="5" r:id="rId9"/>
    <sheet state="visible" name="GBD estimates" sheetId="6" r:id="rId10"/>
    <sheet state="visible" name="Simple CEA" sheetId="7" r:id="rId11"/>
    <sheet state="visible" name="Confidence intervals" sheetId="8" r:id="rId12"/>
    <sheet state="visible" name="Sensitivity analysis"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33">
      <text>
        <t xml:space="preserve">Read about our benchmark here: https://www.givewell.org/how-we-work/our-criteria/cost-effectiveness/cost-effectiveness-models
See the calculation behind this value here: https://docs.google.com/spreadsheets/d/1o0l0xucYBa8rjVKwDHh_K5PZTN6GeoenaKz77bTMXa4/edit?gid=1110574950#gid=1110574950&amp;range=B11</t>
      </text>
    </comment>
    <comment authorId="0" ref="E212">
      <text>
        <t xml:space="preserve">This value represents the average amount of grantee spending that we expect would save the life of a person who would otherwise have died in the absence of that spending.
This value includes lives saved across all age groups and incorporates our best guesses about the impact of a grantee's spending on the spending decisions of other funders (see the "Leverage/Funging" sheet for more detail).</t>
      </text>
    </comment>
    <comment authorId="0" ref="E25">
      <text>
        <t xml:space="preserve">Upstream costs cause downstream costs.</t>
      </text>
    </comment>
    <comment authorId="0" ref="E24">
      <text>
        <t xml:space="preserve">Upstream costs cause downstream costs.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7">
      <text>
        <t xml:space="preserve">We make the simplifying assumption that deaths are spread evenly across each month from 1 to 11 months old. </t>
      </text>
    </comment>
    <comment authorId="0" ref="E16">
      <text>
        <t xml:space="preserve">We make the simplifying assumption that deaths are spread evenly across each month from 1 to 11 months old. </t>
      </text>
    </comment>
    <comment authorId="0" ref="E27">
      <text>
        <t xml:space="preserve">We don't know the population size for 3-59 month olds, so we estimate it based on 
the under-5 malaria mortality rate. 
The GBD defines the under-5 malaria mortality rate as the ratio of the number of annual under-5 deaths from malaria to the mid-year under-5 population divided by 100,000. We use this information to back out the the mid-year under-5 population, and then make the simplifying assumption that the population size is equal across monthly age brackets from 0 to 59 months to estimate the population of 3-59 month olds. </t>
      </text>
    </comment>
    <comment authorId="0" ref="E26">
      <text>
        <t xml:space="preserve">We make the simplifying assumption that population is spread evenly across monthly age brackets.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85">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 authorId="0" ref="A59">
      <text>
        <t xml:space="preserve">Our leverage and funging calculations aim to incorporate into our cost-effectiveness estimates the possibility that GiveWell's spending on a program could cause other potential funders to behave differently than they would have otherwise. "Leverage" refers to the possibility that GiveWell spending could cause other funders to contribute more to the program, while "Funging" refers to the risk that GiveWell spending could cause other funders to contribute less.
Each of the scenarios listed below represents one hypothetical version of what might happen to the grantee program if GiveWell didn't provide funding. We call these "counterfactual scenarios." Each counterfactual scenario implies something different about the true impact of GiveWell's funding on the grantee program. If, for example, we believed that domestic governments would have funded the program if GiveWell didn't (Scenario 1), then the actual effect of GiveWell's funding would be to shift government spending away from the grantee program into some other program. In that case, the true impact of the program would be the the value generated by shifting government spending into whatever programs the government spending would fund instead. 
We think some counterfactual scenarios are more likely than others, so we estimate the effect of leverage and funging on the cost-effectiveness of the program using an expected value calculation, putting weight on each counterfactual scenario proportional to how likely we think each is.</t>
      </text>
    </comment>
    <comment authorId="0" ref="E95">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 authorId="0" ref="E25">
      <text>
        <t xml:space="preserve">Upstream costs cause downstream costs.</t>
      </text>
    </comment>
    <comment authorId="0" ref="E24">
      <text>
        <t xml:space="preserve">Upstream costs cause downstream costs.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4 SMC cycles are delivered in Bauchi, Nigeria. See the title header of Table 13 in Malaria Consortium's 2021 coverage survey report, pg 35:
"Table 13: Proportions of households with eligible children visited by a community distributor by Nigerian state and survey (states with four cycles)"
https://files.givewell.org/files/DWDA%202009/Malaria%20Consortium/Malaria_Consortium_2021_SMC_coverage_report_Burkina_Faso_Chad_Mozambique_Nigeria_Togo_and_Uganda.pdf</t>
      </text>
    </comment>
    <comment authorId="0" ref="L108">
      <text>
        <t xml:space="preserve">This column estimates cost-effectiveness in a specific province, so an additional adjustment for marginal funding going to lower-priority areas within a country is not necessary.</t>
      </text>
    </comment>
    <comment authorId="0" ref="R17">
      <text>
        <t xml:space="preserve">We expect Malaria Consortium will support 5 cycles of SMC in FCT, Nigeria.</t>
      </text>
    </comment>
    <comment authorId="0" ref="Z25">
      <text>
        <t xml:space="preserve">https://docs.google.com/spreadsheets/d/1f6TlKJwK5EdciP_cEitTJMZ8Ba3HwGQrXvgdPMLfrlA/edit#gid=112866468</t>
      </text>
    </comment>
    <comment authorId="0" ref="M108">
      <text>
        <t xml:space="preserve">This column estimates cost-effectiveness in a specific province, so an additional adjustment for marginal funding going to lower-priority areas within a country is not necessary.</t>
      </text>
    </comment>
    <comment authorId="0" ref="S17">
      <text>
        <t xml:space="preserve">4 SMC cycles are delivered in Bauchi, Nigeria. See the title header of Table 13 in Malaria Consortium's 2021 coverage survey report, pg 35:
"Table 13: Proportions of households with eligible children visited by a community distributor by Nigerian state and survey (states with four cycles)"
https://files.givewell.org/files/DWDA%202009/Malaria%20Consortium/Malaria_Consortium_2021_SMC_coverage_report_Burkina_Faso_Chad_Mozambique_Nigeria_Togo_and_Uganda.pdf</t>
      </text>
    </comment>
    <comment authorId="0" ref="E67">
      <text>
        <t xml:space="preserve">For consistency, we use the same figure here as for deworming. We repeat the cell note from our deworming cost-effectiveness analysis:
"The follow-ups to Miguel and Kremer 2004 suggest that childhood deworming causes individuals to earn more as young adults. If this effect on income is real, we expect that it will persist throughout an individual's career. Our best guess is that, on average, individuals will work for about 40 years. However, we have not prioritized substantial research into the appropriate value for this parameter."</t>
      </text>
    </comment>
    <comment authorId="0" ref="N108">
      <text>
        <t xml:space="preserve">This column estimates cost-effectiveness in a specific province, so an additional adjustment for marginal funding going to lower-priority areas within a country is not necessary.</t>
      </text>
    </comment>
    <comment authorId="0" ref="T17">
      <text>
        <t xml:space="preserve">5 SMC cycles are delivered in Kogi, Nigeria. See the title header of Table 12 in Malaria Consortium's 2021 coverage survey report, pg 34:
"Table 12: Proportions of households with eligible children visited by a community distributor by Nigerian state and
survey (states with five cycles)"
https://files.givewell.org/files/DWDA%202009/Malaria%20Consortium/Malaria_Consortium_2021_SMC_coverage_report_Burkina_Faso_Chad_Mozambique_Nigeria_Togo_and_Uganda.pdf</t>
      </text>
    </comment>
    <comment authorId="0" ref="AB25">
      <text>
        <t xml:space="preserve">See GBD estimates tab</t>
      </text>
    </comment>
    <comment authorId="0" ref="O108">
      <text>
        <t xml:space="preserve">This column estimates cost-effectiveness in a specific state, so an additional adjustment for marginal funding going to lower-priority areas within a country is not necessary.</t>
      </text>
    </comment>
    <comment authorId="0" ref="U17">
      <text>
        <t xml:space="preserve">5 SMC cycles are delivered in Kogi, Nigeria. See the title header of Table 12 in Malaria Consortium's 2021 coverage survey report, pg 34:
"Table 12: Proportions of households with eligible children visited by a community distributor by Nigerian state and
survey (states with five cycles)"
https://files.givewell.org/files/DWDA%202009/Malaria%20Consortium/Malaria_Consortium_2021_SMC_coverage_report_Burkina_Faso_Chad_Mozambique_Nigeria_Togo_and_Uganda.pdf</t>
      </text>
    </comment>
    <comment authorId="0" ref="P108">
      <text>
        <t xml:space="preserve">GiveWell is the only major funder of SMC in this state. See map on P. 48 here:
 https://www.malariaconsortium.org/media-download-file/202305040928/2022smcphilanthropyreport.pdf</t>
      </text>
    </comment>
    <comment authorId="0" ref="V17">
      <text>
        <t xml:space="preserve">We expect Malaria Consortium will support 5 cycles of SMC in Oyo, Nigeria.</t>
      </text>
    </comment>
    <comment authorId="0" ref="Q108">
      <text>
        <t xml:space="preserve">GiveWell is the only major funder of SMC in this state. See map on P. 48 here:
 https://www.malariaconsortium.org/media-download-file/202305040928/2022smcphilanthropyreport.pdf</t>
      </text>
    </comment>
    <comment authorId="0" ref="W17">
      <text>
        <t xml:space="preserve">5 SMC cycles are delivered in Kogi, Nigeria. See the title header of Table 12 in Malaria Consortium's 2021 coverage survey report, pg 34:
"Table 12: Proportions of households with eligible children visited by a community distributor by Nigerian state and
survey (states with five cycles)"
https://files.givewell.org/files/DWDA%202009/Malaria%20Consortium/Malaria_Consortium_2021_SMC_coverage_report_Burkina_Faso_Chad_Mozambique_Nigeria_Togo_and_Uganda.pdf</t>
      </text>
    </comment>
    <comment authorId="0" ref="R108">
      <text>
        <t xml:space="preserve">GiveWell is the only major funder of SMC in this state. See map on P. 48 here:
 https://www.malariaconsortium.org/media-download-file/202305040928/2022smcphilanthropyreport.pdf</t>
      </text>
    </comment>
    <comment authorId="0" ref="X17">
      <text>
        <t xml:space="preserve">4 SMC cycles are delivered in Bauchi, Nigeria. See the title header of Table 13 in Malaria Consortium's 2021 coverage survey report, pg 35:
"Table 13: Proportions of households with eligible children visited by a community distributor by Nigerian state and survey (states with four cycles)"
https://files.givewell.org/files/DWDA%202009/Malaria%20Consortium/Malaria_Consortium_2021_SMC_coverage_report_Burkina_Faso_Chad_Mozambique_Nigeria_Togo_and_Uganda.pdf</t>
      </text>
    </comment>
    <comment authorId="0" ref="S108">
      <text>
        <t xml:space="preserve">GiveWell is the only major funder of SMC in this state. See map on P. 48 here:
 https://www.malariaconsortium.org/media-download-file/202305040928/2022smcphilanthropyreport.pdf</t>
      </text>
    </comment>
    <comment authorId="0" ref="T108">
      <text>
        <t xml:space="preserve">GiveWell is the only major funder of SMC in this state. See map on P. 48 here:
 https://www.malariaconsortium.org/media-download-file/202305040928/2022smcphilanthropyreport.pdf</t>
      </text>
    </comment>
    <comment authorId="0" ref="E92">
      <text>
        <t xml:space="preserve">Scenario: The monitoring results that we've received are partially or fully fabricated or significantly biased in some way we are unaware of, leading us to believe that results are better than they actually were.
We have conducted a relatively thorough review of Malaria Consortium's coverage surveys from recent years; we thus believe we have identified most major risks of bias. We have limited visibility into the quality of survey implementation due to data collectors' involvement in respondent selection and limited auditing data. In 2021, new auditing procedures were introduced in Nigeria post-cycle and post-round surveys and Mozambique and Uganda post-round surveys. We consider this an improvement in methodology; however, limited visibility into the auditing results led us to not change this adjustment. In some cases, results from post-cycle and post-round surveys for the same campaigns have been substantially different. See here for our review of monitoring results:
https://docs.google.com/spreadsheets/d/1WqNL0PEA4cT470ALp0nItEEU8gM_IlhVNIJK1GqnFVE/edit#gid=1817130439 </t>
      </text>
    </comment>
    <comment authorId="0" ref="U108">
      <text>
        <t xml:space="preserve">GiveWell is the only major funder of SMC in this state. See map on P. 48 here:
 https://www.malariaconsortium.org/media-download-file/202305040928/2022smcphilanthropyreport.pdf</t>
      </text>
    </comment>
    <comment authorId="0" ref="V108">
      <text>
        <t xml:space="preserve">GiveWell is the only major funder of SMC in this state. See map on P. 48 here:
 https://www.malariaconsortium.org/media-download-file/202305040928/2022smcphilanthropyreport.pdf</t>
      </text>
    </comment>
    <comment authorId="0" ref="W108">
      <text>
        <t xml:space="preserve">GiveWell is the only major funder of SMC in this state. See map on P. 48 here:
 https://www.malariaconsortium.org/media-download-file/202305040928/2022smcphilanthropyreport.pdf</t>
      </text>
    </comment>
    <comment authorId="0" ref="X108">
      <text>
        <t xml:space="preserve">GiveWell is the only major funder of SMC in this state. See map on P. 48 here:
 https://www.malariaconsortium.org/media-download-file/202305040928/2022smcphilanthropyreport.pdf</t>
      </text>
    </comment>
    <comment authorId="0" ref="Y108">
      <text>
        <t xml:space="preserve">While SMC in Togo was fully funded in 2020 and 2021, the national malaria program in Togo has a history of choosing to implement fewer SMC cycles across all eligible areas rather than prioritizing higher-risk areas when faced with underfunding. See https://files.givewell.org/files/DWDA%202009/Malaria%20Consortium/Malaria_Consortium_seasonal_malaria_chemoprevention_program_Philanthropy_report_2021.pdf, page 36. This leads us to believe that the national malaria program in Togo would likely do something similar if SMC were underfunded again in the future. In addition, there appears to be relatively little variation in malaria rates across the regions in Togo where SMC is delivered: https://malariaatlas.org/explorer/#/</t>
      </text>
    </comment>
    <comment authorId="0" ref="Z108">
      <text>
        <t xml:space="preserve">This column estimates cost-effectiveness in a specific state, so an additional adjustment for marginal funding going to lower-priority areas within a country is not necessary.</t>
      </text>
    </comment>
    <comment authorId="0" ref="E51">
      <text>
        <t xml:space="preserve">Empirical research suggests that malaria control interventions often have a larger effect on all-cause mortality than would be expected exclusively from declines in malaria-specific mortality (see excerpts below). 
We're highly uncertain about the exact value of this input, but we have spoken with malaria experts who told us that it is widely accepted there are roughly 0.5-1 indirect malaria deaths for every direct malaria death. We use a value of 0.75, the midpoint of this range, based on two sets of considerations.
- Based on talking to experts, the estimate of 0.5 seemed to be the estimate that had the most thought and work behind it from researchers with whom we spoke.
- On the other hand, when we back out indirect deaths using reductions in all-cause mortality found in Pryce et al., reductions in incidence found in Pryce et al. and share of deaths due to malaria from IHME from the time of Pryce et al., we estimate a value of 1.5. We have several reasons to be skeptical of this estimate and think it likely overestimates indirect deaths. However, this causes us to move our best guess toward the midpoint of the range given by experts. See our calculations here: https://docs.google.com/spreadsheets/d/1EPmGcfoi3IRzp6poF5soJwn4ZNyoa23fVCQCfDPHo18/edit?usp=sharing
"During randomized controlled intervention trials aimed at reducing the incidence of infection (but not 100 percent protective), the all-cause mortality of children is often reduced more than would be attributed by VA diagnosis of malaria. For example, in Kilifi the proportion of deaths of children under five years attributed to malaria by VA was 34 percent (R. W. Snow, unpublished data). During a randomized controlled trial of insecticide-treated bednets in the same area, the incidence of malaria infection was reduced by 50 percent (Snow et al. 1996), which was sufficient to reduce all-cause mortality by 33 percent (Nevill et al. 1996). More dramatically, in The Gambia, insecticide-treated bednets reduced all-cause mortality by over 60 percent, and yet the VA-diagnosed contribution of malaria to all-cause mortality among control populations was only 16 percent (Alonso et al. 1993). This has led some to speculate that malaria infection is a contributor to broad causes of mortality beyond the direct fatal consequences of infection (Molineaux 1997)."
Disease and Mortality in Sub-Saharan Africa, 2nd Edition, p. 204 https://www.ncbi.nlm.nih.gov/books/NBK2279/pdf/Bookshelf_NBK2279.pdf
"Data on all-cause mortality of children under five from DSS studies undertaken across a broad range of malaria transmission settings in Sub-Saharan Africa were analyzed against the prevalence of P. falciparum infection at each site. Weighted least-squares regression was used to model the contiguous relationships between all-cause mortality and parasite prevalence rates, allowing for the square of parasite prevalence (for possible saturation of parasite prevalence), timing, location, and the sampling precision of each study (Snow, Korenromp, and Gouws 2004). The unadjusted median all-cause child mortality rate for low prevalence areas of childhood infection (less than 25 percent) was 10.9 per year per 1,000 children under five (IQR 7.8–17.6). This rose dramatically to 39.1 per year per 1,000 children (IQR 32.8–52.2) among populations exposed to childhood parasite prevalence risks greater than or equal to 25 percent. In the regression model, mortality increased significantly with parasite prevalence, but this effect leveled off at higher prevalence rates. The model suggested that, in rural DSS sites throughout Sub-Saharan Africa, all-cause mortality increases by more than twofold (25–30 deaths per 1,000 children under five years old) over the prevalences of malaria infection covered by the DSS sites, and parasite prevalence explained 64 percent of the variation between sites in all-cause under-five mortality. By contrast, the direct estimation of malaria-specific mortality presented earlier for children living under stable endemic conditions was only 28.2 percent."
Disease and Mortality in Sub-Saharan Africa, 2nd Edition, p. 206 https://www.ncbi.nlm.nih.gov/books/NBK2279/pdf/Bookshelf_NBK2279.pdf</t>
      </text>
    </comment>
    <comment authorId="0" ref="E68">
      <text>
        <t xml:space="preserve">For consistency, we use the same figure here as for deworming. We repeat the cell note from our deworming cost-effectiveness analysis:
"If a person treated for worms earns additional income and supports a family, then multiple people may benefit—not just the person who was dewormed. 
In a multi-person household with one wage earner, a 10% increase in wages could enable every member of the household to consume 10% more. However, many households will have multiple wage earners, and household size may change overtime.
A rough model for estimating a value for this parameter is available at https://docs.google.com/spreadsheets/d/112uuyYt6QLRZuJojwz6fHv4JQ-GHNeIpiT-SauY3kmM/edit#gid=0. The appropriate value for this parameter will depend on many uncertain factors (e.g. household composition and how household composition changes overtime). We currently use a default value of 2.0. Our rough model suggests values close to 2 under a range of reasonable assumptions."</t>
      </text>
    </comment>
    <comment authorId="0" ref="C85">
      <text>
        <t xml:space="preserve">It's often difficult to explicitly model different kinds of wastage or other charity-level issues directly in our cost-effectiveness analysis. This section summarizes rough adjustments to our cost-effectiveness analysis to take into account our best guess of how different charity-level factors affect our best guess of true cost-effectiveness. </t>
      </text>
    </comment>
    <comment authorId="0" ref="E52">
      <text>
        <t xml:space="preserve">SMC is recommended for deployment in areas...where more than 60% of the annual incidence of malaria occurs within 4 months" Pg. 7, World Health Organization, "Seasonal Malaria Chemoprevention: A Field Guide"; "In sites considered suitable for SMC, the median fraction of incidence occurring in the 4 consecutive months of peak transmission was 77% and the mean 75.7% (Supplementary Table S1,2). We therefore assumed that, on average, 75% of the annual burden occurred in the SMC period, but also explored the impact of SMC, if 60% and 90% of annual incidence occurred in the period when SMC was given." Pg. 9, Cairns et al. 2012. See Supplementary Tables S1 and S2 in Cairns et al. 2012 supplements. Note that we have not vetted the methodology of this study, and most of the data that it is relying on seems to be 10+ years old.
For the Sahel region, we assume that 70% of malaria mortalities occur within the high transmission season; we have not done substantial research to inform this input.</t>
      </text>
    </comment>
    <comment authorId="0" ref="K52">
      <text>
        <t xml:space="preserve">Because DRC is also outside the Sahel, we use the same rough malaria seasonality estimate we calculated for Mozambique. Our reasoning for our Mozambique estimate follows.
The minimum value for the proportion of malaria mortality occurring during the four-month period in which SMC is typically delivered is 33% (this would represent no seasonality in malaria cases because 4 months / 12 months = 33%). We estimate a 70% value for the Sahel (see cell note in the first column of this row). We learned from speaking with malaria modelers from Imperial College London that 70% would likely be an overestimate for Mozambique. This is because malaria seasonality tracks rainfall less well in East Africa, as the climate isn't as arid in the non-rainy season, and standing bodies of water ensure continued mosquito presence year-round. Mozambique also contains micro-climates (and presumably some areas are closer to lakes/water bodies than others), so seasonality is variable across the country, and not every area may be suitable for SMC. 
We asked the malaria modelers how they would recommend we estimate the proportion of malaria mortality occurring during the high-transmission season in Mozambique, and they suggested that we take a simple average of the minimum value for this parameter (33%) and the value we use for countries in the Sahel (70%). This is the input we've chosen to use in the CEA. 
Note: this estimate represents our rough best guess for the country of Mozambique overall. We did not investigate rainfall levels in Nampula province specifically.</t>
      </text>
    </comment>
    <comment authorId="0" ref="L52">
      <text>
        <t xml:space="preserve">Because DRC is also outside the Sahel, we use the same rough malaria seasonality estimate we calculated for Mozambique. Our reasoning for our Mozambique estimate follows.
The minimum value for the proportion of malaria mortality occurring during the four-month period in which SMC is typically delivered is 33% (this would represent no seasonality in malaria cases because 4 months / 12 months = 33%). We estimate a 70% value for the Sahel (see cell note in the first column of this row). We learned from speaking with malaria modelers from Imperial College London that 70% would likely be an overestimate for Mozambique. This is because malaria seasonality tracks rainfall less well in East Africa, as the climate isn't as arid in the non-rainy season, and standing bodies of water ensure continued mosquito presence year-round. Mozambique also contains micro-climates (and presumably some areas are closer to lakes/water bodies than others), so seasonality is variable across the country, and not every area may be suitable for SMC. 
We asked the malaria modelers how they would recommend we estimate the proportion of malaria mortality occurring during the high-transmission season in Mozambique, and they suggested that we take a simple average of the minimum value for this parameter (33%) and the value we use for countries in the Sahel (70%). This is the input we've chosen to use in the CEA. 
Note: this estimate represents our rough best guess for the country of Mozambique overall. We did not investigate rainfall levels in Nampula province specifically.</t>
      </text>
    </comment>
    <comment authorId="0" ref="M52">
      <text>
        <t xml:space="preserve">Because DRC is also outside the Sahel, we use the same rough malaria seasonality estimate we calculated for Mozambique. Our reasoning for our Mozambique estimate follows.
The minimum value for the proportion of malaria mortality occurring during the four-month period in which SMC is typically delivered is 33% (this would represent no seasonality in malaria cases because 4 months / 12 months = 33%). We estimate a 70% value for the Sahel (see cell note in the first column of this row). We learned from speaking with malaria modelers from Imperial College London that 70% would likely be an overestimate for Mozambique. This is because malaria seasonality tracks rainfall less well in East Africa, as the climate isn't as arid in the non-rainy season, and standing bodies of water ensure continued mosquito presence year-round. Mozambique also contains micro-climates (and presumably some areas are closer to lakes/water bodies than others), so seasonality is variable across the country, and not every area may be suitable for SMC. 
We asked the malaria modelers how they would recommend we estimate the proportion of malaria mortality occurring during the high-transmission season in Mozambique, and they suggested that we take a simple average of the minimum value for this parameter (33%) and the value we use for countries in the Sahel (70%). This is the input we've chosen to use in the CEA. 
Note: this estimate represents our rough best guess for the country of Mozambique overall. We did not investigate rainfall levels in Nampula province specifically.</t>
      </text>
    </comment>
    <comment authorId="0" ref="N52">
      <text>
        <t xml:space="preserve">Because DRC is also outside the Sahel, we use the same rough malaria seasonality estimate we calculated for Mozambique. Our reasoning for our Mozambique estimate follows.
The minimum value for the proportion of malaria mortality occurring during the four-month period in which SMC is typically delivered is 33% (this would represent no seasonality in malaria cases because 4 months / 12 months = 33%). We estimate a 70% value for the Sahel (see cell note in the first column of this row). We learned from speaking with malaria modelers from Imperial College London that 70% would likely be an overestimate for Mozambique. This is because malaria seasonality tracks rainfall less well in East Africa, as the climate isn't as arid in the non-rainy season, and standing bodies of water ensure continued mosquito presence year-round. Mozambique also contains micro-climates (and presumably some areas are closer to lakes/water bodies than others), so seasonality is variable across the country, and not every area may be suitable for SMC. 
We asked the malaria modelers how they would recommend we estimate the proportion of malaria mortality occurring during the high-transmission season in Mozambique, and they suggested that we take a simple average of the minimum value for this parameter (33%) and the value we use for countries in the Sahel (70%). This is the input we've chosen to use in the CEA. 
Note: this estimate represents our rough best guess for the country of Mozambique overall. We did not investigate rainfall levels in Nampula province specifically.</t>
      </text>
    </comment>
    <comment authorId="0" ref="O52">
      <text>
        <t xml:space="preserve">The minimum value for the proportion of malaria mortality occurring during the four-month period in which SMC is typically delivered is 33% (this would represent no seasonality in malaria cases because 4 months / 12 months = 33%). We estimate a 70% value for the Sahel (see cell note in the first column of this row). We learned from speaking with malaria modelers from Imperial College London that 70% would likely be an overestimate for Mozambique. This is because malaria seasonality tracks rainfall less well in East Africa, as the climate isn't as arid in the non-rainy season, and standing bodies of water ensure continued mosquito presence year-round. Mozambique also contains micro-climates (and presumably some areas are closer to lakes/water bodies than others), so seasonality is variable across the country, and not every area may be suitable for SMC. 
We asked the malaria modelers how they would recommend we estimate the proportion of malaria mortality occurring during the high-transmission season in Mozambique, and they suggested that we take a simple average of the minimum value for this parameter (33%) and the value we use for countries in the Sahel (70%). This is the input we've chosen to use in the CEA. 
Note: this estimate represents our rough best guess for the country of Mozambique overall. We did not investigate rainfall levels in Nampula province specifically.</t>
      </text>
    </comment>
    <comment authorId="0" ref="K11">
      <text>
        <t xml:space="preserve">Malaria Consortium has not implemented an SMC program in DRC. In the absence of cost and coverage data from previous years of large-scale program delivery, we use our most expensive Sahelian cost estimates (Chad) as a best guess, assuming that early years of program delivery in new locations will tend to be relatively costly.</t>
      </text>
    </comment>
    <comment authorId="0" ref="AB60">
      <text>
        <t xml:space="preserve">See GBD estimates tab</t>
      </text>
    </comment>
    <comment authorId="0" ref="L11">
      <text>
        <t xml:space="preserve">Malaria Consortium has not implemented an SMC program in DRC. In the absence of cost and coverage data from previous years of large-scale program delivery, we use our most expensive Sahelian cost estimates (Chad) as a best guess, assuming that early years of program delivery in new locations will tend to be relatively costly.</t>
      </text>
    </comment>
    <comment authorId="0" ref="M11">
      <text>
        <t xml:space="preserve">Malaria Consortium has not implemented an SMC program in DRC. In the absence of cost and coverage data from previous years of large-scale program delivery, we use our most expensive Sahelian cost estimates (Chad) as a best guess, assuming that early years of program delivery in new locations will tend to be relatively costly.</t>
      </text>
    </comment>
    <comment authorId="0" ref="N11">
      <text>
        <t xml:space="preserve">Malaria Consortium has not implemented an SMC program in DRC. In the absence of cost and coverage data from previous years of large-scale program delivery, we use our most expensive Sahelian cost estimates (Chad) as a best guess, assuming that early years of program delivery in new locations will tend to be relatively costly.</t>
      </text>
    </comment>
    <comment authorId="0" ref="O11">
      <text>
        <t xml:space="preserve">Malaria Consortium's SMC program in Mozambique is relatively new and is not yet operating at scale. In the absence of cost and coverage data from previous years of large-scale program delivery, we use our most expensive Sahelian cost estimates (Chad) as a best guess, assuming that early years of program delivery in new locations will tend to be relatively costly.</t>
      </text>
    </comment>
    <comment authorId="0" ref="Z52">
      <text>
        <t xml:space="preserve">Because Uganda is also outside the Sahel, we start with the same rough malaria seasonality estimate we calculated for Mozambique (52%) and add an additional 10% to account for mortalities occurring during the additional, fifth month of SMC delivered in Uganda. Our reasoning for our Mozambique estimate follows.
The minimum value for the proportion of malaria mortality occurring during the four-month period in which SMC is typically delivered is 33% (this would represent no seasonality in malaria cases because 4 months / 12 months = 33%). We estimate a 70% value for the Sahel (see cell note in the first column of this row). We learned from speaking with malaria modelers from Imperial College London that 70% would likely be an overestimate for Mozambique. This is because malaria seasonality tracks rainfall less well in East Africa, as the climate isn't as arid in the non-rainy season, and standing bodies of water ensure continued mosquito presence year-round. Mozambique also contains micro-climates (and presumably some areas are closer to lakes/water bodies than others), so seasonality is variable across the country, and not every area may be suitable for SMC. 
We asked the malaria modelers how they would recommend we estimate the proportion of malaria mortality occurring during the high-transmission season in Mozambique, and they suggested that we take a simple average of the minimum value for this parameter (33%) and the value we use for countries in the Sahel (70%). This is the input we've chosen to use in the CEA. 
Note: this estimate represents our rough best guess for the country of Mozambique overall. We did not investigate rainfall levels in Nampula province specifically.
Our 52% malaria seasonality estimate for Mozambique implies that an average of 13% (52% / 4) of annual malaria mortalities occurs during each month of the four-month SMC season. Because 5 cycles of SMC are delivered in Uganda, we assume malaria transmission is somewhat less seasonal in Uganda compared to other non-Sahel countries, and we have chosen to apply a slightly smaller 10% upward adjustment to account for the 5th month of the SMC season in Uganda.</t>
      </text>
    </comment>
    <comment authorId="0" ref="K36">
      <text>
        <t xml:space="preserve">https://docs.google.com/spreadsheets/d/1f6TlKJwK5EdciP_cEitTJMZ8Ba3HwGQrXvgdPMLfrlA/edit#gid=76004464</t>
      </text>
    </comment>
    <comment authorId="0" ref="E94">
      <text>
        <t xml:space="preserve">Scenario: Charity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We may use a higher adjustment value for charities we have less experience with.
In 2017, Malaria Consortium used ~half of funding to supplement UNITAID project in ways we didn't expect (primarily supplemental monitoring) but were broadly in-line with our priorities. 
Malaria Consortium has also used some funding it received that was very likely a result of GiveWell's recommendation (but had been sent without being earmarked for SMC) on non-SMC-related projects; this was a very small amount of the total SMC budget.
2022 update: 2017 funding is now a very small portion of total spending and nothing similar has happened since then. There have been several examples of Malaria Consortium explicitly checking in with GiveWell to get our feedback on opportunities to redirect funding to a different purpose or on decisions it is making on how to use its discretionary research budget.</t>
      </text>
    </comment>
    <comment authorId="0" ref="L36">
      <text>
        <t xml:space="preserve">https://docs.google.com/spreadsheets/d/1f6TlKJwK5EdciP_cEitTJMZ8Ba3HwGQrXvgdPMLfrlA/edit#gid=76004464</t>
      </text>
    </comment>
    <comment authorId="0" ref="M36">
      <text>
        <t xml:space="preserve">https://docs.google.com/spreadsheets/d/1f6TlKJwK5EdciP_cEitTJMZ8Ba3HwGQrXvgdPMLfrlA/edit#gid=76004464</t>
      </text>
    </comment>
    <comment authorId="0" ref="N36">
      <text>
        <t xml:space="preserve">https://docs.google.com/spreadsheets/d/1f6TlKJwK5EdciP_cEitTJMZ8Ba3HwGQrXvgdPMLfrlA/edit#gid=76004464</t>
      </text>
    </comment>
    <comment authorId="0" ref="O36">
      <text>
        <t xml:space="preserve">https://docs.google.com/spreadsheets/d/1f6TlKJwK5EdciP_cEitTJMZ8Ba3HwGQrXvgdPMLfrlA/edit#gid=0
</t>
      </text>
    </comment>
    <comment authorId="0" ref="Y11">
      <text>
        <t xml:space="preserve">For Togo, we use our overall cost breakdown estimates from the "Summary" sheet of our October 2022 estimate of MC's cost per treatment because we think the spending information we've seen for the 2020 and 2021 SMC campaigns in Togo is unlikely to be representative of future program costs.
See here for more details: https://docs.google.com/spreadsheets/d/1kSHc9_cwCgGHZVhKkcKsHtMCMX5kDJYp_y11p_AzZzk/edit?usp=sharing</t>
      </text>
    </comment>
    <comment authorId="0" ref="Z11">
      <text>
        <t xml:space="preserve">Malaria Consortium's SMC program in Uganda is relatively new and is not yet operating at scale. In the absence of cost and coverage data from previous years of large-scale program delivery, we use our most expensive Sahelian cost estimates (Chad) as a best guess, assuming that early years of program delivery in new locations will tend to be relatively costly.</t>
      </text>
    </comment>
    <comment authorId="0" ref="Z36">
      <text>
        <t xml:space="preserve">https://docs.google.com/spreadsheets/d/1f6TlKJwK5EdciP_cEitTJMZ8Ba3HwGQrXvgdPMLfrlA/edit#gid=112866468</t>
      </text>
    </comment>
    <comment authorId="0" ref="AB36">
      <text>
        <t xml:space="preserve">See GBD estimates tab</t>
      </text>
    </comment>
    <comment authorId="0" ref="E45">
      <text>
        <t xml:space="preserve">The default value of 75% comes from a meta-analysis performed by GiveWell that found a rate ratio of 0.25. This meta-analysis was a modified version of an analysis in Meremikwu et al. 2012, which had a rate ratio of 0.26.
A forest plot from GiveWell's meta-analysis is available at https://drive.google.com/file/d/19C_kTGKeFN3Sn5GIKhpLhwcoLt6sHDSN/view
More details can be found at https://www.givewell.org/international/technical/programs/seasonal-malaria-chemoprevention#Evidence_from_randomized_controlled_trials</t>
      </text>
    </comment>
    <comment authorId="0" ref="K12">
      <text>
        <t xml:space="preserve">Malaria Consortium has not implemented an SMC program in DRC. In the absence of cost and coverage data from previous years of large-scale program delivery, we use our most expensive Sahelian cost estimates (Chad) as a best guess, assuming that early years of program delivery in new locations will tend to be relatively costly.</t>
      </text>
    </comment>
    <comment authorId="0" ref="AB61">
      <text>
        <t xml:space="preserve">See GBD estimates tab</t>
      </text>
    </comment>
    <comment authorId="0" ref="L12">
      <text>
        <t xml:space="preserve">Malaria Consortium has not implemented an SMC program in DRC. In the absence of cost and coverage data from previous years of large-scale program delivery, we use our most expensive Sahelian cost estimates (Chad) as a best guess, assuming that early years of program delivery in new locations will tend to be relatively costly.</t>
      </text>
    </comment>
    <comment authorId="0" ref="M12">
      <text>
        <t xml:space="preserve">Malaria Consortium has not implemented an SMC program in DRC. In the absence of cost and coverage data from previous years of large-scale program delivery, we use our most expensive Sahelian cost estimates (Chad) as a best guess, assuming that early years of program delivery in new locations will tend to be relatively costly.</t>
      </text>
    </comment>
    <comment authorId="0" ref="N12">
      <text>
        <t xml:space="preserve">Malaria Consortium has not implemented an SMC program in DRC. In the absence of cost and coverage data from previous years of large-scale program delivery, we use our most expensive Sahelian cost estimates (Chad) as a best guess, assuming that early years of program delivery in new locations will tend to be relatively costly.</t>
      </text>
    </comment>
    <comment authorId="0" ref="O12">
      <text>
        <t xml:space="preserve">Malaria Consortium's SMC program in Mozambique is relatively new and is not yet operating at scale. In the absence of cost and coverage data from previous years of large-scale program delivery, we use our most expensive Sahelian cost estimates (Chad) as a best guess, assuming that early years of program delivery in new locations will tend to be relatively costly.</t>
      </text>
    </comment>
    <comment authorId="0" ref="E95">
      <text>
        <t xml:space="preserve">Scenario: Charity encounters non-funding bottlenecks to allocating funding and holds funding for a long time. At an extreme, charity is unable to spend money, draws down funding over time on work to identify opportunities to spend money for a time, and then shifts to another program.
Has been able to spend funding quickly.</t>
      </text>
    </comment>
    <comment authorId="0" ref="Y12">
      <text>
        <t xml:space="preserve">For Togo, we use our overall cost breakdown estimates from the "Summary" sheet of our October 2022 estimate of MC's cost per treatment because we think the spending information we've seen for the 2020 and 2021 SMC campaigns in Togo is unlikely to be representative of future program costs.
See here for more details: https://docs.google.com/spreadsheets/d/1kSHc9_cwCgGHZVhKkcKsHtMCMX5kDJYp_y11p_AzZzk/edit?usp=sharing</t>
      </text>
    </comment>
    <comment authorId="0" ref="C54">
      <text>
        <t xml:space="preserve">There may be positive externalities that benefit untreated individuals in communities where SMC treatment is delivered. Since SMC is delivered only to young children, untreated individuals will make up a large proportion of populations targeted with SMC. 
We are aware of one trial, Cisse et al. 2016, that assessed how SMC affected untreated individuals in treated communities. This trial found significant benefits for the untreated population. However, we are not confident these benefits will occur in other settings where SMC is delivered. In Cisse et al. 2016, many children between 5 and 10 years old received SMC. ACCESS-SMC primarily targets children under 5.
(Link to Cisse et al. 2016: http://journals.plos.org/plosmedicine/article?id=10.1371/journal.pmed.1002175)
For more information, see the section of our SMC intervention report on the indirect effects of SMC on the untreated population: https://www.givewell.org/international/technical/programs/seasonal-malaria-chemoprevention#Impact_of_SMC_on_the_untreated_population</t>
      </text>
    </comment>
    <comment authorId="0" ref="Z12">
      <text>
        <t xml:space="preserve">Malaria Consortium's SMC program in Uganda is relatively new and is not yet operating at scale. In the absence of cost and coverage data from previous years of large-scale program delivery, we use our most expensive Sahelian cost estimates (Chad) as a best guess, assuming that early years of program delivery in new locations will tend to be relatively costly.</t>
      </text>
    </comment>
    <comment authorId="0" ref="E87">
      <text>
        <t xml:space="preserve">Scenario: The program is delivered to people who don't benefit or minimally benefit because they have received the program from another source.
Intuitively seems unlikely that children are getting preventative treatment from another source.</t>
      </text>
    </comment>
    <comment authorId="0" ref="K13">
      <text>
        <t xml:space="preserve">Malaria Consortium has not implemented an SMC program in DRC. In the absence of cost and coverage data from previous years of large-scale program delivery, we use our most expensive Sahelian cost estimates (Chad) as a best guess, assuming that early years of program delivery in new locations will tend to be relatively costly.</t>
      </text>
    </comment>
    <comment authorId="0" ref="L13">
      <text>
        <t xml:space="preserve">Malaria Consortium has not implemented an SMC program in DRC. In the absence of cost and coverage data from previous years of large-scale program delivery, we use our most expensive Sahelian cost estimates (Chad) as a best guess, assuming that early years of program delivery in new locations will tend to be relatively costly.</t>
      </text>
    </comment>
    <comment authorId="0" ref="M13">
      <text>
        <t xml:space="preserve">Malaria Consortium has not implemented an SMC program in DRC. In the absence of cost and coverage data from previous years of large-scale program delivery, we use our most expensive Sahelian cost estimates (Chad) as a best guess, assuming that early years of program delivery in new locations will tend to be relatively costly.</t>
      </text>
    </comment>
    <comment authorId="0" ref="N13">
      <text>
        <t xml:space="preserve">Malaria Consortium has not implemented an SMC program in DRC. In the absence of cost and coverage data from previous years of large-scale program delivery, we use our most expensive Sahelian cost estimates (Chad) as a best guess, assuming that early years of program delivery in new locations will tend to be relatively costly.</t>
      </text>
    </comment>
    <comment authorId="0" ref="O13">
      <text>
        <t xml:space="preserve">Malaria Consortium's SMC program in Mozambique is relatively new and is not yet operating at scale. In the absence of cost and coverage data from previous years of large-scale program delivery, we use our most expensive Sahelian cost estimates (Chad) as a best guess, assuming that early years of program delivery in new locations will tend to be relatively costly.</t>
      </text>
    </comment>
    <comment authorId="0" ref="E96">
      <text>
        <t xml:space="preserve">Scenario: Charity runs multiple programs and shifts funds from non-GiveWell sources or fundraising effort out of the program that we want to fund as a result of receiving GiveWell-directed funding.
Malaria Consortium has limited unrestricted funding relative to the size of this program. Fundraising efforts may be redirected to other programs as a result of more funding being available for this program. We know of one example where Malaria Consortium had the option of applying for funding for SMC and choose to apply for a different program because SMC is relatively well funded.</t>
      </text>
    </comment>
    <comment authorId="0" ref="Y13">
      <text>
        <t xml:space="preserve">For Togo, we use our overall cost breakdown estimates from the "Summary" sheet of our October 2022 estimate of MC's cost per treatment because we think the spending information we've seen for the 2020 and 2021 SMC campaigns in Togo is unlikely to be representative of future program costs.
See here for more details: https://docs.google.com/spreadsheets/d/1kSHc9_cwCgGHZVhKkcKsHtMCMX5kDJYp_y11p_AzZzk/edit?usp=sharing</t>
      </text>
    </comment>
    <comment authorId="0" ref="Z13">
      <text>
        <t xml:space="preserve">Malaria Consortium's SMC program in Uganda is relatively new and is not yet operating at scale. In the absence of cost and coverage data from previous years of large-scale program delivery, we use our most expensive Sahelian cost estimates (Chad) as a best guess, assuming that early years of program delivery in new locations will tend to be relatively costly.</t>
      </text>
    </comment>
    <comment authorId="0" ref="K30">
      <text>
        <t xml:space="preserve">https://docs.google.com/spreadsheets/d/1f6TlKJwK5EdciP_cEitTJMZ8Ba3HwGQrXvgdPMLfrlA/edit#gid=76004464</t>
      </text>
    </comment>
    <comment authorId="0" ref="E88">
      <text>
        <t xml:space="preserve">Scenario: Pills, ITNs, etc. are poorly made, counterfeit, or otherwise largely or fully ineffective at achieving the expected outcome. 
Drugs are purchased from World Health Organization-qualified manufacturers.</t>
      </text>
    </comment>
    <comment authorId="0" ref="L30">
      <text>
        <t xml:space="preserve">https://docs.google.com/spreadsheets/d/1f6TlKJwK5EdciP_cEitTJMZ8Ba3HwGQrXvgdPMLfrlA/edit#gid=76004464</t>
      </text>
    </comment>
    <comment authorId="0" ref="E55">
      <text>
        <t xml:space="preserve">"A reduction of 60% (95% CI 54%–64%, p &lt; 0.001) in the incidence of malaria cases confirmed by a rapid diagnostic test (RDT) and a reduction of 69% (95% CI 65%–72%, p &lt; 0.001) in the number of treatments for malaria (confirmed and unconfirmed) was observed in children." 
Cisse et al. 2016 http://journals.plos.org/plosmedicine/article?id=10.1371/journal.pmed.1002175</t>
      </text>
    </comment>
    <comment authorId="0" ref="M30">
      <text>
        <t xml:space="preserve">https://docs.google.com/spreadsheets/d/1f6TlKJwK5EdciP_cEitTJMZ8Ba3HwGQrXvgdPMLfrlA/edit#gid=76004464</t>
      </text>
    </comment>
    <comment authorId="0" ref="N30">
      <text>
        <t xml:space="preserve">https://docs.google.com/spreadsheets/d/1f6TlKJwK5EdciP_cEitTJMZ8Ba3HwGQrXvgdPMLfrlA/edit#gid=76004464</t>
      </text>
    </comment>
    <comment authorId="0" ref="O30">
      <text>
        <t xml:space="preserve">https://docs.google.com/spreadsheets/d/1f6TlKJwK5EdciP_cEitTJMZ8Ba3HwGQrXvgdPMLfrlA/edit#gid=0
</t>
      </text>
    </comment>
    <comment authorId="0" ref="E113">
      <text>
        <t xml:space="preserve">The government would provide additional funding to fully cover the intervention. The philanthropic donation therefore "funges" with the government and value of donating is equivalent to the marginal value of government funds.
See this document for more details: https://docs.google.com/document/d/1uiT6New2aXRB9qyrcQODhflnRR8QOZk-g1_9qaRRqjo/edit?usp=sharing
Note: In the above document, we reference assigning a value of 5% to the likelihood that domestic governments would replace grantee costs in Nigeria. Since we published that document in 2020, we have not seen indications that the Nigerian government has the capacity to fund SMC, and we now think the probability of government funding is similarly negligible in Nigeria as in other countries. We have accordingly revised this value to 0% for all Nigerian states.</t>
      </text>
    </comment>
    <comment authorId="0" ref="K22">
      <text>
        <t xml:space="preserve">https://docs.google.com/spreadsheets/d/1f6TlKJwK5EdciP_cEitTJMZ8Ba3HwGQrXvgdPMLfrlA/edit#gid=76004464</t>
      </text>
    </comment>
    <comment authorId="0" ref="L22">
      <text>
        <t xml:space="preserve">https://docs.google.com/spreadsheets/d/1f6TlKJwK5EdciP_cEitTJMZ8Ba3HwGQrXvgdPMLfrlA/edit#gid=76004464</t>
      </text>
    </comment>
    <comment authorId="0" ref="E47">
      <text>
        <t xml:space="preserve">This adjustment is used to account for the possibility that the effect of SMC found in academic research may not have been the true effect SMC had on the populations being studied.
It's GiveWell's best guess that these trials captured something close to the true effect of SMC in the study settings. Although we don't have specific, serious concerns about internal validity, we use a default value below 0% based on our expectation that published studies are more likely to overstate an intervention's efficacy than understate it. 
Additional details about the research assessing SMC efficacy is available at https://www.givewell.org/international/technical/programs/seasonal-malaria-chemoprevention#What_impact_does_SMC_have
</t>
      </text>
    </comment>
    <comment authorId="0" ref="M22">
      <text>
        <t xml:space="preserve">https://docs.google.com/spreadsheets/d/1f6TlKJwK5EdciP_cEitTJMZ8Ba3HwGQrXvgdPMLfrlA/edit#gid=76004464</t>
      </text>
    </comment>
    <comment authorId="0" ref="N22">
      <text>
        <t xml:space="preserve">https://docs.google.com/spreadsheets/d/1f6TlKJwK5EdciP_cEitTJMZ8Ba3HwGQrXvgdPMLfrlA/edit#gid=76004464</t>
      </text>
    </comment>
    <comment authorId="0" ref="O22">
      <text>
        <t xml:space="preserve">https://docs.google.com/spreadsheets/d/1f6TlKJwK5EdciP_cEitTJMZ8Ba3HwGQrXvgdPMLfrlA/edit#gid=0
</t>
      </text>
    </comment>
    <comment authorId="0" ref="Z30">
      <text>
        <t xml:space="preserve">https://docs.google.com/spreadsheets/d/1f6TlKJwK5EdciP_cEitTJMZ8Ba3HwGQrXvgdPMLfrlA/edit#gid=112866468</t>
      </text>
    </comment>
    <comment authorId="0" ref="AB30">
      <text>
        <t xml:space="preserve">See GBD estimates tab</t>
      </text>
    </comment>
    <comment authorId="0" ref="E39">
      <text>
        <t xml:space="preserve">We use prevalence estimates for children ages 1-4 from the Global Burden of Disease Project as a proxy for prevalence in children 3-59 months old.</t>
      </text>
    </comment>
    <comment authorId="0" ref="Z22">
      <text>
        <t xml:space="preserve">https://docs.google.com/spreadsheets/d/1f6TlKJwK5EdciP_cEitTJMZ8Ba3HwGQrXvgdPMLfrlA/edit#gid=112866468</t>
      </text>
    </comment>
    <comment authorId="0" ref="K39">
      <text>
        <t xml:space="preserve">See supplemental information here:
https://docs.google.com/spreadsheets/d/1f6TlKJwK5EdciP_cEitTJMZ8Ba3HwGQrXvgdPMLfrlA/edit#gid=76004464
Our supplemental information spreadsheet draws from Malaria Atlas Project data, which only reports malaria prevalence estimates for 2 to 10 year-olds. For this analysis, we assume that these malaria prevalence estimates apply to 1-14 year-olds.</t>
      </text>
    </comment>
    <comment authorId="0" ref="L39">
      <text>
        <t xml:space="preserve">See supplemental information here:
https://docs.google.com/spreadsheets/d/1f6TlKJwK5EdciP_cEitTJMZ8Ba3HwGQrXvgdPMLfrlA/edit#gid=76004464
Our supplemental information spreadsheet draws from Malaria Atlas Project data, which only reports malaria prevalence estimates for 2 to 10 year-olds. For this analysis, we assume that these malaria prevalence estimates apply to 1-14 year-olds.</t>
      </text>
    </comment>
    <comment authorId="0" ref="E64">
      <text>
        <t xml:space="preserve">See here: https://docs.google.com/spreadsheets/d/1zeVV1nDmM6CnvPK36fRGpujYxIMvPJUHruHwNA_KnXQ/edit?usp=sharing
This figure represents a midpoint between the findings of two natural experiments on the effect of childhood malaria eradication on economic outcomes in adulthood (Bleakley 2010, Cutler et al. 2010). It already includes a -70% replicability adjustment on the headline results to account for (1) lack of evidence of income increases for women (-25% adjustment) and (2) concerns about evidence quality (-60% adjustment). See the linked source for more details. 
We are uncertain at what age range children would get long term benefits from malaria reduction. We chose ages 0-14 fairly arbitrarily, but do not believe the results are highly sensitive to this assumption. We normalized the results of the studies we relied on to an annual figure by dividing by 15, and then applied this to children aged between 0 and 14. If we had chosen a lower age than 14, the increase in the estimate of the annual effect would have been cancelled out by applying it to a lower proportion of the population.
We have not yet published the full rationale for choosing this figure.
Bleakley 2010: https://www.ncbi.nlm.nih.gov/pmc/articles/PMC3810960/
Cutler et al. 2010: https://scholar.harvard.edu/files/kremer/files/malaria_aej_applied_2010.04_sunday_two.pdf</t>
      </text>
    </comment>
    <comment authorId="0" ref="AB22">
      <text>
        <t xml:space="preserve">See GBD estimates tab</t>
      </text>
    </comment>
    <comment authorId="0" ref="M39">
      <text>
        <t xml:space="preserve">See supplemental information here:
https://docs.google.com/spreadsheets/d/1f6TlKJwK5EdciP_cEitTJMZ8Ba3HwGQrXvgdPMLfrlA/edit#gid=76004464
Our supplemental information spreadsheet draws from Malaria Atlas Project data, which only reports malaria prevalence estimates for 2 to 10 year-olds. For this analysis, we assume that these malaria prevalence estimates apply to 1-14 year-olds.</t>
      </text>
    </comment>
    <comment authorId="0" ref="N39">
      <text>
        <t xml:space="preserve">See supplemental information here:
https://docs.google.com/spreadsheets/d/1f6TlKJwK5EdciP_cEitTJMZ8Ba3HwGQrXvgdPMLfrlA/edit#gid=76004464
Our supplemental information spreadsheet draws from Malaria Atlas Project data, which only reports malaria prevalence estimates for 2 to 10 year-olds. For this analysis, we assume that these malaria prevalence estimates apply to 1-14 year-olds.</t>
      </text>
    </comment>
    <comment authorId="0" ref="O39">
      <text>
        <t xml:space="preserve">See supplemental information here:
https://docs.google.com/spreadsheets/d/1f6TlKJwK5EdciP_cEitTJMZ8Ba3HwGQrXvgdPMLfrlA/edit#gid=0
Our supplemental information spreadsheet draws from Malaria Atlas Project data, which only reports malaria prevalence estimates for 2 to 10 year-olds. For this analysis, we assume that these malaria prevalence estimates apply to 1-14 year-olds.</t>
      </text>
    </comment>
    <comment authorId="0" ref="E89">
      <text>
        <t xml:space="preserve">Not applicable. Our cost/child-treated estimate uses total costs and estimates of children reached.</t>
      </text>
    </comment>
    <comment authorId="0" ref="E56">
      <text>
        <t xml:space="preserve">"In areas where SMC was implemented, incidence of confirmed malaria in adults and in children too old to receive SMC was reduced by 26% (95% CI 18%–33%, p &lt; 0.001) and the total number of treatments for malaria (confirmed and unconfirmed) in these older age groups was reduced by 29% (95% CI 21%–35%, p &lt; 0.001)" Cisse et al. 2016 http://journals.plos.org/plosmedicine/article?id=10.1371/journal.pmed.1002175</t>
      </text>
    </comment>
    <comment authorId="0" ref="Z39">
      <text>
        <t xml:space="preserve">See supplemental information here:
https://docs.google.com/spreadsheets/d/1f6TlKJwK5EdciP_cEitTJMZ8Ba3HwGQrXvgdPMLfrlA/edit#gid=112866468
Our supplemental information spreadsheet draws from Malaria Atlas Project data, which only reports malaria prevalence estimates for 2 to 10 year-olds. For this analysis, we assume that these malaria prevalence estimates apply to 1-14 year-olds.</t>
      </text>
    </comment>
    <comment authorId="0" ref="E114">
      <text>
        <t xml:space="preserve">The Global Fund and/or PMI would provide additional funding to fully cover the intervention. The philanthropic donation therefore "funges" with the Global Fund and/or PMI and value of donating is equivalent to the marginal value of Global Fund and/or PMI money.
See this document for more details: https://docs.google.com/document/d/1uiT6New2aXRB9qyrcQODhflnRR8QOZk-g1_9qaRRqjo/edit?usp=sharing
See this spreadsheet for more details on these probability estimates: https://docs.google.com/spreadsheets/d/15o_-wl_wkqioHpWufcnfBFAZaKswrHOSAt5YB6ec4DM/edit#gid=0</t>
      </text>
    </comment>
    <comment authorId="0" ref="K23">
      <text>
        <t xml:space="preserve">https://docs.google.com/spreadsheets/d/1f6TlKJwK5EdciP_cEitTJMZ8Ba3HwGQrXvgdPMLfrlA/edit#gid=76004464</t>
      </text>
    </comment>
    <comment authorId="0" ref="L23">
      <text>
        <t xml:space="preserve">https://docs.google.com/spreadsheets/d/1f6TlKJwK5EdciP_cEitTJMZ8Ba3HwGQrXvgdPMLfrlA/edit#gid=76004464</t>
      </text>
    </comment>
    <comment authorId="0" ref="AB39">
      <text>
        <t xml:space="preserve">See GBD estimates tab</t>
      </text>
    </comment>
    <comment authorId="0" ref="E48">
      <text>
        <t xml:space="preserve">This adjustment is used to account for external validity issues not accounted for elsewhere in the CEA. By default, this parameter is set to 0% because we currently do not have serious external validity concerns that are not accounted for elsewhere in the CEA. Additional discussion related to external validity is available at https://www.givewell.org/international/technical/programs/seasonal-malaria-chemoprevention#How_does_the_Malaria_Consortium_SMC_program_compare_to_the_programs_addressed_in_these_studies
</t>
      </text>
    </comment>
    <comment authorId="0" ref="M23">
      <text>
        <t xml:space="preserve">https://docs.google.com/spreadsheets/d/1f6TlKJwK5EdciP_cEitTJMZ8Ba3HwGQrXvgdPMLfrlA/edit#gid=76004464</t>
      </text>
    </comment>
    <comment authorId="0" ref="N23">
      <text>
        <t xml:space="preserve">https://docs.google.com/spreadsheets/d/1f6TlKJwK5EdciP_cEitTJMZ8Ba3HwGQrXvgdPMLfrlA/edit#gid=76004464</t>
      </text>
    </comment>
    <comment authorId="0" ref="H81">
      <text>
        <t xml:space="preserve">Read about our benchmark here: https://www.givewell.org/how-we-work/our-criteria/cost-effectiveness/cost-effectiveness-models
See the calculation behind this value here: https://docs.google.com/spreadsheets/d/1o0l0xucYBa8rjVKwDHh_K5PZTN6GeoenaKz77bTMXa4/edit?gid=1110574950#gid=1110574950&amp;range=B11</t>
      </text>
    </comment>
    <comment authorId="0" ref="O23">
      <text>
        <t xml:space="preserve">https://docs.google.com/spreadsheets/d/1f6TlKJwK5EdciP_cEitTJMZ8Ba3HwGQrXvgdPMLfrlA/edit#gid=0
</t>
      </text>
    </comment>
    <comment authorId="0" ref="P23">
      <text>
        <t xml:space="preserve">GBD 2019 did not report subnational estimates for early neonatal malaria mortalities for Nigeria, but the reported number of malaria deaths ages 0-6 days for Nigeria as whole was 0, implying 0 deaths in each state.
See https://docs.google.com/spreadsheets/d/1fUZFe-pDvRqXdZVnyvCUdKYs7BgX9S7a5qBEVwwqrzQ/edit#gid=641874500&amp;range=L190:U190</t>
      </text>
    </comment>
    <comment authorId="0" ref="K114">
      <text>
        <t xml:space="preserve">This is our rough best guess based on the probabilities we assign to other countries and how the funding landscape in DRC compares to the funding landscapes in those countries.</t>
      </text>
    </comment>
    <comment authorId="0" ref="Q23">
      <text>
        <t xml:space="preserve">GBD 2019 did not report subnational estimates for early neonatal malaria mortalities for Nigeria, but the reported number of malaria deaths ages 0-6 days for Nigeria as whole was 0, implying 0 deaths in each state.
See https://docs.google.com/spreadsheets/d/1fUZFe-pDvRqXdZVnyvCUdKYs7BgX9S7a5qBEVwwqrzQ/edit#gid=641874500&amp;range=L190:U190</t>
      </text>
    </comment>
    <comment authorId="0" ref="L114">
      <text>
        <t xml:space="preserve">This is our rough best guess based on the probabilities we assign to other countries and how the funding landscape in DRC compares to the funding landscapes in those countries.</t>
      </text>
    </comment>
    <comment authorId="0" ref="R23">
      <text>
        <t xml:space="preserve">GBD 2019 did not report subnational estimates for early neonatal malaria mortalities for Nigeria, but the reported number of malaria deaths ages 0-6 days for Nigeria as whole was 0, implying 0 deaths in each state.
See https://docs.google.com/spreadsheets/d/1fUZFe-pDvRqXdZVnyvCUdKYs7BgX9S7a5qBEVwwqrzQ/edit#gid=641874500&amp;range=L190:U190</t>
      </text>
    </comment>
    <comment authorId="0" ref="M114">
      <text>
        <t xml:space="preserve">This is our rough best guess based on the probabilities we assign to other countries and how the funding landscape in DRC compares to the funding landscapes in those countries.</t>
      </text>
    </comment>
    <comment authorId="0" ref="S23">
      <text>
        <t xml:space="preserve">GBD 2019 did not report subnational estimates for early neonatal malaria mortalities for Nigeria, but the reported number of malaria deaths ages 0-6 days for Nigeria as whole was 0, implying 0 deaths in each state.
See https://docs.google.com/spreadsheets/d/1fUZFe-pDvRqXdZVnyvCUdKYs7BgX9S7a5qBEVwwqrzQ/edit#gid=641874500&amp;range=L190:U190</t>
      </text>
    </comment>
    <comment authorId="0" ref="N114">
      <text>
        <t xml:space="preserve">This is our rough best guess based on the probabilities we assign to other countries and how the funding landscape in DRC compares to the funding landscapes in those countries.</t>
      </text>
    </comment>
    <comment authorId="0" ref="T23">
      <text>
        <t xml:space="preserve">GBD 2019 did not report subnational estimates for early neonatal malaria mortalities for Nigeria, but the reported number of malaria deaths ages 0-6 days for Nigeria as whole was 0, implying 0 deaths in each state.
See https://docs.google.com/spreadsheets/d/1fUZFe-pDvRqXdZVnyvCUdKYs7BgX9S7a5qBEVwwqrzQ/edit#gid=641874500&amp;range=L190:U190</t>
      </text>
    </comment>
    <comment authorId="0" ref="O114">
      <text>
        <t xml:space="preserve">We think it is unlikely that these funders would support the work this grant will support. SMC is a new program in Mozambique, and its effectiveness has not yet been demonstrated in an RCT. The PNCM told us that it does not expect other funders to contribute to SMC at this time, though it expects that they will do so in the future.
2023 update: An RCT of SMC has now occurred in Mozambique, but we have not yet updated our funging assumptions accordingly. We plan to investigate this in the near future.</t>
      </text>
    </comment>
    <comment authorId="0" ref="U23">
      <text>
        <t xml:space="preserve">GBD 2019 did not report subnational estimates for early neonatal malaria mortalities for Nigeria, but the reported number of malaria deaths ages 0-6 days for Nigeria as whole was 0, implying 0 deaths in each state.
See https://docs.google.com/spreadsheets/d/1fUZFe-pDvRqXdZVnyvCUdKYs7BgX9S7a5qBEVwwqrzQ/edit#gid=641874500&amp;range=L190:U190</t>
      </text>
    </comment>
    <comment authorId="0" ref="V23">
      <text>
        <t xml:space="preserve">GBD 2019 did not report subnational estimates for early neonatal malaria mortalities for Nigeria, but the reported number of malaria deaths ages 0-6 days for Nigeria as whole was 0, implying 0 deaths in each state.
See https://docs.google.com/spreadsheets/d/1fUZFe-pDvRqXdZVnyvCUdKYs7BgX9S7a5qBEVwwqrzQ/edit#gid=641874500&amp;range=L190:U190</t>
      </text>
    </comment>
    <comment authorId="0" ref="W23">
      <text>
        <t xml:space="preserve">GBD 2019 did not report subnational estimates for early neonatal malaria mortalities for Nigeria, but the reported number of malaria deaths ages 0-6 days for Nigeria as whole was 0, implying 0 deaths in each state.
See https://docs.google.com/spreadsheets/d/1fUZFe-pDvRqXdZVnyvCUdKYs7BgX9S7a5qBEVwwqrzQ/edit#gid=641874500&amp;range=L190:U190</t>
      </text>
    </comment>
    <comment authorId="0" ref="X23">
      <text>
        <t xml:space="preserve">GBD 2019 did not report subnational estimates for early neonatal malaria mortalities for Nigeria, but the reported number of malaria deaths ages 0-6 days for Nigeria as whole was 0, implying 0 deaths in each state.
See https://docs.google.com/spreadsheets/d/1fUZFe-pDvRqXdZVnyvCUdKYs7BgX9S7a5qBEVwwqrzQ/edit#gid=641874500&amp;range=L190:U190</t>
      </text>
    </comment>
    <comment authorId="0" ref="C98">
      <text>
        <t xml:space="preserve">We only directly model some of the possible effects of the intervention. Many effects are excluded to keep the model tractable.
This section shows the speculative guesses we use to estimate the impact of outcomes we haven't explicitly modeled on the cost-effectiveness of our charities. The "Supplemental intervention-level adjustments" tab of this spreadsheet includes more details on how these adjustments are calculated and some brief justifications.</t>
      </text>
    </comment>
    <comment authorId="0" ref="K106">
      <text>
        <t xml:space="preserve">We apply a larger adjustment accounting for the potential development of drug resistance in DRC, Mozambique, and Uganda than in other countries because we believe current levels of resistance to SP are higher in East Africa, and we assume that the risk of SMC campaigns accelerating drug resistance is higher in areas with higher baseline resistance.
“SP has been used alone for intermittent preventive treatment in pregnancy (IPTp) for roughly 20 years. This is likely to have contributed to resistance to SP developing in Tanzania and East Africa, and SP is no longer very effective in those places for IPTp. However, it is still effective in much of the rest of Africa. A mutation associated with a particularly high level of SP resistance that appeared in Southeast Asia (the DHFR 164 mutation) also appeared in Uganda but has not spread in Africa.” GiveWell's non-verbatim summary of a conversation with Professor Sir Brian Greenwood, January 4, 2017. https://files.givewell.org/files/conversations/Brian_Greenwood_01-04-17_(public).pdf</t>
      </text>
    </comment>
    <comment authorId="0" ref="L106">
      <text>
        <t xml:space="preserve">We apply a larger adjustment accounting for the potential development of drug resistance in DRC, Mozambique, and Uganda than in other countries because we believe current levels of resistance to SP are higher in East Africa, and we assume that the risk of SMC campaigns accelerating drug resistance is higher in areas with higher baseline resistance.
“SP has been used alone for intermittent preventive treatment in pregnancy (IPTp) for roughly 20 years. This is likely to have contributed to resistance to SP developing in Tanzania and East Africa, and SP is no longer very effective in those places for IPTp. However, it is still effective in much of the rest of Africa. A mutation associated with a particularly high level of SP resistance that appeared in Southeast Asia (the DHFR 164 mutation) also appeared in Uganda but has not spread in Africa.” GiveWell's non-verbatim summary of a conversation with Professor Sir Brian Greenwood, January 4, 2017. https://files.givewell.org/files/conversations/Brian_Greenwood_01-04-17_(public).pdf</t>
      </text>
    </comment>
    <comment authorId="0" ref="Z23">
      <text>
        <t xml:space="preserve">https://docs.google.com/spreadsheets/d/1f6TlKJwK5EdciP_cEitTJMZ8Ba3HwGQrXvgdPMLfrlA/edit#gid=112866468</t>
      </text>
    </comment>
    <comment authorId="0" ref="K40">
      <text>
        <t xml:space="preserve">See supplemental information here:
https://docs.google.com/spreadsheets/d/1f6TlKJwK5EdciP_cEitTJMZ8Ba3HwGQrXvgdPMLfrlA/edit#gid=76004464
Our supplemental information spreadsheet draws from Malaria Atlas Project data, which only reports malaria prevalence estimates for 2 to 10 year-olds. For this analysis, we assume that these malaria prevalence estimates apply to 1-14 year-olds.</t>
      </text>
    </comment>
    <comment authorId="0" ref="M106">
      <text>
        <t xml:space="preserve">We apply a larger adjustment accounting for the potential development of drug resistance in DRC, Mozambique, and Uganda than in other countries because we believe current levels of resistance to SP are higher in East Africa, and we assume that the risk of SMC campaigns accelerating drug resistance is higher in areas with higher baseline resistance.
“SP has been used alone for intermittent preventive treatment in pregnancy (IPTp) for roughly 20 years. This is likely to have contributed to resistance to SP developing in Tanzania and East Africa, and SP is no longer very effective in those places for IPTp. However, it is still effective in much of the rest of Africa. A mutation associated with a particularly high level of SP resistance that appeared in Southeast Asia (the DHFR 164 mutation) also appeared in Uganda but has not spread in Africa.” GiveWell's non-verbatim summary of a conversation with Professor Sir Brian Greenwood, January 4, 2017. https://files.givewell.org/files/conversations/Brian_Greenwood_01-04-17_(public).pdf</t>
      </text>
    </comment>
    <comment authorId="0" ref="L40">
      <text>
        <t xml:space="preserve">See supplemental information here:
https://docs.google.com/spreadsheets/d/1f6TlKJwK5EdciP_cEitTJMZ8Ba3HwGQrXvgdPMLfrlA/edit#gid=76004464
Our supplemental information spreadsheet draws from Malaria Atlas Project data, which only reports malaria prevalence estimates for 2 to 10 year-olds. For this analysis, we assume that these malaria prevalence estimates apply to 1-14 year-olds.</t>
      </text>
    </comment>
    <comment authorId="0" ref="E65">
      <text>
        <t xml:space="preserve">Our best guess is that children are roughly 17 years of age when they begin substantive work (see our justification for the equivalent parameter in our deworming cost-effectiveness analysis https://docs.google.com/document/d/1NxN6SO8GNv1AhpHMy1-IGu-tStT7py29W8AFU0u_bLw/edit?ts=599b4840)
SMC averts more malaria cases in children under 5 (~70%) than in children ages 5-14. There are ~15 years between program implementation and starting work for children under-5, and ~7 years for children ages 5-14. Taking a weighted average implies an average gap of ~12.5 years before income benefits begin.</t>
      </text>
    </comment>
    <comment authorId="0" ref="N106">
      <text>
        <t xml:space="preserve">We apply a larger adjustment accounting for the potential development of drug resistance in DRC, Mozambique, and Uganda than in other countries because we believe current levels of resistance to SP are higher in East Africa, and we assume that the risk of SMC campaigns accelerating drug resistance is higher in areas with higher baseline resistance.
“SP has been used alone for intermittent preventive treatment in pregnancy (IPTp) for roughly 20 years. This is likely to have contributed to resistance to SP developing in Tanzania and East Africa, and SP is no longer very effective in those places for IPTp. However, it is still effective in much of the rest of Africa. A mutation associated with a particularly high level of SP resistance that appeared in Southeast Asia (the DHFR 164 mutation) also appeared in Uganda but has not spread in Africa.” GiveWell's non-verbatim summary of a conversation with Professor Sir Brian Greenwood, January 4, 2017. https://files.givewell.org/files/conversations/Brian_Greenwood_01-04-17_(public).pdf</t>
      </text>
    </comment>
    <comment authorId="0" ref="AB23">
      <text>
        <t xml:space="preserve">See GBD estimates tab</t>
      </text>
    </comment>
    <comment authorId="0" ref="M40">
      <text>
        <t xml:space="preserve">See supplemental information here:
https://docs.google.com/spreadsheets/d/1f6TlKJwK5EdciP_cEitTJMZ8Ba3HwGQrXvgdPMLfrlA/edit#gid=76004464
Our supplemental information spreadsheet draws from Malaria Atlas Project data, which only reports malaria prevalence estimates for 2 to 10 year-olds. For this analysis, we assume that these malaria prevalence estimates apply to 1-14 year-olds.</t>
      </text>
    </comment>
    <comment authorId="0" ref="O106">
      <text>
        <t xml:space="preserve">We apply a larger adjustment accounting for the potential development of drug resistance in DRC, Mozambique, and Uganda than in other countries because we believe current levels of resistance to SP are higher in East Africa, and we assume that the risk of SMC campaigns accelerating drug resistance is higher in areas with higher baseline resistance.
“SP has been used alone for intermittent preventive treatment in pregnancy (IPTp) for roughly 20 years. This is likely to have contributed to resistance to SP developing in Tanzania and East Africa, and SP is no longer very effective in those places for IPTp. However, it is still effective in much of the rest of Africa. A mutation associated with a particularly high level of SP resistance that appeared in Southeast Asia (the DHFR 164 mutation) also appeared in Uganda but has not spread in Africa.” GiveWell's non-verbatim summary of a conversation with Professor Sir Brian Greenwood, January 4, 2017. https://files.givewell.org/files/conversations/Brian_Greenwood_01-04-17_(public).pdf</t>
      </text>
    </comment>
    <comment authorId="0" ref="N40">
      <text>
        <t xml:space="preserve">See supplemental information here:
https://docs.google.com/spreadsheets/d/1f6TlKJwK5EdciP_cEitTJMZ8Ba3HwGQrXvgdPMLfrlA/edit#gid=76004464
Our supplemental information spreadsheet draws from Malaria Atlas Project data, which only reports malaria prevalence estimates for 2 to 10 year-olds. For this analysis, we assume that these malaria prevalence estimates apply to 1-14 year-olds.</t>
      </text>
    </comment>
    <comment authorId="0" ref="O40">
      <text>
        <t xml:space="preserve">See supplemental information here:
https://docs.google.com/spreadsheets/d/1f6TlKJwK5EdciP_cEitTJMZ8Ba3HwGQrXvgdPMLfrlA/edit#gid=0
Our supplemental information spreadsheet draws from Malaria Atlas Project data, which only reports malaria prevalence estimates for 2 to 10 year-olds. For this analysis, we assume that these malaria prevalence estimates apply to 1-14 year-olds.</t>
      </text>
    </comment>
    <comment authorId="0" ref="Z114">
      <text>
        <t xml:space="preserve">This is our rough best guess based on the probabilities we assign to other countries and how the funding landscape in Uganda compares to the funding landscapes in those countries.</t>
      </text>
    </comment>
    <comment authorId="0" ref="E57">
      <text>
        <t xml:space="preserve">We apply a downward adjustment to account for (i) Cisse et al. 2016 covering a higher proportion of the population than the typical Malaria Consortium program, and (ii) The lower levels of transmission in Cisse et al. 2016 relative to the typical Malaria Consortium program (our understanding from speaking with a malaria modeler is indirect effects are likely to be smaller as a proportion of total benefits in areas of high transmission).
The calculations for this adjustment are here: https://docs.google.com/spreadsheets/d/1lWE_IQzlX8QfAeUgK1OpcHTxJ7H6uOxRciSK215k9sI
For more details, see the section on indirect effects in our intervention report on seasonal malaria chemoprevention (https://www.givewell.org/international/technical/programs/seasonal-malaria-chemoprevention#Reduced_mortality_for_older_children_and_adults).</t>
      </text>
    </comment>
    <comment authorId="0" ref="Z106">
      <text>
        <t xml:space="preserve">We apply a larger adjustment accounting for the potential development of drug resistance in DRC, Mozambique, and Uganda than in other countries because we believe current levels of resistance to SP are higher in East Africa, and we assume that the risk of SMC campaigns accelerating drug resistance is higher in areas with higher baseline resistance.
“SP has been used alone for intermittent preventive treatment in pregnancy (IPTp) for roughly 20 years. This is likely to have contributed to resistance to SP developing in Tanzania and East Africa, and SP is no longer very effective in those places for IPTp. However, it is still effective in much of the rest of Africa. A mutation associated with a particularly high level of SP resistance that appeared in Southeast Asia (the DHFR 164 mutation) also appeared in Uganda but has not spread in Africa.” GiveWell's non-verbatim summary of a conversation with Professor Sir Brian Greenwood, January 4, 2017. https://files.givewell.org/files/conversations/Brian_Greenwood_01-04-17_(public).pdf</t>
      </text>
    </comment>
    <comment authorId="0" ref="Z40">
      <text>
        <t xml:space="preserve">See supplemental information here:
https://docs.google.com/spreadsheets/d/1f6TlKJwK5EdciP_cEitTJMZ8Ba3HwGQrXvgdPMLfrlA/edit#gid=112866468
Our supplemental information spreadsheet draws from Malaria Atlas Project data, which only reports malaria prevalence estimates for 2 to 10 year-olds. For this analysis, we assume that these malaria prevalence estimates apply to 1-14 year-olds.</t>
      </text>
    </comment>
    <comment authorId="0" ref="E115">
      <text>
        <t xml:space="preserve">The government would continue funding the program at the same level as it currently does. Government financial costs are neither leveraged nor "funged".
See this document for more details: https://docs.google.com/document/d/1uiT6New2aXRB9qyrcQODhflnRR8QOZk-g1_9qaRRqjo/edit?usp=sharing
See this spreadsheet for more details on these probability estimates: https://docs.google.com/spreadsheets/d/15o_-wl_wkqioHpWufcnfBFAZaKswrHOSAt5YB6ec4DM/edit#gid=0</t>
      </text>
    </comment>
    <comment authorId="0" ref="K24">
      <text>
        <t xml:space="preserve">https://docs.google.com/spreadsheets/d/1f6TlKJwK5EdciP_cEitTJMZ8Ba3HwGQrXvgdPMLfrlA/edit#gid=76004464</t>
      </text>
    </comment>
    <comment authorId="0" ref="L24">
      <text>
        <t xml:space="preserve">https://docs.google.com/spreadsheets/d/1f6TlKJwK5EdciP_cEitTJMZ8Ba3HwGQrXvgdPMLfrlA/edit#gid=76004464</t>
      </text>
    </comment>
    <comment authorId="0" ref="AB40">
      <text>
        <t xml:space="preserve">See GBD estimates tab</t>
      </text>
    </comment>
    <comment authorId="0" ref="E49">
      <text>
        <t xml:space="preserve">We expect SMC to be less effective in the countries we've investigated that are located outside the Sahel region (DRC, Mozambique, and Uganda), primarily because resistance to sulfadoxine-pyrimethamine, one of the drugs delivered as part of SMC, appears to be higher in those countries.
We haven't yet published our reasoning for this estimate.</t>
      </text>
    </comment>
    <comment authorId="0" ref="M24">
      <text>
        <t xml:space="preserve">https://docs.google.com/spreadsheets/d/1f6TlKJwK5EdciP_cEitTJMZ8Ba3HwGQrXvgdPMLfrlA/edit#gid=76004464</t>
      </text>
    </comment>
    <comment authorId="0" ref="N24">
      <text>
        <t xml:space="preserve">https://docs.google.com/spreadsheets/d/1f6TlKJwK5EdciP_cEitTJMZ8Ba3HwGQrXvgdPMLfrlA/edit#gid=76004464</t>
      </text>
    </comment>
    <comment authorId="0" ref="O24">
      <text>
        <t xml:space="preserve">https://docs.google.com/spreadsheets/d/1f6TlKJwK5EdciP_cEitTJMZ8Ba3HwGQrXvgdPMLfrlA/edit#gid=0
</t>
      </text>
    </comment>
    <comment authorId="0" ref="K16">
      <text>
        <t xml:space="preserve">Malaria Consortium has not implemented an SMC program in DRC. In the absence of cost and coverage data from previous years of large-scale program delivery, we use our most expensive Sahelian cost estimates (Chad) as a best guess, assuming that early years of program delivery in new locations will tend to be relatively costly.</t>
      </text>
    </comment>
    <comment authorId="0" ref="L16">
      <text>
        <t xml:space="preserve">Malaria Consortium has not implemented an SMC program in DRC. In the absence of cost and coverage data from previous years of large-scale program delivery, we use our most expensive Sahelian cost estimates (Chad) as a best guess, assuming that early years of program delivery in new locations will tend to be relatively costly.</t>
      </text>
    </comment>
    <comment authorId="0" ref="M16">
      <text>
        <t xml:space="preserve">Malaria Consortium has not implemented an SMC program in DRC. In the absence of cost and coverage data from previous years of large-scale program delivery, we use our most expensive Sahelian cost estimates (Chad) as a best guess, assuming that early years of program delivery in new locations will tend to be relatively costly.</t>
      </text>
    </comment>
    <comment authorId="0" ref="N16">
      <text>
        <t xml:space="preserve">Malaria Consortium has not implemented an SMC program in DRC. In the absence of cost and coverage data from previous years of large-scale program delivery, we use our most expensive Sahelian cost estimates (Chad) as a best guess, assuming that early years of program delivery in new locations will tend to be relatively costly.</t>
      </text>
    </comment>
    <comment authorId="0" ref="O16">
      <text>
        <t xml:space="preserve">Malaria Consortium's SMC program in Mozambique is relatively new and is not yet operating at scale. In the absence of cost and coverage data from previous years of large-scale program delivery, we use our most expensive Sahelian cost estimates (Chad) as a best guess, assuming that early years of program delivery in new locations will tend to be relatively costly.</t>
      </text>
    </comment>
    <comment authorId="0" ref="Z24">
      <text>
        <t xml:space="preserve">https://docs.google.com/spreadsheets/d/1f6TlKJwK5EdciP_cEitTJMZ8Ba3HwGQrXvgdPMLfrlA/edit#gid=112866468</t>
      </text>
    </comment>
    <comment authorId="0" ref="AB24">
      <text>
        <t xml:space="preserve">See GBD estimates tab</t>
      </text>
    </comment>
    <comment authorId="0" ref="E33">
      <text>
        <t xml:space="preserve">We use data from the Institute of Health Metrics and Evaluation (IHME)'s Global Burden of Disease (GBD) project to inform our estimates of malaria mortality and prevalence rates in each country in our CEA. Our understanding is that IHME's malaria modeling factors the expected impact of past long-lasting insecticide-treated net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downward adjustments to our cost-effectiveness estimates of SMC in Nigeria.</t>
      </text>
    </comment>
    <comment authorId="0" ref="Y16">
      <text>
        <t xml:space="preserve">For Togo, we use our overall cost estimate from the "Summary" sheet of our October 2022 estimate of MC's cost per treatment because we think the spending information we've seen for the 2020 and 2021 SMC campaigns in Togo is unlikely to be representative of future program costs.
See here for more details: https://docs.google.com/spreadsheets/d/1kSHc9_cwCgGHZVhKkcKsHtMCMX5kDJYp_y11p_AzZzk/edit?usp=sharing</t>
      </text>
    </comment>
    <comment authorId="0" ref="E124">
      <text>
        <t xml:space="preserve">We base our estimate for this value on an analysis of Global Fund spending because we believe the Global Fund is the most likely replacement funder in most geographies. For simplicity, we assume that the counterfactual value of PMI's spending is the same.</t>
      </text>
    </comment>
    <comment authorId="0" ref="Z16">
      <text>
        <t xml:space="preserve">Malaria Consortium's SMC program in Uganda is relatively new and is not yet operating at scale. In the absence of cost and coverage data from previous years of large-scale program delivery, we use our most expensive Sahelian cost estimates (Chad) as a best guess, assuming that early years of program delivery in new locations will tend to be relatively costly.</t>
      </text>
    </comment>
    <comment authorId="0" ref="E91">
      <text>
        <t xml:space="preserve">Scenario: Charity sends money/goods to a country/partner and the country/partner reports back that they carried out the program and reached a certain number of people, but these results are partially or fully fabricated and we do not have monitoring results from those locations.
We've received coverage survey results from all locations and all years. Malaria Consortium has two types of coverage surveys: post cycle, which are conducted after a cycle of SMC, and post-round, which are conducted after all cycles of SMC are distributed. We have seen either a post-cycle or post-round survey for all locations, but not always both. See here for our review of monitoring results: 
https://docs.google.com/spreadsheets/d/1WqNL0PEA4cT470ALp0nItEEU8gM_IlhVNIJK1GqnFVE/edit#gid=1817130439</t>
      </text>
    </comment>
    <comment authorId="0" ref="P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Q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R33">
      <text>
        <t xml:space="preserve">We use data from the Institute of Health Metrics and Evaluation (IHME)'s Global Burden of Disease (GBD) project to inform our estimates of malaria mortality and prevalence rates in Nigeria, and we apply additional adjustments to IHME estimates to account for the impact of ITN distributions that are not accounted for in the most recent GBD data (GBD 2019).
We use a larger adjustment for FCT, Nigeria than in other Nigerian states because we think that much of the data on which the GBD 2019 estimates are based is from a period of time during which ITN distributions were not occurring in FCT. Aside from fairly recent distributions, our understanding is that the last ITN distribution to occur in FCT was in 2011. Because distribution campaigns weren't regularly occurring during much of the time period that GBD 2019 estimates are based, and because distribution campaigns have begun occurring in the years since, we expect that the GBD 2019 estimates likely overstate true counterfactual malaria burden in FCT.
The adjustment we use here is equal to our estimate of the decline in malaria prevalence due to AMF's bed net distributions in PMI states in Nigeria. We calculate this value by multiplying our estimated reduction in malaria mortality among children sleeping under bed nets (row 69 of the "Main CEA" sheet) by the proportion of distributed nets that were used in trials on which we base our estimates of the mortality reduction achieved by net distributions (row 35 of the "Main CEA" sheet). See our CEA for LLIN distributions here: https://docs.google.com/spreadsheets/d/1VEtie59TgRvZSEVjfG7qcKBKcQyJn8zO91Lau9YNqXc/edit?usp=sharing</t>
      </text>
    </comment>
    <comment authorId="0" ref="K25">
      <text>
        <t xml:space="preserve">https://docs.google.com/spreadsheets/d/1f6TlKJwK5EdciP_cEitTJMZ8Ba3HwGQrXvgdPMLfrlA/edit#gid=76004464</t>
      </text>
    </comment>
    <comment authorId="0" ref="S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L25">
      <text>
        <t xml:space="preserve">https://docs.google.com/spreadsheets/d/1f6TlKJwK5EdciP_cEitTJMZ8Ba3HwGQrXvgdPMLfrlA/edit#gid=76004464</t>
      </text>
    </comment>
    <comment authorId="0" ref="T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E50">
      <text>
        <t xml:space="preserve">Academic research finds that SMC reduces malaria incidence. A 100% value for this input implies that SMC reduces malaria mortality by the same percent that SMC reduces malaria incidence. An input below 100% indicates that malaria mortality does not drop as much as malaria incidence when children are given SMC treatments. Our best guess is that the reduction in malaria incidence results in a similar reduction in mortality, but we are not aware of high-quality empirical evidence that we can use to test this assumption. More discussion is available at https://www.givewell.org/international/technical/programs/seasonal-malaria-chemoprevention#Does_the_reduction_in_malaria_incidence_cause_a_similar_reduction_in_mortality</t>
      </text>
    </comment>
    <comment authorId="0" ref="M25">
      <text>
        <t xml:space="preserve">https://docs.google.com/spreadsheets/d/1f6TlKJwK5EdciP_cEitTJMZ8Ba3HwGQrXvgdPMLfrlA/edit#gid=76004464</t>
      </text>
    </comment>
    <comment authorId="0" ref="U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N25">
      <text>
        <t xml:space="preserve">https://docs.google.com/spreadsheets/d/1f6TlKJwK5EdciP_cEitTJMZ8Ba3HwGQrXvgdPMLfrlA/edit#gid=76004464</t>
      </text>
    </comment>
    <comment authorId="0" ref="O25">
      <text>
        <t xml:space="preserve">https://docs.google.com/spreadsheets/d/1f6TlKJwK5EdciP_cEitTJMZ8Ba3HwGQrXvgdPMLfrlA/edit#gid=0
</t>
      </text>
    </comment>
    <comment authorId="0" ref="W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X33">
      <text>
        <t xml:space="preserve">We use data from the Institute of Health Metrics and Evaluation (IHME)'s Global Burden of Disease (GBD) project to inform our estimates of malaria mortality and prevalence rates in Nigeria. Our understanding is that IHME's malaria modeling factors the expected impact of past LLIN distributions into its malaria mortality and prevalence estimates. The most recent GBD data available is for the year 2019. 
Our understanding is that LLIN coverage in Nigeria has been increasing relatively rapidly year-to-year, as a result of increased funding for LLINs compared to other countries in the region. As a result, we think it's likely that the LLIN coverage estimates informing GBD's malaria modeling for Nigeria have become somewhat outdated since 2019, such that true malaria mortality and prevalence rates in Nigeria may be lower than GBD estimates would suggest.
We therefore apply a rough downward adjustment of 5% to our cost-effectiveness estimate of SMC for most states in Nigeria.</t>
      </text>
    </comment>
    <comment authorId="0" ref="K17">
      <text>
        <t xml:space="preserve">At this stage of our investigation, we are not sure whether an implementer of SMC would deliver 4 or 5 cycles per year in DRC. For now, we have assumed that the standard 4-cycle schedule would be implemented.</t>
      </text>
    </comment>
    <comment authorId="0" ref="L17">
      <text>
        <t xml:space="preserve">At this stage of our investigation, we are not sure whether an implementer of SMC would deliver 4 or 5 cycles per year in DRC. For now, we have assumed that the standard 4-cycle schedule would be implemented.</t>
      </text>
    </comment>
    <comment authorId="0" ref="M17">
      <text>
        <t xml:space="preserve">At this stage of our investigation, we are not sure whether an implementer of SMC would deliver 4 or 5 cycles per year in DRC. For now, we have assumed that the standard 4-cycle schedule would be implemented.</t>
      </text>
    </comment>
    <comment authorId="0" ref="N17">
      <text>
        <t xml:space="preserve">At this stage of our investigation, we are not sure whether an implementer of SMC would deliver 4 or 5 cycles per year in DRC. For now, we have assumed that the standard 4-cycle schedule would be implemented.</t>
      </text>
    </comment>
    <comment authorId="0" ref="I108">
      <text>
        <t xml:space="preserve">GiveWell-funded work by Malaria Consortium made up roughly 50% of total SMC funding in Burkina Faso in 2021, targeting 2 million children out of a total target population of 4.2 million. See https://files.givewell.org/files/DWDA%202009/Malaria%20Consortium/Malaria_Consortium_seasonal_malaria_chemoprevention_program_Philanthropy_report_2021.pdf, page 18. 
This implies that there would be significant scope to prioritize some areas over others in the absence of GiveWell-directed funding. There appears to be moderate variation in malaria rates across Burkina Faso: https://malariaatlas.org/explorer/#/</t>
      </text>
    </comment>
    <comment authorId="0" ref="J108">
      <text>
        <t xml:space="preserve">GiveWell-funded work by Malaria Consortium made up roughly 50% of total SMC funding in Chad, targeting 1.1 million children out of a total target population of 2.2 million in 2021. See https://files.givewell.org/files/DWDA%202009/Malaria%20Consortium/Malaria_Consortium_seasonal_malaria_chemoprevention_program_Philanthropy_report_2021.pdf, page 21. 
This implies that there would be significant scope to prioritize some areas over others in the absence of GiveWell-directed funding. There appears to be fairly low variation in malaria rates in the populated areas of Chad: https://malariaatlas.org/explorer/#/</t>
      </text>
    </comment>
    <comment authorId="0" ref="P17">
      <text>
        <t xml:space="preserve">4 SMC cycles are delivered in Bauchi, Nigeria. See the title header of Table 13 in Malaria Consortium's 2021 coverage survey report, pg 35:
"Table 13: Proportions of households with eligible children visited by a community distributor by Nigerian state and survey (states with four cycles)"
https://files.givewell.org/files/DWDA%202009/Malaria%20Consortium/Malaria_Consortium_2021_SMC_coverage_report_Burkina_Faso_Chad_Mozambique_Nigeria_Togo_and_Uganda.pdf</t>
      </text>
    </comment>
    <comment authorId="0" ref="K108">
      <text>
        <t xml:space="preserve">This column estimates cost-effectiveness in a specific province, so an additional adjustment for marginal funding going to lower-priority areas within a country is not necessary.</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These tables have been copied directly from the Institute of Health Metrics and Evaluation (IHME)'s Global Burden of Disease Project, with a few minor modifications. We have shortened some column titles for brevity. We have also done a find -&gt; replace function to shorten two country names:
Democratic Republic of the Congo -&gt; DRC
United Republic of Tanzania -&gt; Tanzania</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R2">
      <text>
        <t xml:space="preserve">We are engaged in ongoing work on estimating the effect of SMC on malaria in contexts outside the Sahel, so we have decided to wait to publish our uncertainty ranges for CEA parameters in DRC, Mozambique, and Uganda. We plan to add these countries to this sensitivity analysis at a later date.</t>
      </text>
    </comment>
    <comment authorId="0" ref="U2">
      <text>
        <t xml:space="preserve">We are engaged in ongoing work on estimating the effect of SMC on malaria in contexts outside the Sahel, so we have decided to wait to publish our uncertainty ranges for CEA parameters in DRC, Mozambique, and Uganda. We plan to add these countries to this sensitivity analysis at a later date.</t>
      </text>
    </comment>
    <comment authorId="0" ref="X2">
      <text>
        <t xml:space="preserve">We are engaged in ongoing work on estimating the effect of SMC on malaria in contexts outside the Sahel, so we have decided to wait to publish our uncertainty ranges for CEA parameters in DRC, Mozambique, and Uganda. We plan to add these countries to this sensitivity analysis at a later date.</t>
      </text>
    </comment>
    <comment authorId="0" ref="BE2">
      <text>
        <t xml:space="preserve">We are engaged in ongoing work on estimating the effect of SMC on malaria in contexts outside the Sahel, so we have decided to wait to publish our uncertainty ranges for CEA parameters in DRC, Mozambique, and Uganda. We plan to add these countries to this sensitivity analysis at a later date.</t>
      </text>
    </comment>
    <comment authorId="0" ref="L2">
      <text>
        <t xml:space="preserve">We are engaged in ongoing work on estimating the effect of SMC on malaria in contexts outside the Sahel, so we have decided to wait to publish our uncertainty ranges for CEA parameters in DRC, Mozambique, and Uganda. We plan to add these countries to this sensitivity analysis at a later date.</t>
      </text>
    </comment>
    <comment authorId="0" ref="A6">
      <text>
        <t xml:space="preserve">These intervals are based on GiveWell staff members’ subjective levels of uncertainty for each parameter. See footnote 25 in our intervention report for more details on our methodology.
https://www.givewell.org/international/technical/programs/seasonal-malaria-chemoprevention#confidence-interval-explanation</t>
      </text>
    </comment>
    <comment authorId="0" ref="O2">
      <text>
        <t xml:space="preserve">We are engaged in ongoing work on estimating the effect of SMC on malaria in contexts outside the Sahel, so we have decided to wait to publish our uncertainty ranges for CEA parameters in DRC, Mozambique, and Uganda. We plan to add these countries to this sensitivity analysis at a later date.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R2">
      <text>
        <t xml:space="preserve">We plan to add sensitivity analyses for DRC locations once we have more information about specific funding opportunities.</t>
      </text>
    </comment>
    <comment authorId="0" ref="U2">
      <text>
        <t xml:space="preserve">We plan to add sensitivity analyses for DRC locations once we have more information about specific funding opportunities.</t>
      </text>
    </comment>
    <comment authorId="0" ref="A27">
      <text>
        <t xml:space="preserve">These intervals are based on GiveWell staff members’ subjective levels of uncertainty for each parameter. See footnote 25 in our intervention report for more details on our methodology.
https://www.givewell.org/international/technical/programs/seasonal-malaria-chemoprevention#confidence-interval-explanation</t>
      </text>
    </comment>
    <comment authorId="0" ref="L2">
      <text>
        <t xml:space="preserve">We plan to add sensitivity analyses for DRC locations once we have more information about specific funding opportunities.</t>
      </text>
    </comment>
    <comment authorId="0" ref="A6">
      <text>
        <t xml:space="preserve">We calculate these implied cost-effectiveness ranges using Monte Carlo simulation. To sense-check our models, we specify probability distributions for each parameter in our simple CEA (such as baseline mortality rates, treatment effects, or program costs). For most parameters, we define these distributions using our 25th and 75th percentile estimates—the values we believe the true parameter has a 25% and 75% chance of falling below, respectively. When our 25th and 75th percentiles are symmetric, we typically use normal or uniform distributions. When our 25th and 75th percentiles are asymmetric, we use skewed distributions like the lognormal.
The simulation runs 5,000 iterations. In each iteration, it randomly draws values for all parameters from their specified distributions and calculates the resulting cost-effectiveness. After all iterations, we report the 25th and 75th percentiles of the cost-effectiveness results, which represent the range where we expect the true cost-effectiveness to fall with 50% probability (between these bounds). This range reflects the combined uncertainty across all parameters in our model.
We also conduct sensitivity analyses to identify which parameters most influence our cost-effectiveness estimates. For each parameter, we calculate what the mean cost-effectiveness would be if we held that parameter at its 25th or 75th percentile value while allowing all other parameters to vary normally. Parameters that produce the largest changes in cost-effectiveness when adjusted represent the key drivers of uncertainty in our analysis.
For several reasons (e.g. they can't handle covariance, exotic input distributions, or structural uncertainty), the output of these simulations may not perfectly reflect our actual beliefs, which we publish in our grant pages and intervention reports. In those cases, we manually adjust the final results to account for these limitations.
</t>
      </text>
    </comment>
    <comment authorId="0" ref="O2">
      <text>
        <t xml:space="preserve">We plan to add sensitivity analyses for DRC locations once we have more information about specific funding opportunities.</t>
      </text>
    </comment>
  </commentList>
</comments>
</file>

<file path=xl/sharedStrings.xml><?xml version="1.0" encoding="utf-8"?>
<sst xmlns="http://schemas.openxmlformats.org/spreadsheetml/2006/main" count="20408" uniqueCount="589">
  <si>
    <t>Guide to interpreting this cost-effectiveness analysis</t>
  </si>
  <si>
    <t>Malaria Consortium</t>
  </si>
  <si>
    <t>Sheet descriptions</t>
  </si>
  <si>
    <t>Burkina Faso</t>
  </si>
  <si>
    <t>Chad</t>
  </si>
  <si>
    <t>DRC</t>
  </si>
  <si>
    <t>Mozambique</t>
  </si>
  <si>
    <t>Nigeria</t>
  </si>
  <si>
    <t>Togo</t>
  </si>
  <si>
    <t>Uganda</t>
  </si>
  <si>
    <t>Main calculations</t>
  </si>
  <si>
    <t>Supplemental calculations for the leverage/funging adjustment</t>
  </si>
  <si>
    <t>Supplemental calculations for counterfactual malaria mortality and prevalence rates</t>
  </si>
  <si>
    <t>Main CEA</t>
  </si>
  <si>
    <t>unit</t>
  </si>
  <si>
    <t>type</t>
  </si>
  <si>
    <t>Overall</t>
  </si>
  <si>
    <t>Haut-Katanga</t>
  </si>
  <si>
    <t>Haut-Lomami</t>
  </si>
  <si>
    <t>Lualaba</t>
  </si>
  <si>
    <t>Tanganyika</t>
  </si>
  <si>
    <t>Nampula</t>
  </si>
  <si>
    <t>Bauchi</t>
  </si>
  <si>
    <t>Borno</t>
  </si>
  <si>
    <t>FCT (Abuja)</t>
  </si>
  <si>
    <t>Kebbi</t>
  </si>
  <si>
    <t>Kogi</t>
  </si>
  <si>
    <t>Nasarawa</t>
  </si>
  <si>
    <t>Oyo</t>
  </si>
  <si>
    <t>Plateau</t>
  </si>
  <si>
    <t>Sokoto</t>
  </si>
  <si>
    <t>This sheet contains the primary calculations that result in final cost-effectiveness estimates. This sheet draws on inputs from the "Inputs" sheet and inputs calculated in the other supplemental sheets listed below.</t>
  </si>
  <si>
    <t>Karamoja</t>
  </si>
  <si>
    <t>Final cost-effectiveness estimate (pulled from "Main calcs" sheet for visibility)</t>
  </si>
  <si>
    <t>Final cost-effectiveness estimate (pulled from below for visibility)</t>
  </si>
  <si>
    <t>Counterfactual malaria</t>
  </si>
  <si>
    <t>This sheet contains our calculations of how high malaria mortality and prevalence rates would be in the absence of SMC campaigns.</t>
  </si>
  <si>
    <t>main</t>
  </si>
  <si>
    <t>feed</t>
  </si>
  <si>
    <t>Leverage/Funging</t>
  </si>
  <si>
    <t>This sheet contains our calculations of the impact that crowding in and crowding out funding by other contributors has on the benefits of the program.</t>
  </si>
  <si>
    <t>Inputs</t>
  </si>
  <si>
    <t>This sheet contains all of the manually entered input values informing the CEA, along with the sources and reasoning supporting them. This sheet also contains inputs sourced from the "GBD estimates" sheet.</t>
  </si>
  <si>
    <t>GBD estimates</t>
  </si>
  <si>
    <t>This sheet contains disease burden and population datasets downloaded from the Institute of Health Metrics (IHME)'s Global Burden of Disease (GBD) project.</t>
  </si>
  <si>
    <t>Simple CEA</t>
  </si>
  <si>
    <t>Costs</t>
  </si>
  <si>
    <t>This sheet contains a simplified version of the CEA that is designed to be comparable to our CEAs of other programs.</t>
  </si>
  <si>
    <t>Sensitivity analysis</t>
  </si>
  <si>
    <t>This sheet contains the outputs of a sensitivity analysis macro that tests the cost-effectiveness ranges that would result from updating certain inputs to their 25th or 75th percentile values.</t>
  </si>
  <si>
    <t>GiveWell costs</t>
  </si>
  <si>
    <t>Terminology key</t>
  </si>
  <si>
    <t>Grant size</t>
  </si>
  <si>
    <t>Terms specific to this CEA</t>
  </si>
  <si>
    <t>SMC season</t>
  </si>
  <si>
    <t>Malaria mortality among the SMC-eligible population</t>
  </si>
  <si>
    <t xml:space="preserve">The part of the year when SMC is delivered because malaria transmission is highest. In locations where GiveWell currently supports SMC, this is either four or five months each year. </t>
  </si>
  <si>
    <t>SMC cycle</t>
  </si>
  <si>
    <t>Refers to a monthly SMC treatment cycle, which consists of a three-day treatment regimen of SMC medication that provides protection from malaria for one month.</t>
  </si>
  <si>
    <t>SMC round</t>
  </si>
  <si>
    <t>Refers to a year's worth of SMC cycles, which are typically delievered over a period of four to five consecutive months during the rainy season.</t>
  </si>
  <si>
    <t>Malaria mortalities per year among people under age 5</t>
  </si>
  <si>
    <t>Sahel</t>
  </si>
  <si>
    <t>A subregion of Africa where malaria transmission tends to be highly seasonal. Historically, SMC was only delivered at large scale within the Sahel. Since 2020-21, SMC is now being piloted in locations outside the Sahel.</t>
  </si>
  <si>
    <t>Malaria-attributable mortality</t>
  </si>
  <si>
    <t>Deaths that could be averted by SMC, either directly (because they are malaria deaths) or indirectly (because malaria indirectly increases the risk of death from other causes).</t>
  </si>
  <si>
    <t>Indirect malaria deaths</t>
  </si>
  <si>
    <t xml:space="preserve">Deaths in which malaria plays a causal role, but are attributed to another cause. For example, malaria may increase the likelihood of death from malnutrition or other infectious diseases. Malaria control interventions often have a larger effect on all-cause mortality than would be expected exclusively from declines in malaria-specific mortality, which we interpret as evidence that averting malaria may also avert deaths attributed to other causes. </t>
  </si>
  <si>
    <t>Terms used across GiveWell's CEAs</t>
  </si>
  <si>
    <t>Internal validity</t>
  </si>
  <si>
    <t>Describes an adjustment we make to the treatment effect of an intervention to account for the possibility that the treatment effects found in studies may not represent the true effect the intervention had on the populations studied.</t>
  </si>
  <si>
    <t>Cost breakdown</t>
  </si>
  <si>
    <t>External validity</t>
  </si>
  <si>
    <t>Describes an adjustment we make to the treatment effect of an intervention to account for differences in the program implementation or populations treated in studies from the program implementation or populations treated by grantee programs.</t>
  </si>
  <si>
    <t>Percentage of total costs covered by the grantee</t>
  </si>
  <si>
    <t>Leverage</t>
  </si>
  <si>
    <t>Describes a situation where a grantee's spending on a program causes other organizations or governments to contribute more to the program than they otherwise would have. In most cases, accounting for leverage increases cost-effectiveness</t>
  </si>
  <si>
    <t>Funging</t>
  </si>
  <si>
    <t>Describes a situation where a grantee's spending on a program causes other organizations or governments to contribute less to the program than they otherwise would have. In most cases, accounting for funging decreases cost-effectiveness.</t>
  </si>
  <si>
    <t>Counterfactual</t>
  </si>
  <si>
    <t>In most cases, describes the state of the world that would exist if we did not provide funding to a grantee for a program. When discussing the "counterfactual value of other actors' spending," we are referring to how much benefit another organization's or government's spending would generate if it were spent on something other than the grantee program.</t>
  </si>
  <si>
    <t>Moral weights</t>
  </si>
  <si>
    <t xml:space="preserve">To compare cost-effectiveness across different programs, we use ‘moral weights’ to quantify the benefits of different program impacts (e.g. increased income vs reduced deaths). We benchmark the value of each benefit to a value of 1, which we define as the value of doubling someone’s consumption for one year. </t>
  </si>
  <si>
    <t>Philanthropic actors</t>
  </si>
  <si>
    <t>Non-governmental organizations (NGOs) providing funding to philanthropic programs.</t>
  </si>
  <si>
    <t>Unit and source key</t>
  </si>
  <si>
    <t>Early neonatal malaria mortalities per year (babies under 7 days old)</t>
  </si>
  <si>
    <t>Unit labels used in the CEA</t>
  </si>
  <si>
    <t>#</t>
  </si>
  <si>
    <t>Number</t>
  </si>
  <si>
    <t>per 1k</t>
  </si>
  <si>
    <t>Percentage of total costs covered by other philanthropic actors</t>
  </si>
  <si>
    <t>Rate per 1,000</t>
  </si>
  <si>
    <t>per 100k</t>
  </si>
  <si>
    <t>Rate per 100,000</t>
  </si>
  <si>
    <t>$</t>
  </si>
  <si>
    <t>U.S. dollars</t>
  </si>
  <si>
    <t>ln($)</t>
  </si>
  <si>
    <t>The natural logarithm of a monetary value</t>
  </si>
  <si>
    <t>%</t>
  </si>
  <si>
    <t>Percentage</t>
  </si>
  <si>
    <t>ppt</t>
  </si>
  <si>
    <t>Percentage points</t>
  </si>
  <si>
    <t>UoV</t>
  </si>
  <si>
    <t>Units of value: an arbitrary unit GiveWell uses to compare the moral value of different types of outcomes, such as saving lives or increasing income</t>
  </si>
  <si>
    <t>xbenchmark</t>
  </si>
  <si>
    <t>Cost-effectiveness in terms of multiples of GiveWell's benchmark</t>
  </si>
  <si>
    <t>Late neonatal malaria mortalities per year (babies between 7 and 27 days old)</t>
  </si>
  <si>
    <t>Source labels used in the CEA</t>
  </si>
  <si>
    <t>Percentage of total costs covered by domestic governments</t>
  </si>
  <si>
    <t>input</t>
  </si>
  <si>
    <t>A value pulled from the "Inputs" sheet</t>
  </si>
  <si>
    <t>calc</t>
  </si>
  <si>
    <t>A value calculated using other values in the same sheet</t>
  </si>
  <si>
    <t>supp</t>
  </si>
  <si>
    <t>A value pulled from one of the sheets hosting supplemental calculations</t>
  </si>
  <si>
    <t>A value pulled fom the "Main CEA" sheet</t>
  </si>
  <si>
    <t>A value pulled from an earlier section within the same sheet</t>
  </si>
  <si>
    <t>GiveWell analyses informing this model</t>
  </si>
  <si>
    <t>Analyses specific to this CEA</t>
  </si>
  <si>
    <t>GW's analysis of Malaria Consortium's cost per SMC cycle administered</t>
  </si>
  <si>
    <t>Post-neonatal malaria mortalities per year (babies between 28 and 364 days old)</t>
  </si>
  <si>
    <t>Total costs</t>
  </si>
  <si>
    <t>Total spending by all contributors</t>
  </si>
  <si>
    <t>-</t>
  </si>
  <si>
    <t>GW's analysis of the number of SMC cycles delivered per year</t>
  </si>
  <si>
    <t>GW's analysis of the indirect effects of Malaria Consortium's SMC programs relative to Cisse et al. 2016</t>
  </si>
  <si>
    <t>Total spending attributable to different actors</t>
  </si>
  <si>
    <t>GW's analysis of SMC coverage in trials</t>
  </si>
  <si>
    <t>Total spending contributed by grantee</t>
  </si>
  <si>
    <t>GW's analysis of malaria income effect size</t>
  </si>
  <si>
    <t>Estimated malaria mortalities per year among the SMC-eligible population</t>
  </si>
  <si>
    <t>Total spending contributed by other philanthropic actors</t>
  </si>
  <si>
    <t>GW's analysis of subnational mortality rates for SMC</t>
  </si>
  <si>
    <t>Number of post-neonatal months of life in which children are under 1 year old</t>
  </si>
  <si>
    <t>GW's analysis of leverage and funging risk for SMC</t>
  </si>
  <si>
    <t xml:space="preserve">Total spending contributed by domestic governments </t>
  </si>
  <si>
    <t>Analyses referenced across GiveWell's CEAs</t>
  </si>
  <si>
    <t>GW's moral weights and discount rate</t>
  </si>
  <si>
    <t>GW's analysis on estimating multiplier for benefits experienced by other household members</t>
  </si>
  <si>
    <t>Upstream / downstream spending</t>
  </si>
  <si>
    <t>Number of post-neonatal months of life in which children are under 3 months old</t>
  </si>
  <si>
    <t>Total spending causally upstream of donations to grantee</t>
  </si>
  <si>
    <t>GW's supplemental intervention-level adjustments</t>
  </si>
  <si>
    <t>Total spending causally downstream of donations to grantee</t>
  </si>
  <si>
    <t>GWs benchmark for evaluating cost effectiveness</t>
  </si>
  <si>
    <t>Cost per child covered</t>
  </si>
  <si>
    <t>GW's analysis of the counterfactual value of other actors' spending</t>
  </si>
  <si>
    <t>Proportion of post-neonatal malaria mortalities that are among 1-2-month-olds</t>
  </si>
  <si>
    <t>Cost per seasonal malaria chemoprevention (SMC) cycle administered</t>
  </si>
  <si>
    <t>GW's analysis of the counterfactual value of Global Fund spending</t>
  </si>
  <si>
    <t>Estimated malaria mortalities per year among 1-2-month-olds</t>
  </si>
  <si>
    <t>Total malaria mortalities per year among 3-59-month-olds</t>
  </si>
  <si>
    <t>Number of SMC cycles per year</t>
  </si>
  <si>
    <t>Proportion of malaria mortalities among people under age 5 that occur among 3-59-month-olds</t>
  </si>
  <si>
    <t>Total cost per child treated with all cycles of SMC in a year</t>
  </si>
  <si>
    <t>Annual malaria mortality rate among the SMC-eligible population</t>
  </si>
  <si>
    <t>Upstream costs per child treated with all cycles of SMC in a year</t>
  </si>
  <si>
    <t>Annual malaria mortality rate among people under age 5</t>
  </si>
  <si>
    <t>Counterfactual funding scenarios</t>
  </si>
  <si>
    <t>Source</t>
  </si>
  <si>
    <t>GW analysis and discussion</t>
  </si>
  <si>
    <t>Outputs</t>
  </si>
  <si>
    <t>Probability of scenarios in the absence of philanthropic funding</t>
  </si>
  <si>
    <t>Total children covered</t>
  </si>
  <si>
    <t>Scenario 1: Domestic governments would replace the grantee's costs</t>
  </si>
  <si>
    <t>Total people under age 5 receiving a year of SMC</t>
  </si>
  <si>
    <t>Outcomes</t>
  </si>
  <si>
    <t>Implied population of people under age 5</t>
  </si>
  <si>
    <t>Mortality reduction among people under age 5 (treated population)</t>
  </si>
  <si>
    <t>Scenario 2: Global Fund and/or PMI would replace the grantee's costs</t>
  </si>
  <si>
    <t>Reduction in malaria incidence for children under age 5 targeted for SMC found in GiveWell's adjusted version of the Meremikwu et al. 2012 meta-analysis</t>
  </si>
  <si>
    <t>Total number of months of life in which children are under 5 years old</t>
  </si>
  <si>
    <t>Scenario 3: Other actors' upstream costs would stay the same (downstream costs would shrink in proportion to the total size of the program)</t>
  </si>
  <si>
    <t>Estimated proportion of children targeted for SMC in trials that received SMC</t>
  </si>
  <si>
    <t>Implied reduction in malaria incidence among children under age 5 receiving SMC</t>
  </si>
  <si>
    <t>Internal validity adjustment</t>
  </si>
  <si>
    <t>Arbitrary value</t>
  </si>
  <si>
    <t>Scenario 4: Distributions would go unfunded</t>
  </si>
  <si>
    <t>Proportion of the program that would still occur in each scenario</t>
  </si>
  <si>
    <t>External validity adjustment</t>
  </si>
  <si>
    <t>GW analysis</t>
  </si>
  <si>
    <t>GW's analysis of Malaria Consortium's cost per SMC cycle administration</t>
  </si>
  <si>
    <t>Proportion of people under age 5 who are 3-59-month-olds</t>
  </si>
  <si>
    <t>Estimated population of 3-59-month olds</t>
  </si>
  <si>
    <t>Adjustment for lower effectiveness outside the Sahel region of Africa</t>
  </si>
  <si>
    <t>Unadjusted annual malaria mortality rate among 3-59-month-olds</t>
  </si>
  <si>
    <t>Expected reduction in malaria incidence among children under age 5 receiving SMC</t>
  </si>
  <si>
    <t>Adjustment for malaria averted by ITN distributions not accounted for in GBD 2019</t>
  </si>
  <si>
    <t>Ratio of the reduction in malaria mortality to the reduction in malaria incidence</t>
  </si>
  <si>
    <t>Annual malaria mortality rate among 3-59-month-olds</t>
  </si>
  <si>
    <t>Value of spending</t>
  </si>
  <si>
    <t>Expected reduction in malaria mortality among children under age 5 receiving SMC</t>
  </si>
  <si>
    <t>Cost-effectiveness of the program (before leverage and funging)</t>
  </si>
  <si>
    <t>Units of value generated per dollar (before final adjustments)</t>
  </si>
  <si>
    <t>Malaria mortalities among the SMC-eligible population</t>
  </si>
  <si>
    <t>Proportion of malaria mortalities that are among the SMC-eligible population</t>
  </si>
  <si>
    <t>Total malaria mortalities per year</t>
  </si>
  <si>
    <t>Total supplemental grantee-level adjustment</t>
  </si>
  <si>
    <t>Indirect malaria deaths per direct malaria death</t>
  </si>
  <si>
    <t>Malaria mortalities per year among people over age 5</t>
  </si>
  <si>
    <t>Total supplemental intervention-level adjustment</t>
  </si>
  <si>
    <t>GBD 2019</t>
  </si>
  <si>
    <t>Total malaria-attributable mortality rate (including direct and indirect malaria deaths)</t>
  </si>
  <si>
    <t>Malaria mortalities among people over age 5 per malaria mortality among 3-59-month-olds</t>
  </si>
  <si>
    <t>Expected number of annual malaria-attributable mortalities among the target population in the absence of SMC</t>
  </si>
  <si>
    <t>Units of value generated per dollar donated to grantee (after supplemental adjustments)</t>
  </si>
  <si>
    <t>Proportion of annual malaria mortality that occurs during the SMC season</t>
  </si>
  <si>
    <t>Malaria incidence among the SMC-eligible population</t>
  </si>
  <si>
    <t>Malaria incidence among people under age 15</t>
  </si>
  <si>
    <t>Malaria incidence among people age 1 to 4</t>
  </si>
  <si>
    <t>Lives saved by the program (before leverage and funging)</t>
  </si>
  <si>
    <t>Total lives saved (before final adjustments)</t>
  </si>
  <si>
    <t>Expected number of malaria-attributable mortalities among the target population during the SMC season in the absence of SMC</t>
  </si>
  <si>
    <t>Total deaths averted among people under age 5</t>
  </si>
  <si>
    <t>Malaria incidence among people age 5 to 14</t>
  </si>
  <si>
    <t>Mortality reduction among people over age 5 (untreated population)</t>
  </si>
  <si>
    <t>Reduction in malaria incidence among the SMC-eligible population found in Cisse et al. 2016</t>
  </si>
  <si>
    <t>Total supplemental intervention-level adjustment affecting lives saved</t>
  </si>
  <si>
    <t>Reduction in malaria incidence among the population too old to be eligible for SMC found in Cisse et al. 2016</t>
  </si>
  <si>
    <t>Total lives saved (after supplemental adjustments)</t>
  </si>
  <si>
    <t>Malaria mortality rate among the SMC-eligible population</t>
  </si>
  <si>
    <t>Implied proportion of the protective effect of SMC received by the population too old to be eligible for SMC</t>
  </si>
  <si>
    <t>Counterfactual value of spending from non-philanthropic actors</t>
  </si>
  <si>
    <t>Adjustment for differences in program coverage and transmission intensity in the populations studied by the Cisse et al. 2016 trial and the populations targeted by grantee programs</t>
  </si>
  <si>
    <t>Counterfactual value per dollar spent by domestic governments</t>
  </si>
  <si>
    <t>Adjusted malaria incidence among people age 1 to 4</t>
  </si>
  <si>
    <t>Number of months of life in which children are under 3 months old</t>
  </si>
  <si>
    <t>Expected proportion of the protective effect of SMC received by the population too old to be eligible for SMC</t>
  </si>
  <si>
    <t>Counterfactual value per dollar spent by the Global Fund or PMI</t>
  </si>
  <si>
    <t>Adjusted malaria incidence among people age 5 to 14</t>
  </si>
  <si>
    <t>Expected reduction in malaria incidence among people over age 5</t>
  </si>
  <si>
    <t>GW guesstimate</t>
  </si>
  <si>
    <t>Expected reduction in malaria mortality among people over age 5</t>
  </si>
  <si>
    <t>Value generated across different counterfactual scenarios</t>
  </si>
  <si>
    <t>Scenario 1: Domestic governments would replace philanthropic spending</t>
  </si>
  <si>
    <t>Hypothetical impact of shifting government spending</t>
  </si>
  <si>
    <t>Amount of spending domestic governments would shift to the grantee program</t>
  </si>
  <si>
    <t>Value generated by shifting government spending to the grantee program</t>
  </si>
  <si>
    <t>Value lost by shifting spending away from programs domestic governments would otherwise have funded</t>
  </si>
  <si>
    <t>Total deaths averted among people age 5 and older</t>
  </si>
  <si>
    <t>Net value generated by shifting government spending to the grantee program</t>
  </si>
  <si>
    <t>Change in value generated by the grantee program if this scenario represented the true counterfactual</t>
  </si>
  <si>
    <t>Malaria incidence reduction among people under age 15</t>
  </si>
  <si>
    <t>Probability of this scenario representing the true counterfactual</t>
  </si>
  <si>
    <t>Expected change in value generated by the grantee program</t>
  </si>
  <si>
    <t>Global Burden of Disease Study 2019 (GBD 2019) Population Estimates 1950-2019</t>
  </si>
  <si>
    <t>Scenario 2: The Global Fund and/or PMI would replace philanthropic spending</t>
  </si>
  <si>
    <t>Hypothetical impact of shifting Global Fund and/or PMI spending</t>
  </si>
  <si>
    <t>GBD 2019 Results Tool: Malaria mortalities among people under age 5</t>
  </si>
  <si>
    <t>Amount of spending Global Fund and/or PMI would shift to the grantee program</t>
  </si>
  <si>
    <t>Value generated by shifting Global Fund and/or PMI spending to the grantee program</t>
  </si>
  <si>
    <t>GBD 2019 Results Tool: Malaria mortality rate among people under age 5</t>
  </si>
  <si>
    <t>Mortality reduction among people under age 5</t>
  </si>
  <si>
    <t>GBD 2019 Results Tool: Malaria incidence (2019)</t>
  </si>
  <si>
    <t>Value lost by shifting spending away from programs the Global Fund and/or PMI would otherwise have funded</t>
  </si>
  <si>
    <t>Expected reduction in malaria incidence among people age 1 to 4</t>
  </si>
  <si>
    <t>GW's report on seasonal malaria chemoprevention (SMC)</t>
  </si>
  <si>
    <t>Net value generated by shifting Global Fund and/or PMI spending to the grantee program</t>
  </si>
  <si>
    <t>GBD 2019: Malaria mortalities among people under age 5 (Nigerian states)</t>
  </si>
  <si>
    <t>GBD 2019: Malaria mortality rate among people under age 5 (Nigerian states)</t>
  </si>
  <si>
    <t>GBD 2019: Malaria incidence rate among people under age 5 (Nigerian states)</t>
  </si>
  <si>
    <t>Expected reduction in malaria incidence among people age 5 to 14</t>
  </si>
  <si>
    <t>Location</t>
  </si>
  <si>
    <t>Sex</t>
  </si>
  <si>
    <t>Age group</t>
  </si>
  <si>
    <t>Year</t>
  </si>
  <si>
    <t>Measure</t>
  </si>
  <si>
    <t>Metric</t>
  </si>
  <si>
    <t>val</t>
  </si>
  <si>
    <t>upper</t>
  </si>
  <si>
    <t>lower</t>
  </si>
  <si>
    <t>measure</t>
  </si>
  <si>
    <t>location</t>
  </si>
  <si>
    <t>sex</t>
  </si>
  <si>
    <t>age</t>
  </si>
  <si>
    <t>cause</t>
  </si>
  <si>
    <t>metric</t>
  </si>
  <si>
    <t>year</t>
  </si>
  <si>
    <t>Condition</t>
  </si>
  <si>
    <t>National population age 1 to 4</t>
  </si>
  <si>
    <t>Age</t>
  </si>
  <si>
    <t>Unit</t>
  </si>
  <si>
    <t>Forecast Scenario</t>
  </si>
  <si>
    <t>Value</t>
  </si>
  <si>
    <t>Lower</t>
  </si>
  <si>
    <t>Upper</t>
  </si>
  <si>
    <t>Data Suite</t>
  </si>
  <si>
    <t>Angola</t>
  </si>
  <si>
    <t>both</t>
  </si>
  <si>
    <t>&lt;1 year</t>
  </si>
  <si>
    <t>Population</t>
  </si>
  <si>
    <t>Deaths</t>
  </si>
  <si>
    <t>Gambia</t>
  </si>
  <si>
    <t>Both</t>
  </si>
  <si>
    <t>&lt;5 years</t>
  </si>
  <si>
    <t>Malaria</t>
  </si>
  <si>
    <t>Rate</t>
  </si>
  <si>
    <t>Incidence</t>
  </si>
  <si>
    <t>India</t>
  </si>
  <si>
    <t>5-14 years</t>
  </si>
  <si>
    <t>Scenario 3: The government would spend the same amount and the program would be smaller</t>
  </si>
  <si>
    <t>Under 5</t>
  </si>
  <si>
    <t>Abia</t>
  </si>
  <si>
    <t>Past estimate</t>
  </si>
  <si>
    <t>2019</t>
  </si>
  <si>
    <t>Amount of spending domestic governments would shift away from the grantee program</t>
  </si>
  <si>
    <t>Rate (per 100,000)</t>
  </si>
  <si>
    <t>National population age 5 to 14</t>
  </si>
  <si>
    <t>1 to 4</t>
  </si>
  <si>
    <t>&lt;20 years</t>
  </si>
  <si>
    <t>0-6 days</t>
  </si>
  <si>
    <t>Bangladesh</t>
  </si>
  <si>
    <t>Value generated by shifting spending toward programs domestic governments would otherwise have supported</t>
  </si>
  <si>
    <t>Somalia</t>
  </si>
  <si>
    <t>7 to 27 days (late neonatal)</t>
  </si>
  <si>
    <t>Adamawa</t>
  </si>
  <si>
    <t>5 to 14</t>
  </si>
  <si>
    <t>0 to 14</t>
  </si>
  <si>
    <t>7-27 days</t>
  </si>
  <si>
    <t>Value lost by shifting government spending away from the grantee program</t>
  </si>
  <si>
    <t>Benin</t>
  </si>
  <si>
    <t>Number of 5-14-year-olds exposed to spillover effects per person targeted to receive SMC</t>
  </si>
  <si>
    <t>1-4 years</t>
  </si>
  <si>
    <t>Net value generated by shifting government spending away from the grantee program</t>
  </si>
  <si>
    <t>28 to 364 days (post neonatal)</t>
  </si>
  <si>
    <t>Akwa Ibom</t>
  </si>
  <si>
    <t>28-364 days</t>
  </si>
  <si>
    <t>Bhutan</t>
  </si>
  <si>
    <t>Total 5-14-year-olds exposed to spillover effects from SMC</t>
  </si>
  <si>
    <t>Zambia</t>
  </si>
  <si>
    <t>Mortality reduction among people over age 5</t>
  </si>
  <si>
    <t>All Ages</t>
  </si>
  <si>
    <t>Anambra</t>
  </si>
  <si>
    <t>10 to 14</t>
  </si>
  <si>
    <t>All ages</t>
  </si>
  <si>
    <t>Botswana</t>
  </si>
  <si>
    <t>Cisse et al. 2016</t>
  </si>
  <si>
    <t>Malaria cases averted among people under age 5</t>
  </si>
  <si>
    <t>10 to 19</t>
  </si>
  <si>
    <t>Expected change in value generated by the program</t>
  </si>
  <si>
    <t>Kenya</t>
  </si>
  <si>
    <t>Bayelsa</t>
  </si>
  <si>
    <t>Malaria cases averted among people age 5 to 14</t>
  </si>
  <si>
    <t>10 to 24</t>
  </si>
  <si>
    <t>Scenario 4: The grantee program would go unfunded</t>
  </si>
  <si>
    <t>Comoros</t>
  </si>
  <si>
    <t>Burundi</t>
  </si>
  <si>
    <t>Benue</t>
  </si>
  <si>
    <t>15 to 19</t>
  </si>
  <si>
    <t>Long-term income increases for people under age 15</t>
  </si>
  <si>
    <t>Cabo Verde</t>
  </si>
  <si>
    <t>Value generated by shifting spending to programs domestic governments would otherwise have funded</t>
  </si>
  <si>
    <t>Malaria prevalence reduction among people under age 15</t>
  </si>
  <si>
    <t>Increase in annual income per malaria case averted among people under age 15</t>
  </si>
  <si>
    <t>15 to 39</t>
  </si>
  <si>
    <t>Cameroon</t>
  </si>
  <si>
    <t>Cross River</t>
  </si>
  <si>
    <t>15-49 years</t>
  </si>
  <si>
    <t>CĆ´te d'Ivoire</t>
  </si>
  <si>
    <t>Adjusted increase in ln(income) per malaria case averted among people under age 15</t>
  </si>
  <si>
    <t>Delta</t>
  </si>
  <si>
    <t>20 plus</t>
  </si>
  <si>
    <t>Average number of years between receiving SMC and the beginning of long-term benefits</t>
  </si>
  <si>
    <t>Central African Republic</t>
  </si>
  <si>
    <t>Ebonyi</t>
  </si>
  <si>
    <t>20 to 24</t>
  </si>
  <si>
    <t>Edo</t>
  </si>
  <si>
    <t>25 plus</t>
  </si>
  <si>
    <t>Discount rate for future benefits</t>
  </si>
  <si>
    <t>Ethiopia</t>
  </si>
  <si>
    <t>Final leverage and funging adjustment</t>
  </si>
  <si>
    <t>Ekiti</t>
  </si>
  <si>
    <t>25 to 29</t>
  </si>
  <si>
    <t>Congo</t>
  </si>
  <si>
    <t>Change in value generated as a result of leverage and funging</t>
  </si>
  <si>
    <t>Total value generated by grantee spending before adjusting for leverage and funging</t>
  </si>
  <si>
    <t>Enugu</t>
  </si>
  <si>
    <t>Discounted increase in ln(income) per malaria case averted among people under age 15</t>
  </si>
  <si>
    <t>25 to 49</t>
  </si>
  <si>
    <t>Expected number of years the long-term benefits of receiving SMC will last</t>
  </si>
  <si>
    <t>Change in value generated as a result of crowding funding into the program (leverage)</t>
  </si>
  <si>
    <t>30 to 34</t>
  </si>
  <si>
    <t>Djibouti</t>
  </si>
  <si>
    <t>Change in value generated as a result of crowding funding out of the program (funging)</t>
  </si>
  <si>
    <t>Gombe</t>
  </si>
  <si>
    <t>Present value of individual lifetime benefits per malaria case averted among people under age 15</t>
  </si>
  <si>
    <t>35 to 39</t>
  </si>
  <si>
    <t>Equatorial Guinea</t>
  </si>
  <si>
    <t>Total expected change in value generated as a result of leverage and funging</t>
  </si>
  <si>
    <t>Imo</t>
  </si>
  <si>
    <t>Multiplier for resource sharing within households</t>
  </si>
  <si>
    <t>40 to 44</t>
  </si>
  <si>
    <t>Eritrea</t>
  </si>
  <si>
    <t>Eswatini</t>
  </si>
  <si>
    <t>Total value generated by grantee spending after adjusting for leverage and funging</t>
  </si>
  <si>
    <t>Jigawa</t>
  </si>
  <si>
    <t>UOV</t>
  </si>
  <si>
    <t>45 to 49</t>
  </si>
  <si>
    <t>Guinea-Bissau</t>
  </si>
  <si>
    <t>Kaduna</t>
  </si>
  <si>
    <t>Present value of total lifetime benefits per malaria case averted among people under age 15</t>
  </si>
  <si>
    <t>5 to 19</t>
  </si>
  <si>
    <t>Adjustment for the possibility of crowding funding into the program (leverage)</t>
  </si>
  <si>
    <t>Present value of increase in units of annual ln(income) among people under age 5</t>
  </si>
  <si>
    <t>Kano</t>
  </si>
  <si>
    <t>Adjustment for the possibility of crowding funding out of the program (funging)</t>
  </si>
  <si>
    <t>5 to 9</t>
  </si>
  <si>
    <t>Present value of increase in units of annual ln(income) among people age 5 to 14</t>
  </si>
  <si>
    <t>Gabon</t>
  </si>
  <si>
    <t>Malawi</t>
  </si>
  <si>
    <t>Value of outcomes</t>
  </si>
  <si>
    <t>Katsina</t>
  </si>
  <si>
    <t>Adjustment for leverage and funging</t>
  </si>
  <si>
    <t>50 to 54</t>
  </si>
  <si>
    <t>Total present value of units of increase in units of annual ln(income) among people under age 15</t>
  </si>
  <si>
    <t>Value assigned to averting a malaria-attributable death of a person under age 5</t>
  </si>
  <si>
    <t>50-69 years</t>
  </si>
  <si>
    <t>Leverage and funging adjustment for counterfactual impact estimates</t>
  </si>
  <si>
    <t>Ghana</t>
  </si>
  <si>
    <t>Pakistan</t>
  </si>
  <si>
    <t>GW value judgment</t>
  </si>
  <si>
    <t>Value assigned to averting a malaria-attributable death of a person age 5 or older</t>
  </si>
  <si>
    <t>Leverage and funging adjustment for counterfactual output estimates</t>
  </si>
  <si>
    <t>Units of value from mortality reduction among people under age 5</t>
  </si>
  <si>
    <t>Value assigned to doubling consumption for one person for one year</t>
  </si>
  <si>
    <t>Guinea</t>
  </si>
  <si>
    <t>Kwara</t>
  </si>
  <si>
    <t>Value assigned to increasing ln(consumption) by one unit for one person for one year</t>
  </si>
  <si>
    <t>55 plus</t>
  </si>
  <si>
    <t>Lagos</t>
  </si>
  <si>
    <t>Leverage and funging adjustment for counterfactual outcome estimates (lives saved)</t>
  </si>
  <si>
    <t>55 to 59</t>
  </si>
  <si>
    <t>Summary of outcomes and initial cost-effectiveness (before final adjustments)</t>
  </si>
  <si>
    <t>Units of value from under-5 deaths averted (before accounting for leverage and funging)</t>
  </si>
  <si>
    <t>60 to 64</t>
  </si>
  <si>
    <t>South Sudan</t>
  </si>
  <si>
    <t>Cost-effectiveness benchmark</t>
  </si>
  <si>
    <t>Units of value per dollar spent, benchmark</t>
  </si>
  <si>
    <t>Niger</t>
  </si>
  <si>
    <t>Units of value from mortality reduction among people age 5 and older</t>
  </si>
  <si>
    <t>Mortalities averted among people under age 5 by the counterfactual usage of leveraged funds, assuming they would have been spent on exclusively life-saving programs</t>
  </si>
  <si>
    <t>65 to 69</t>
  </si>
  <si>
    <t>Lesotho</t>
  </si>
  <si>
    <t>Ogun</t>
  </si>
  <si>
    <t>65 to 74</t>
  </si>
  <si>
    <t>Adjustments</t>
  </si>
  <si>
    <t>Liberia</t>
  </si>
  <si>
    <t>Ondo</t>
  </si>
  <si>
    <t>Supplemental grantee-level adjustments</t>
  </si>
  <si>
    <t>70 to 74</t>
  </si>
  <si>
    <t>Madagascar</t>
  </si>
  <si>
    <t>Risk of wastage</t>
  </si>
  <si>
    <t>Units of value from 5-and-over deaths averted (before accounting for leverage and funging)</t>
  </si>
  <si>
    <t>Leverage adjustment for counterfactual outcome estimates</t>
  </si>
  <si>
    <t>Osun</t>
  </si>
  <si>
    <t>Double treatment</t>
  </si>
  <si>
    <t>70+ years</t>
  </si>
  <si>
    <t>Rwanda</t>
  </si>
  <si>
    <t>Ineffective goods</t>
  </si>
  <si>
    <t>Funging adjustment for counterfactual outcome estimates</t>
  </si>
  <si>
    <t>Units of value from long-term income increases for people under age 15</t>
  </si>
  <si>
    <t>Goods purchased and left in storage until they expire / cash doesn't receive recipients or is taken back from them inappropriately</t>
  </si>
  <si>
    <t>75 plus</t>
  </si>
  <si>
    <t>Quality of monitoring and evaluation</t>
  </si>
  <si>
    <t>Mali</t>
  </si>
  <si>
    <t>Misappropriation without monitoring results</t>
  </si>
  <si>
    <t>75 to 79</t>
  </si>
  <si>
    <t>Leverage and funging adjustment for counterfactual outcome estimates</t>
  </si>
  <si>
    <t>Mauritania</t>
  </si>
  <si>
    <t>False monitoring results</t>
  </si>
  <si>
    <t>Rivers</t>
  </si>
  <si>
    <t>Confidence in funds being used for intended purpose</t>
  </si>
  <si>
    <t>75 to 84</t>
  </si>
  <si>
    <t>Units of value from long-term income increases (before accounting for leverage and funging)</t>
  </si>
  <si>
    <t>Change of priorities</t>
  </si>
  <si>
    <t>Non-funding bottlenecks</t>
  </si>
  <si>
    <t>80 plus</t>
  </si>
  <si>
    <t>Units of value generated from long-term income increases per year of SMC treatment</t>
  </si>
  <si>
    <t>Namibia</t>
  </si>
  <si>
    <t>Tanzania</t>
  </si>
  <si>
    <t>Within-org fungibility</t>
  </si>
  <si>
    <t>Taraba</t>
  </si>
  <si>
    <t>80 to 84</t>
  </si>
  <si>
    <t>Nepal</t>
  </si>
  <si>
    <t>Supplemental intervention-level adjustments</t>
  </si>
  <si>
    <t>Summary of outcomes</t>
  </si>
  <si>
    <t>Yobe</t>
  </si>
  <si>
    <t>Malaria morbidity</t>
  </si>
  <si>
    <t>85 plus</t>
  </si>
  <si>
    <t>Short-term anemia effects</t>
  </si>
  <si>
    <t>Zamfara</t>
  </si>
  <si>
    <t>Investment of income increases</t>
  </si>
  <si>
    <t>85 to 89</t>
  </si>
  <si>
    <t>Treatment costs averted from prevention</t>
  </si>
  <si>
    <t>Serious adverse events due to side effects of treatment</t>
  </si>
  <si>
    <t>90 to 94</t>
  </si>
  <si>
    <t>Total malaria cases averted among people under age 15</t>
  </si>
  <si>
    <t>Grant</t>
  </si>
  <si>
    <t>Failure to ingest first day of treatment of SMC</t>
  </si>
  <si>
    <t>South Africa</t>
  </si>
  <si>
    <t>Rebound effects / decreased immunity development</t>
  </si>
  <si>
    <t>95 plus</t>
  </si>
  <si>
    <t>Drug resistance</t>
  </si>
  <si>
    <t>Under-five mortality benefits</t>
  </si>
  <si>
    <t>Value of individual outcomes</t>
  </si>
  <si>
    <t>Cost per person under age five reached</t>
  </si>
  <si>
    <t>Subnational adjustments</t>
  </si>
  <si>
    <t>Sao Tome and Principe</t>
  </si>
  <si>
    <t>Marginal funding goes to lower priority areas</t>
  </si>
  <si>
    <t>Birth</t>
  </si>
  <si>
    <t>Senegal</t>
  </si>
  <si>
    <t>Early Neonatal</t>
  </si>
  <si>
    <t>Number of people under age five reached</t>
  </si>
  <si>
    <t>Sierra Leone</t>
  </si>
  <si>
    <t>Late Neonatal</t>
  </si>
  <si>
    <t>Leverage and funging adjustment</t>
  </si>
  <si>
    <t>Proportion of reached children who would have received SMC in the absence of the program</t>
  </si>
  <si>
    <t>Neonatal</t>
  </si>
  <si>
    <t>Number of additional children receiving SMC as a result of the program</t>
  </si>
  <si>
    <t>Zimbabwe</t>
  </si>
  <si>
    <t>Value of increased income through averting a case of malaria in a person under age 15</t>
  </si>
  <si>
    <t>Post Neonatal</t>
  </si>
  <si>
    <t>Malaria-attributable mortality rate among people under age five</t>
  </si>
  <si>
    <t>Total value of outcomes</t>
  </si>
  <si>
    <t>Units of value from under-5 deaths averted (before final adjustments)</t>
  </si>
  <si>
    <t>Units of value from over-5 deaths averted (before final adjustments)</t>
  </si>
  <si>
    <t>Proportion of malaria mortality occurring during the SMC season</t>
  </si>
  <si>
    <t>Units of value from long-term income increases (before final adjustments)</t>
  </si>
  <si>
    <t>Initial cost-effectiveness (before final adjustments)</t>
  </si>
  <si>
    <t>Effect of SMC on under-five deaths related to malaria</t>
  </si>
  <si>
    <t>Total units of value from all outcomes (before final adjustments)</t>
  </si>
  <si>
    <t>Number of deaths averted among people under age five</t>
  </si>
  <si>
    <t>Initial cost-effectiveness estimate</t>
  </si>
  <si>
    <t>Cost per under-five death averted</t>
  </si>
  <si>
    <t>Moral value of averting the death of a person under age five</t>
  </si>
  <si>
    <t>Cost-effectiveness in terms of multiples of our benchmark (before final adjustments)</t>
  </si>
  <si>
    <t>Initial cost-effectiveness in terms of multiples of our benchmark</t>
  </si>
  <si>
    <t>Proportion of impact attributed to different outcomes</t>
  </si>
  <si>
    <t>Proportion of total units of value attributed to mortality reduction among people under age 5</t>
  </si>
  <si>
    <t>Proportion of total units of value attributed to mortality reduction among people over age 5</t>
  </si>
  <si>
    <t>Proportion of total units of value attributed to long-term income increases</t>
  </si>
  <si>
    <t>Adjustments for other benefits</t>
  </si>
  <si>
    <t>Adjustment to account for mortalities averted among people age 5 and older</t>
  </si>
  <si>
    <t>Cost per life saved (before final adjustments)</t>
  </si>
  <si>
    <t>Adjustment to account for developmental benefits (long-term income increases)</t>
  </si>
  <si>
    <t>Percentage of program impact coming from different benefits</t>
  </si>
  <si>
    <t>Mortalities averted for people under age five</t>
  </si>
  <si>
    <t>Mortalities averted for people over age five</t>
  </si>
  <si>
    <t>Developmental benefits (long-term income increases)</t>
  </si>
  <si>
    <t>Supplemental adjustments</t>
  </si>
  <si>
    <t>Adjustment for additional program benefits and downsides</t>
  </si>
  <si>
    <t>Côte d'Ivoire</t>
  </si>
  <si>
    <t>Adjustment for grantee-level factors</t>
  </si>
  <si>
    <t>Adjustment for leverage</t>
  </si>
  <si>
    <t>25th</t>
  </si>
  <si>
    <t>Best guess</t>
  </si>
  <si>
    <t>75th</t>
  </si>
  <si>
    <t>Final cost-effectiveness estimate (pulled from "Main calcs" sheet)</t>
  </si>
  <si>
    <t>Adjustment for funging</t>
  </si>
  <si>
    <t>Final cost-effectiveness estimate</t>
  </si>
  <si>
    <t>Final cost-effectiveness in terms of multiples of our benchmark</t>
  </si>
  <si>
    <t>Final cost per life saved</t>
  </si>
  <si>
    <t>GiveWell's 25th and 75th percentile values for key inputs</t>
  </si>
  <si>
    <t>Adjustments not affecting cost per life saved</t>
  </si>
  <si>
    <t>Sensitivity analysis results</t>
  </si>
  <si>
    <t>Cost-effectiveness estimate for the 25th and 75th percentile value</t>
  </si>
  <si>
    <t>Monte Carlo sheet URL</t>
  </si>
  <si>
    <t>1KJc044yDKZ_DpBWvqMZVDvlo3r2TcD0bfpSktm05X9E</t>
  </si>
  <si>
    <t>Adjustments affecting cost per life saved</t>
  </si>
  <si>
    <t>Overall adjustment for leverage and funging</t>
  </si>
  <si>
    <t>Cost-effectiveness (after final adustments)</t>
  </si>
  <si>
    <t>Cost-effectiveness after all adjustments</t>
  </si>
  <si>
    <t>Units of value generated per dollar spent by the grantee, after accounting for all adjustments</t>
  </si>
  <si>
    <t>Cost-effectiveness in terms of multiples of our benchmark, after all adjustments</t>
  </si>
  <si>
    <t>Counterfactual impact</t>
  </si>
  <si>
    <t>Adjustments affecting program outputs (people covered)</t>
  </si>
  <si>
    <t>Overall adjustment for program outputs</t>
  </si>
  <si>
    <t>Adjustments affecting program outcomes (lives saved)</t>
  </si>
  <si>
    <t>Overall adjustment for program outcomes</t>
  </si>
  <si>
    <t>Counterfactual program outputs</t>
  </si>
  <si>
    <t>Total people receiving SMC who wouldn't have received it otherwise</t>
  </si>
  <si>
    <t>Cost per person counterfactually receiving SMC</t>
  </si>
  <si>
    <t>Counterfactual program outcomes</t>
  </si>
  <si>
    <t>Total lives saved that wouldn't have been saved otherwise</t>
  </si>
  <si>
    <t>Cost per life counterfactually saved</t>
  </si>
  <si>
    <t>Cote d'Ivoire</t>
  </si>
  <si>
    <t>Additional adjustments</t>
  </si>
  <si>
    <t>Final cost-effectiveness estimate, 25th and 75th percentiles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</si>
</sst>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0.0%"/>
    <numFmt numFmtId="166" formatCode="&quot;$&quot;#,##0"/>
    <numFmt numFmtId="167" formatCode="&quot;$&quot;#,##0.00"/>
    <numFmt numFmtId="168" formatCode="0.0000"/>
    <numFmt numFmtId="169" formatCode="0.0"/>
    <numFmt numFmtId="170" formatCode="0.000"/>
    <numFmt numFmtId="171" formatCode="#,##0.000"/>
    <numFmt numFmtId="172" formatCode="0.00000"/>
  </numFmts>
  <fonts count="64">
    <font>
      <sz val="10.0"/>
      <color rgb="FF000000"/>
      <name val="Arial"/>
      <scheme val="minor"/>
    </font>
    <font>
      <b/>
      <sz val="11.0"/>
      <color theme="1"/>
      <name val="Calibri"/>
    </font>
    <font/>
    <font>
      <b/>
      <sz val="11.0"/>
      <color rgb="FF000000"/>
      <name val="Calibri"/>
    </font>
    <font>
      <sz val="11.0"/>
      <color theme="1"/>
      <name val="Calibri"/>
    </font>
    <font>
      <u/>
      <sz val="11.0"/>
      <color rgb="FF0000FF"/>
      <name val="Calibri"/>
    </font>
    <font>
      <u/>
      <sz val="11.0"/>
      <color rgb="FF0000FF"/>
      <name val="Calibri"/>
    </font>
    <font>
      <sz val="11.0"/>
      <color rgb="FF000000"/>
      <name val="Calibri"/>
    </font>
    <font>
      <u/>
      <sz val="11.0"/>
      <color rgb="FF0000FF"/>
      <name val="Calibri"/>
    </font>
    <font>
      <u/>
      <sz val="11.0"/>
      <color theme="1"/>
      <name val="Calibri"/>
    </font>
    <font>
      <u/>
      <sz val="11.0"/>
      <color theme="1"/>
      <name val="Calibri"/>
    </font>
    <font>
      <u/>
      <sz val="11.0"/>
      <color theme="1"/>
      <name val="Calibri"/>
    </font>
    <font>
      <u/>
      <sz val="11.0"/>
      <color theme="1"/>
      <name val="Calibri"/>
    </font>
    <font>
      <u/>
      <sz val="11.0"/>
      <color rgb="FF1155CC"/>
      <name val="Calibri"/>
    </font>
    <font>
      <u/>
      <color theme="1"/>
      <name val="Arial"/>
      <scheme val="minor"/>
    </font>
    <font>
      <u/>
      <sz val="11.0"/>
      <color rgb="FF0000FF"/>
      <name val="Calibri"/>
    </font>
    <font>
      <u/>
      <sz val="11.0"/>
      <color rgb="FF1155CC"/>
      <name val="Calibri"/>
    </font>
    <font>
      <u/>
      <sz val="11.0"/>
      <color rgb="FF0000FF"/>
      <name val="Calibri"/>
    </font>
    <font>
      <u/>
      <sz val="11.0"/>
      <color rgb="FF0000FF"/>
      <name val="Calibri"/>
    </font>
    <font>
      <u/>
      <sz val="11.0"/>
      <color theme="1"/>
      <name val="Calibri"/>
    </font>
    <font>
      <u/>
      <sz val="11.0"/>
      <color rgb="FF0000FF"/>
      <name val="Calibri"/>
    </font>
    <font>
      <u/>
      <sz val="11.0"/>
      <color rgb="FF0000FF"/>
      <name val="Calibri"/>
    </font>
    <font>
      <u/>
      <sz val="11.0"/>
      <color rgb="FF1155CC"/>
      <name val="Calibri"/>
    </font>
    <font>
      <u/>
      <sz val="11.0"/>
      <color rgb="FF1155CC"/>
      <name val="Calibri"/>
    </font>
    <font>
      <u/>
      <sz val="11.0"/>
      <color rgb="FF1155CC"/>
      <name val="Calibri"/>
    </font>
    <font>
      <u/>
      <sz val="11.0"/>
      <color rgb="FF0000FF"/>
      <name val="Calibri"/>
    </font>
    <font>
      <color theme="1"/>
      <name val="Arial"/>
    </font>
    <font>
      <u/>
      <sz val="11.0"/>
      <color theme="1"/>
      <name val="Calibri"/>
    </font>
    <font>
      <u/>
      <color rgb="FF0000FF"/>
    </font>
    <font>
      <u/>
      <sz val="11.0"/>
      <color rgb="FF0000FF"/>
      <name val="Calibri"/>
    </font>
    <font>
      <b/>
      <u/>
      <sz val="11.0"/>
      <color theme="1"/>
      <name val="Calibri"/>
    </font>
    <font>
      <u/>
      <sz val="11.0"/>
      <color theme="1"/>
      <name val="Calibri"/>
    </font>
    <font>
      <u/>
      <sz val="11.0"/>
      <color theme="1"/>
      <name val="Calibri"/>
    </font>
    <font>
      <u/>
      <sz val="11.0"/>
      <color rgb="FF0000FF"/>
      <name val="Calibri"/>
    </font>
    <font>
      <u/>
      <sz val="11.0"/>
      <color rgb="FF0000FF"/>
      <name val="Calibri"/>
    </font>
    <font>
      <u/>
      <sz val="11.0"/>
      <color rgb="FF0000FF"/>
      <name val="Calibri"/>
    </font>
    <font>
      <u/>
      <sz val="11.0"/>
      <color rgb="FF000000"/>
      <name val="Calibri"/>
    </font>
    <font>
      <u/>
      <sz val="11.0"/>
      <color theme="1"/>
      <name val="Calibri"/>
    </font>
    <font>
      <color theme="1"/>
      <name val="Arial"/>
      <scheme val="minor"/>
    </font>
    <font>
      <color rgb="FF000000"/>
      <name val="Arial"/>
    </font>
    <font>
      <b/>
      <u/>
      <color rgb="FF000000"/>
      <name val="Arial"/>
    </font>
    <font>
      <b/>
      <u/>
      <color rgb="FF000000"/>
      <name val="Arial"/>
    </font>
    <font>
      <color rgb="FF000000"/>
      <name val="Arial"/>
      <scheme val="minor"/>
    </font>
    <font>
      <b/>
      <u/>
      <color rgb="FF000000"/>
      <name val="Arial"/>
    </font>
    <font>
      <b/>
      <u/>
      <color rgb="FF000000"/>
      <name val="Arial"/>
    </font>
    <font>
      <b/>
      <color theme="1"/>
      <name val="Arial"/>
    </font>
    <font>
      <u/>
      <sz val="11.0"/>
      <color rgb="FF0000FF"/>
      <name val="Calibri"/>
    </font>
    <font>
      <u/>
      <sz val="11.0"/>
      <color theme="1"/>
      <name val="Calibri"/>
    </font>
    <font>
      <u/>
      <sz val="11.0"/>
      <color rgb="FF0000FF"/>
      <name val="Calibri"/>
    </font>
    <font>
      <u/>
      <sz val="11.0"/>
      <color rgb="FF0000FF"/>
      <name val="Calibri"/>
    </font>
    <font>
      <u/>
      <color rgb="FF0000FF"/>
      <name val="Arial"/>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theme="1"/>
      <name val="Calibri"/>
    </font>
    <font>
      <u/>
      <sz val="11.0"/>
      <color rgb="FF000000"/>
      <name val="Calibri"/>
    </font>
    <font>
      <u/>
      <sz val="11.0"/>
      <color theme="1"/>
      <name val="Calibri"/>
    </font>
    <font>
      <i/>
      <sz val="11.0"/>
      <color theme="1"/>
      <name val="Calibri"/>
    </font>
    <font>
      <sz val="11.0"/>
      <color rgb="FF666666"/>
      <name val="Calibri"/>
    </font>
    <font>
      <i/>
      <sz val="11.0"/>
      <color rgb="FF000000"/>
      <name val="Calibri"/>
    </font>
    <font>
      <color rgb="FF666666"/>
      <name val="Arial"/>
      <scheme val="minor"/>
    </font>
    <font>
      <u/>
      <sz val="11.0"/>
      <color theme="1"/>
      <name val="Calibri"/>
    </font>
  </fonts>
  <fills count="5">
    <fill>
      <patternFill patternType="none"/>
    </fill>
    <fill>
      <patternFill patternType="lightGray"/>
    </fill>
    <fill>
      <patternFill patternType="solid">
        <fgColor rgb="FFBAD2DE"/>
        <bgColor rgb="FFBAD2DE"/>
      </patternFill>
    </fill>
    <fill>
      <patternFill patternType="solid">
        <fgColor rgb="FFE8F0F4"/>
        <bgColor rgb="FFE8F0F4"/>
      </patternFill>
    </fill>
    <fill>
      <patternFill patternType="solid">
        <fgColor rgb="FFFFFFFF"/>
        <bgColor rgb="FFFFFFFF"/>
      </patternFill>
    </fill>
  </fills>
  <borders count="47">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right style="thin">
        <color rgb="FF999999"/>
      </right>
      <top style="thin">
        <color rgb="FF999999"/>
      </top>
    </border>
    <border>
      <bottom style="thin">
        <color rgb="FF999999"/>
      </bottom>
    </border>
    <border>
      <left style="thin">
        <color rgb="FF999999"/>
      </left>
      <top style="thin">
        <color rgb="FF999999"/>
      </top>
      <bottom style="thin">
        <color rgb="FF999999"/>
      </bottom>
    </border>
    <border>
      <top style="thin">
        <color rgb="FF999999"/>
      </top>
      <bottom style="thin">
        <color rgb="FF999999"/>
      </bottom>
    </border>
    <border>
      <left style="thin">
        <color rgb="FF999999"/>
      </left>
    </border>
    <border>
      <right style="thin">
        <color rgb="FF999999"/>
      </right>
    </border>
    <border>
      <left style="thin">
        <color rgb="FF999999"/>
      </left>
      <right style="thin">
        <color rgb="FF999999"/>
      </right>
    </border>
    <border>
      <right style="thin">
        <color rgb="FF999999"/>
      </right>
      <top style="thin">
        <color rgb="FF999999"/>
      </top>
      <bottom style="thin">
        <color rgb="FF999999"/>
      </bottom>
    </border>
    <border>
      <left style="thin">
        <color rgb="FF999999"/>
      </left>
      <bottom style="thin">
        <color rgb="FF999999"/>
      </bottom>
    </border>
    <border>
      <right style="thin">
        <color rgb="FF999999"/>
      </right>
      <bottom style="thin">
        <color rgb="FF999999"/>
      </bottom>
    </border>
    <border>
      <left style="thin">
        <color rgb="FF999999"/>
      </left>
      <right style="thin">
        <color rgb="FF999999"/>
      </right>
      <bottom style="thin">
        <color rgb="FF999999"/>
      </bottom>
    </border>
    <border>
      <bottom style="thin">
        <color rgb="FFCCCCCC"/>
      </bottom>
    </border>
    <border>
      <right style="thin">
        <color rgb="FF999999"/>
      </right>
      <bottom style="thin">
        <color rgb="FFCCCCCC"/>
      </bottom>
    </border>
    <border>
      <top style="thin">
        <color rgb="FFCCCCCC"/>
      </top>
      <bottom style="thin">
        <color rgb="FFCCCCCC"/>
      </bottom>
    </border>
    <border>
      <right style="thin">
        <color rgb="FF999999"/>
      </right>
      <top style="thin">
        <color rgb="FFCCCCCC"/>
      </top>
      <bottom style="thin">
        <color rgb="FFCCCCCC"/>
      </bottom>
    </border>
    <border>
      <left style="thin">
        <color rgb="FF999999"/>
      </left>
      <right style="thin">
        <color rgb="FF999999"/>
      </right>
      <top style="thin">
        <color rgb="FF999999"/>
      </top>
      <bottom style="thin">
        <color rgb="FF999999"/>
      </bottom>
    </border>
    <border>
      <top style="thin">
        <color rgb="FFCCCCCC"/>
      </top>
      <bottom style="thin">
        <color rgb="FF999999"/>
      </bottom>
    </border>
    <border>
      <right style="thin">
        <color rgb="FF999999"/>
      </right>
      <top style="thin">
        <color rgb="FFCCCCCC"/>
      </top>
      <bottom style="thin">
        <color rgb="FF999999"/>
      </bottom>
    </border>
    <border>
      <left style="thin">
        <color rgb="FF999999"/>
      </left>
      <right style="thin">
        <color rgb="FF999999"/>
      </right>
      <bottom style="thin">
        <color rgb="FFCCCCCC"/>
      </bottom>
    </border>
    <border>
      <left style="thin">
        <color rgb="FF999999"/>
      </left>
      <bottom style="thin">
        <color rgb="FFCCCCCC"/>
      </bottom>
    </border>
    <border>
      <left style="thin">
        <color rgb="FF999999"/>
      </left>
      <right style="thin">
        <color rgb="FF999999"/>
      </right>
      <top style="thin">
        <color rgb="FFCCCCCC"/>
      </top>
      <bottom style="thin">
        <color rgb="FFCCCCCC"/>
      </bottom>
    </border>
    <border>
      <left style="thin">
        <color rgb="FF999999"/>
      </left>
      <top style="thin">
        <color rgb="FFCCCCCC"/>
      </top>
      <bottom style="thin">
        <color rgb="FFCCCCCC"/>
      </bottom>
    </border>
    <border>
      <left style="thin">
        <color rgb="FF999999"/>
      </left>
      <right style="thin">
        <color rgb="FF999999"/>
      </right>
      <top style="thin">
        <color rgb="FFCCCCCC"/>
      </top>
      <bottom style="thin">
        <color rgb="FF999999"/>
      </bottom>
    </border>
    <border>
      <left style="thin">
        <color rgb="FF999999"/>
      </left>
      <top style="thin">
        <color rgb="FFCCCCCC"/>
      </top>
      <bottom style="thin">
        <color rgb="FF999999"/>
      </bottom>
    </border>
    <border>
      <top style="thin">
        <color rgb="FFCCCCCC"/>
      </top>
    </border>
    <border>
      <right style="thin">
        <color rgb="FF999999"/>
      </right>
      <top style="thin">
        <color rgb="FFCCCCCC"/>
      </top>
    </border>
    <border>
      <top style="thin">
        <color rgb="FF999999"/>
      </top>
      <bottom style="thin">
        <color rgb="FF000000"/>
      </bottom>
    </border>
    <border>
      <left style="thin">
        <color rgb="FF999999"/>
      </left>
      <right style="thin">
        <color rgb="FF000000"/>
      </right>
    </border>
    <border>
      <left style="thin">
        <color rgb="FF000000"/>
      </left>
      <bottom style="thin">
        <color rgb="FF999999"/>
      </bottom>
    </border>
    <border>
      <right style="thin">
        <color rgb="FF000000"/>
      </right>
      <bottom style="thin">
        <color rgb="FF999999"/>
      </bottom>
    </border>
    <border>
      <right style="thin">
        <color rgb="FF000000"/>
      </right>
    </border>
    <border>
      <left style="thin">
        <color rgb="FF999999"/>
      </left>
      <right style="thin">
        <color rgb="FF999999"/>
      </right>
      <top style="thin">
        <color rgb="FFCCCCCC"/>
      </top>
    </border>
    <border>
      <left style="thin">
        <color rgb="FF000000"/>
      </left>
      <top style="thin">
        <color rgb="FF000000"/>
      </top>
      <bottom style="thin">
        <color rgb="FF999999"/>
      </bottom>
    </border>
    <border>
      <top style="thin">
        <color rgb="FF000000"/>
      </top>
      <bottom style="thin">
        <color rgb="FF999999"/>
      </bottom>
    </border>
    <border>
      <right style="thin">
        <color rgb="FF000000"/>
      </right>
      <top style="thin">
        <color rgb="FF000000"/>
      </top>
      <bottom style="thin">
        <color rgb="FF999999"/>
      </bottom>
    </border>
    <border>
      <left style="thin">
        <color rgb="FF000000"/>
      </left>
      <right style="thin">
        <color rgb="FF999999"/>
      </right>
      <bottom style="thin">
        <color rgb="FF999999"/>
      </bottom>
    </border>
    <border>
      <left style="thin">
        <color rgb="FF999999"/>
      </left>
      <right style="thin">
        <color rgb="FF000000"/>
      </right>
      <bottom style="thin">
        <color rgb="FF999999"/>
      </bottom>
    </border>
    <border>
      <left style="thin">
        <color rgb="FF000000"/>
      </left>
      <right style="thin">
        <color rgb="FF999999"/>
      </right>
    </border>
    <border>
      <left style="thin">
        <color rgb="FF000000"/>
      </left>
      <right style="thin">
        <color rgb="FF999999"/>
      </right>
      <bottom style="thin">
        <color rgb="FF000000"/>
      </bottom>
    </border>
    <border>
      <left style="thin">
        <color rgb="FF999999"/>
      </left>
      <right style="thin">
        <color rgb="FF999999"/>
      </right>
      <bottom style="thin">
        <color rgb="FF000000"/>
      </bottom>
    </border>
    <border>
      <left style="thin">
        <color rgb="FF999999"/>
      </left>
      <right style="thin">
        <color rgb="FF000000"/>
      </right>
      <bottom style="thin">
        <color rgb="FF000000"/>
      </bottom>
    </border>
    <border>
      <right style="thin">
        <color rgb="FF999999"/>
      </right>
      <bottom style="thin">
        <color rgb="FF000000"/>
      </bottom>
    </border>
    <border>
      <right style="thin">
        <color rgb="FF000000"/>
      </right>
      <bottom style="thin">
        <color rgb="FF000000"/>
      </bottom>
    </border>
  </borders>
  <cellStyleXfs count="1">
    <xf borderId="0" fillId="0" fontId="0" numFmtId="0" applyAlignment="1" applyFont="1"/>
  </cellStyleXfs>
  <cellXfs count="938">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2" fillId="2" fontId="1" numFmtId="0" xfId="0" applyAlignment="1" applyBorder="1" applyFill="1" applyFont="1">
      <alignment vertical="bottom"/>
    </xf>
    <xf borderId="1" fillId="2" fontId="1" numFmtId="0" xfId="0" applyAlignment="1" applyBorder="1" applyFill="1" applyFont="1">
      <alignment readingOrder="0"/>
    </xf>
    <xf borderId="2" fillId="0" fontId="2" numFmtId="0" xfId="0" applyBorder="1" applyFont="1"/>
    <xf borderId="2" fillId="2" fontId="3" numFmtId="0" xfId="0" applyAlignment="1" applyBorder="1" applyFill="1" applyFont="1">
      <alignment shrinkToFit="0" vertical="bottom" wrapText="1"/>
    </xf>
    <xf borderId="2" fillId="2" fontId="1" numFmtId="0" xfId="0" applyAlignment="1" applyBorder="1" applyFill="1" applyFont="1">
      <alignment horizontal="right" readingOrder="0" shrinkToFit="0" vertical="bottom" wrapText="1"/>
    </xf>
    <xf borderId="2" fillId="2" fontId="3" numFmtId="0" xfId="0" applyAlignment="1" applyBorder="1" applyFill="1" applyFont="1">
      <alignment shrinkToFit="0" vertical="bottom" wrapText="1"/>
    </xf>
    <xf borderId="2" fillId="2" fontId="4" numFmtId="0" xfId="0" applyBorder="1" applyFill="1" applyFont="1"/>
    <xf borderId="3" fillId="2" fontId="1" numFmtId="0" xfId="0" applyAlignment="1" applyBorder="1" applyFill="1" applyFont="1">
      <alignment horizontal="right" readingOrder="0" shrinkToFit="0" vertical="bottom" wrapText="1"/>
    </xf>
    <xf borderId="4" fillId="2" fontId="3" numFmtId="0" xfId="0" applyAlignment="1" applyBorder="1" applyFill="1" applyFont="1">
      <alignment horizontal="center" readingOrder="0"/>
    </xf>
    <xf borderId="4" fillId="2" fontId="3" numFmtId="0" xfId="0" applyAlignment="1" applyBorder="1" applyFill="1" applyFont="1">
      <alignment horizontal="right" readingOrder="0"/>
    </xf>
    <xf borderId="1" fillId="2" fontId="3" numFmtId="0" xfId="0" applyAlignment="1" applyBorder="1" applyFill="1" applyFont="1">
      <alignment horizontal="center" readingOrder="0"/>
    </xf>
    <xf borderId="3" fillId="2" fontId="4" numFmtId="0" xfId="0" applyBorder="1" applyFill="1" applyFont="1"/>
    <xf borderId="5" fillId="2" fontId="3" numFmtId="0" xfId="0" applyAlignment="1" applyBorder="1" applyFill="1" applyFont="1">
      <alignment horizontal="center" readingOrder="0"/>
    </xf>
    <xf borderId="5" fillId="0" fontId="2" numFmtId="0" xfId="0" applyBorder="1" applyFont="1"/>
    <xf borderId="6" fillId="3" fontId="1" numFmtId="0" xfId="0" applyAlignment="1" applyBorder="1" applyFill="1" applyFont="1">
      <alignment horizontal="left" readingOrder="0" shrinkToFit="0" wrapText="0"/>
    </xf>
    <xf borderId="7" fillId="0" fontId="2" numFmtId="0" xfId="0" applyBorder="1" applyFont="1"/>
    <xf borderId="7" fillId="2" fontId="3" numFmtId="0" xfId="0" applyAlignment="1" applyBorder="1" applyFill="1" applyFont="1">
      <alignment horizontal="center" readingOrder="0"/>
    </xf>
    <xf borderId="4" fillId="2" fontId="1" numFmtId="0" xfId="0" applyAlignment="1" applyBorder="1" applyFill="1" applyFont="1">
      <alignment vertical="bottom"/>
    </xf>
    <xf borderId="7" fillId="3" fontId="4" numFmtId="0" xfId="0" applyBorder="1" applyFill="1" applyFont="1"/>
    <xf borderId="8" fillId="2" fontId="1" numFmtId="0" xfId="0" applyAlignment="1" applyBorder="1" applyFill="1" applyFont="1">
      <alignment readingOrder="0" vertical="bottom"/>
    </xf>
    <xf borderId="4" fillId="2" fontId="1" numFmtId="0" xfId="0" applyAlignment="1" applyBorder="1" applyFill="1" applyFont="1">
      <alignment horizontal="center" vertical="bottom"/>
    </xf>
    <xf borderId="0" fillId="2" fontId="1" numFmtId="0" xfId="0" applyAlignment="1" applyFill="1" applyFont="1">
      <alignment vertical="bottom"/>
    </xf>
    <xf borderId="0" fillId="2" fontId="3" numFmtId="0" xfId="0" applyAlignment="1" applyFill="1" applyFont="1">
      <alignment shrinkToFit="0" vertical="bottom" wrapText="1"/>
    </xf>
    <xf borderId="0" fillId="2" fontId="3" numFmtId="0" xfId="0" applyAlignment="1" applyFill="1" applyFont="1">
      <alignment shrinkToFit="0" vertical="bottom" wrapText="1"/>
    </xf>
    <xf borderId="0" fillId="2" fontId="1" numFmtId="0" xfId="0" applyAlignment="1" applyFill="1" applyFont="1">
      <alignment horizontal="right" readingOrder="0" shrinkToFit="0" vertical="bottom" wrapText="1"/>
    </xf>
    <xf borderId="9" fillId="2" fontId="1" numFmtId="0" xfId="0" applyAlignment="1" applyBorder="1" applyFill="1" applyFont="1">
      <alignment horizontal="right" readingOrder="0" shrinkToFit="0" vertical="bottom" wrapText="1"/>
    </xf>
    <xf borderId="8" fillId="2" fontId="3" numFmtId="0" xfId="0" applyAlignment="1" applyBorder="1" applyFill="1" applyFont="1">
      <alignment horizontal="center" readingOrder="0"/>
    </xf>
    <xf borderId="10" fillId="2" fontId="3" numFmtId="0" xfId="0" applyAlignment="1" applyBorder="1" applyFill="1" applyFont="1">
      <alignment horizontal="center" readingOrder="0"/>
    </xf>
    <xf borderId="10" fillId="2" fontId="3" numFmtId="0" xfId="0" applyAlignment="1" applyBorder="1" applyFill="1" applyFont="1">
      <alignment horizontal="right" readingOrder="0"/>
    </xf>
    <xf borderId="0" fillId="2" fontId="3" numFmtId="0" xfId="0" applyAlignment="1" applyFill="1" applyFont="1">
      <alignment horizontal="center" readingOrder="0" shrinkToFit="0" wrapText="1"/>
    </xf>
    <xf borderId="0" fillId="2" fontId="3" numFmtId="0" xfId="0" applyAlignment="1" applyFill="1" applyFont="1">
      <alignment horizontal="center" readingOrder="0"/>
    </xf>
    <xf borderId="11" fillId="3" fontId="4" numFmtId="0" xfId="0" applyBorder="1" applyFill="1" applyFont="1"/>
    <xf borderId="0" fillId="0" fontId="1" numFmtId="0" xfId="0" applyAlignment="1" applyFont="1">
      <alignment horizontal="left" readingOrder="0" shrinkToFit="0" wrapText="0"/>
    </xf>
    <xf borderId="0" fillId="0" fontId="4" numFmtId="0" xfId="0" applyFont="1"/>
    <xf borderId="8" fillId="0" fontId="1" numFmtId="0" xfId="0" applyAlignment="1" applyBorder="1" applyFont="1">
      <alignment horizontal="left" readingOrder="0" shrinkToFit="0" wrapText="0"/>
    </xf>
    <xf borderId="10" fillId="2" fontId="1" numFmtId="0" xfId="0" applyAlignment="1" applyBorder="1" applyFill="1" applyFont="1">
      <alignment vertical="bottom"/>
    </xf>
    <xf borderId="10" fillId="2" fontId="1" numFmtId="0" xfId="0" applyAlignment="1" applyBorder="1" applyFill="1" applyFont="1">
      <alignment horizontal="center" vertical="bottom"/>
    </xf>
    <xf borderId="12" fillId="2" fontId="1" numFmtId="0" xfId="0" applyAlignment="1" applyBorder="1" applyFill="1" applyFont="1">
      <alignment readingOrder="0" vertical="bottom"/>
    </xf>
    <xf borderId="5" fillId="2" fontId="1" numFmtId="0" xfId="0" applyAlignment="1" applyBorder="1" applyFill="1" applyFont="1">
      <alignment horizontal="right" readingOrder="0" shrinkToFit="0" vertical="bottom" wrapText="1"/>
    </xf>
    <xf borderId="13" fillId="2" fontId="1" numFmtId="0" xfId="0" applyAlignment="1" applyBorder="1" applyFill="1" applyFont="1">
      <alignment horizontal="right" readingOrder="0" shrinkToFit="0" vertical="bottom" wrapText="1"/>
    </xf>
    <xf borderId="14" fillId="2" fontId="3" numFmtId="0" xfId="0" applyAlignment="1" applyBorder="1" applyFill="1" applyFont="1">
      <alignment horizontal="center" readingOrder="0"/>
    </xf>
    <xf borderId="12" fillId="2" fontId="3" numFmtId="0" xfId="0" applyAlignment="1" applyBorder="1" applyFill="1" applyFont="1">
      <alignment horizontal="center" readingOrder="0"/>
    </xf>
    <xf borderId="5" fillId="2" fontId="3" numFmtId="0" xfId="0" applyAlignment="1" applyBorder="1" applyFill="1" applyFont="1">
      <alignment horizontal="center" readingOrder="0" shrinkToFit="0" wrapText="1"/>
    </xf>
    <xf borderId="15" fillId="0" fontId="5" numFmtId="0" xfId="0" applyAlignment="1" applyBorder="1" applyFont="1">
      <alignment horizontal="left" readingOrder="0" shrinkToFit="0" wrapText="0"/>
    </xf>
    <xf borderId="15" fillId="0" fontId="4" numFmtId="0" xfId="0" applyAlignment="1" applyBorder="1" applyFont="1">
      <alignment horizontal="left" readingOrder="0" shrinkToFit="0" wrapText="0"/>
    </xf>
    <xf borderId="14" fillId="2" fontId="1" numFmtId="0" xfId="0" applyAlignment="1" applyBorder="1" applyFill="1" applyFont="1">
      <alignment horizontal="center" readingOrder="0" vertical="bottom"/>
    </xf>
    <xf borderId="14" fillId="2" fontId="1" numFmtId="0" xfId="0" applyAlignment="1" applyBorder="1" applyFill="1" applyFont="1">
      <alignment vertical="bottom"/>
    </xf>
    <xf borderId="15" fillId="0" fontId="4" numFmtId="0" xfId="0" applyBorder="1" applyFont="1"/>
    <xf borderId="5" fillId="3" fontId="1" numFmtId="0" xfId="0" applyAlignment="1" applyBorder="1" applyFill="1" applyFont="1">
      <alignment readingOrder="0" shrinkToFit="0" vertical="bottom" wrapText="0"/>
    </xf>
    <xf borderId="12" fillId="3" fontId="1" numFmtId="0" xfId="0" applyAlignment="1" applyBorder="1" applyFill="1" applyFont="1">
      <alignment readingOrder="0" shrinkToFit="0" vertical="bottom" wrapText="0"/>
    </xf>
    <xf borderId="5" fillId="3" fontId="3" numFmtId="0" xfId="0" applyAlignment="1" applyBorder="1" applyFill="1" applyFont="1">
      <alignment readingOrder="0" shrinkToFit="0" vertical="bottom" wrapText="1"/>
    </xf>
    <xf borderId="16" fillId="0" fontId="4" numFmtId="0" xfId="0" applyBorder="1" applyFont="1"/>
    <xf borderId="5" fillId="3" fontId="3" numFmtId="0" xfId="0" applyAlignment="1" applyBorder="1" applyFill="1" applyFont="1">
      <alignment readingOrder="0" shrinkToFit="0" vertical="bottom" wrapText="1"/>
    </xf>
    <xf borderId="17" fillId="0" fontId="6" numFmtId="0" xfId="0" applyAlignment="1" applyBorder="1" applyFont="1">
      <alignment horizontal="left" readingOrder="0" shrinkToFit="0" wrapText="0"/>
    </xf>
    <xf borderId="17" fillId="0" fontId="4" numFmtId="0" xfId="0" applyAlignment="1" applyBorder="1" applyFont="1">
      <alignment horizontal="left" readingOrder="0" shrinkToFit="0" wrapText="0"/>
    </xf>
    <xf borderId="5" fillId="3" fontId="1" numFmtId="0" xfId="0" applyAlignment="1" applyBorder="1" applyFill="1" applyFont="1">
      <alignment horizontal="left" readingOrder="0" shrinkToFit="0" vertical="bottom" wrapText="0"/>
    </xf>
    <xf borderId="17" fillId="0" fontId="4" numFmtId="0" xfId="0" applyBorder="1" applyFont="1"/>
    <xf borderId="5" fillId="3" fontId="1" numFmtId="0" xfId="0" applyAlignment="1" applyBorder="1" applyFill="1" applyFont="1">
      <alignment horizontal="right" readingOrder="0" shrinkToFit="0" vertical="bottom" wrapText="0"/>
    </xf>
    <xf borderId="13" fillId="3" fontId="1" numFmtId="0" xfId="0" applyAlignment="1" applyBorder="1" applyFill="1" applyFont="1">
      <alignment horizontal="right" readingOrder="0" shrinkToFit="0" vertical="bottom" wrapText="0"/>
    </xf>
    <xf borderId="18" fillId="0" fontId="4" numFmtId="0" xfId="0" applyBorder="1" applyFont="1"/>
    <xf borderId="14" fillId="3" fontId="7" numFmtId="164" xfId="0" applyAlignment="1" applyBorder="1" applyFill="1" applyFont="1" applyNumberFormat="1">
      <alignment horizontal="right" vertical="bottom"/>
    </xf>
    <xf borderId="12" fillId="3" fontId="7" numFmtId="164" xfId="0" applyAlignment="1" applyBorder="1" applyFill="1" applyFont="1" applyNumberFormat="1">
      <alignment horizontal="right" vertical="bottom"/>
    </xf>
    <xf borderId="5" fillId="3" fontId="3" numFmtId="164" xfId="0" applyAlignment="1" applyBorder="1" applyFill="1" applyFont="1" applyNumberFormat="1">
      <alignment horizontal="right" vertical="bottom"/>
    </xf>
    <xf borderId="13" fillId="3" fontId="4" numFmtId="0" xfId="0" applyAlignment="1" applyBorder="1" applyFill="1" applyFont="1">
      <alignment horizontal="center" vertical="bottom"/>
    </xf>
    <xf borderId="6" fillId="3" fontId="1" numFmtId="0" xfId="0" applyAlignment="1" applyBorder="1" applyFill="1" applyFont="1">
      <alignment readingOrder="0" shrinkToFit="0" vertical="bottom" wrapText="0"/>
    </xf>
    <xf borderId="19" fillId="3" fontId="7" numFmtId="0" xfId="0" applyAlignment="1" applyBorder="1" applyFill="1" applyFont="1">
      <alignment horizontal="right" vertical="bottom"/>
    </xf>
    <xf borderId="7" fillId="3" fontId="7" numFmtId="164" xfId="0" applyAlignment="1" applyBorder="1" applyFill="1" applyFont="1" applyNumberFormat="1">
      <alignment horizontal="right" vertical="bottom"/>
    </xf>
    <xf borderId="11" fillId="3" fontId="4" numFmtId="0" xfId="0" applyAlignment="1" applyBorder="1" applyFill="1" applyFont="1">
      <alignment horizontal="center" vertical="bottom"/>
    </xf>
    <xf borderId="20" fillId="0" fontId="8" numFmtId="0" xfId="0" applyAlignment="1" applyBorder="1" applyFont="1">
      <alignment horizontal="left" readingOrder="0" shrinkToFit="0" wrapText="0"/>
    </xf>
    <xf borderId="8" fillId="0" fontId="4" numFmtId="0" xfId="0" applyAlignment="1" applyBorder="1" applyFont="1">
      <alignment vertical="bottom"/>
    </xf>
    <xf borderId="0" fillId="0" fontId="4" numFmtId="0" xfId="0" applyAlignment="1" applyFont="1">
      <alignment vertical="bottom"/>
    </xf>
    <xf borderId="20" fillId="0" fontId="4" numFmtId="0" xfId="0" applyAlignment="1" applyBorder="1" applyFont="1">
      <alignment horizontal="left" readingOrder="0" shrinkToFit="0" wrapText="0"/>
    </xf>
    <xf borderId="0" fillId="0" fontId="7" numFmtId="0" xfId="0" applyAlignment="1" applyFont="1">
      <alignment shrinkToFit="0" vertical="bottom" wrapText="1"/>
    </xf>
    <xf borderId="0" fillId="0" fontId="4" numFmtId="0" xfId="0" applyAlignment="1" applyFont="1">
      <alignment horizontal="right" vertical="bottom"/>
    </xf>
    <xf borderId="20" fillId="0" fontId="4" numFmtId="0" xfId="0" applyBorder="1" applyFont="1"/>
    <xf borderId="9" fillId="0" fontId="4" numFmtId="0" xfId="0" applyAlignment="1" applyBorder="1" applyFont="1">
      <alignment horizontal="right" vertical="bottom"/>
    </xf>
    <xf borderId="10" fillId="0" fontId="7" numFmtId="0" xfId="0" applyAlignment="1" applyBorder="1" applyFont="1">
      <alignment horizontal="right"/>
    </xf>
    <xf borderId="0" fillId="0" fontId="7" numFmtId="165" xfId="0" applyAlignment="1" applyFont="1" applyNumberFormat="1">
      <alignment horizontal="right"/>
    </xf>
    <xf borderId="21" fillId="0" fontId="4" numFmtId="0" xfId="0" applyBorder="1" applyFont="1"/>
    <xf borderId="9" fillId="0" fontId="4" numFmtId="0" xfId="0" applyAlignment="1" applyBorder="1" applyFont="1">
      <alignment horizontal="center"/>
    </xf>
    <xf borderId="0" fillId="0" fontId="9" numFmtId="0" xfId="0" applyAlignment="1" applyFont="1">
      <alignment readingOrder="0" shrinkToFit="0" vertical="bottom" wrapText="0"/>
    </xf>
    <xf borderId="9" fillId="0" fontId="4" numFmtId="1" xfId="0" applyAlignment="1" applyBorder="1" applyFont="1" applyNumberFormat="1">
      <alignment horizontal="right" vertical="bottom"/>
    </xf>
    <xf borderId="9" fillId="0" fontId="4" numFmtId="0" xfId="0" applyBorder="1" applyFont="1"/>
    <xf borderId="0" fillId="0" fontId="7" numFmtId="0" xfId="0" applyAlignment="1" applyFont="1">
      <alignment horizontal="right"/>
    </xf>
    <xf borderId="13" fillId="3" fontId="4" numFmtId="0" xfId="0" applyAlignment="1" applyBorder="1" applyFill="1" applyFont="1">
      <alignment vertical="bottom"/>
    </xf>
    <xf borderId="11" fillId="0" fontId="2" numFmtId="0" xfId="0" applyBorder="1" applyFont="1"/>
    <xf borderId="8" fillId="0" fontId="4" numFmtId="0" xfId="0" applyAlignment="1" applyBorder="1" applyFont="1">
      <alignment horizontal="left" readingOrder="0" shrinkToFit="0" wrapText="0"/>
    </xf>
    <xf borderId="0" fillId="0" fontId="4" numFmtId="0" xfId="0" applyAlignment="1" applyFont="1">
      <alignment horizontal="left" readingOrder="0" shrinkToFit="0" wrapText="0"/>
    </xf>
    <xf borderId="6" fillId="3" fontId="7" numFmtId="0" xfId="0" applyAlignment="1" applyBorder="1" applyFill="1" applyFont="1">
      <alignment horizontal="right" vertical="bottom"/>
    </xf>
    <xf borderId="7" fillId="3" fontId="7" numFmtId="0" xfId="0" applyAlignment="1" applyBorder="1" applyFill="1" applyFont="1">
      <alignment horizontal="right" vertical="bottom"/>
    </xf>
    <xf borderId="11" fillId="3" fontId="4" numFmtId="0" xfId="0" applyAlignment="1" applyBorder="1" applyFill="1" applyFont="1">
      <alignment vertical="bottom"/>
    </xf>
    <xf borderId="5" fillId="0" fontId="7" numFmtId="0" xfId="0" applyAlignment="1" applyBorder="1" applyFont="1">
      <alignment readingOrder="0" shrinkToFit="0" vertical="bottom" wrapText="1"/>
    </xf>
    <xf borderId="0" fillId="0" fontId="10" numFmtId="0" xfId="0" applyAlignment="1" applyFont="1">
      <alignment horizontal="left" readingOrder="0" shrinkToFit="0" wrapText="0"/>
    </xf>
    <xf borderId="0" fillId="0" fontId="7" numFmtId="0" xfId="0" applyAlignment="1" applyFont="1">
      <alignment shrinkToFit="0" vertical="bottom" wrapText="1"/>
    </xf>
    <xf borderId="5" fillId="0" fontId="4" numFmtId="0" xfId="0" applyAlignment="1" applyBorder="1" applyFont="1">
      <alignment horizontal="right" readingOrder="0" vertical="bottom"/>
    </xf>
    <xf borderId="15" fillId="0" fontId="1" numFmtId="0" xfId="0" applyAlignment="1" applyBorder="1" applyFont="1">
      <alignment horizontal="left" readingOrder="0" shrinkToFit="0" wrapText="0"/>
    </xf>
    <xf borderId="8" fillId="0" fontId="7" numFmtId="0" xfId="0" applyAlignment="1" applyBorder="1" applyFont="1">
      <alignment horizontal="right"/>
    </xf>
    <xf borderId="15" fillId="0" fontId="4" numFmtId="0" xfId="0" applyAlignment="1" applyBorder="1" applyFont="1">
      <alignment horizontal="left" readingOrder="0" shrinkToFit="0" wrapText="1"/>
    </xf>
    <xf borderId="15" fillId="0" fontId="2" numFmtId="0" xfId="0" applyBorder="1" applyFont="1"/>
    <xf borderId="13" fillId="0" fontId="7" numFmtId="1" xfId="0" applyAlignment="1" applyBorder="1" applyFont="1" applyNumberFormat="1">
      <alignment horizontal="right" vertical="bottom"/>
    </xf>
    <xf borderId="14" fillId="0" fontId="7" numFmtId="166" xfId="0" applyAlignment="1" applyBorder="1" applyFont="1" applyNumberFormat="1">
      <alignment horizontal="right" readingOrder="0"/>
    </xf>
    <xf borderId="5" fillId="0" fontId="7" numFmtId="166" xfId="0" applyAlignment="1" applyBorder="1" applyFont="1" applyNumberFormat="1">
      <alignment horizontal="right" readingOrder="0"/>
    </xf>
    <xf borderId="17" fillId="0" fontId="1" numFmtId="0" xfId="0" applyAlignment="1" applyBorder="1" applyFont="1">
      <alignment horizontal="left" readingOrder="0" shrinkToFit="0" wrapText="0"/>
    </xf>
    <xf borderId="17" fillId="0" fontId="4" numFmtId="0" xfId="0" applyAlignment="1" applyBorder="1" applyFont="1">
      <alignment horizontal="left" readingOrder="0" shrinkToFit="0" wrapText="1"/>
    </xf>
    <xf borderId="17" fillId="0" fontId="2" numFmtId="0" xfId="0" applyBorder="1" applyFont="1"/>
    <xf borderId="0" fillId="0" fontId="11" numFmtId="0" xfId="0" applyAlignment="1" applyFont="1">
      <alignment readingOrder="0" shrinkToFit="0" vertical="bottom" wrapText="0"/>
    </xf>
    <xf borderId="0" fillId="0" fontId="4" numFmtId="1" xfId="0" applyAlignment="1" applyFont="1" applyNumberFormat="1">
      <alignment horizontal="right" vertical="bottom"/>
    </xf>
    <xf borderId="15" fillId="0" fontId="1" numFmtId="0" xfId="0" applyAlignment="1" applyBorder="1" applyFont="1">
      <alignment horizontal="left" readingOrder="0" shrinkToFit="0" wrapText="1"/>
    </xf>
    <xf borderId="12" fillId="0" fontId="7" numFmtId="166" xfId="0" applyAlignment="1" applyBorder="1" applyFont="1" applyNumberFormat="1">
      <alignment horizontal="right"/>
    </xf>
    <xf borderId="5" fillId="0" fontId="1" numFmtId="0" xfId="0" applyAlignment="1" applyBorder="1" applyFont="1">
      <alignment horizontal="left" readingOrder="0" shrinkToFit="0" wrapText="0"/>
    </xf>
    <xf borderId="5" fillId="0" fontId="7" numFmtId="166" xfId="0" applyAlignment="1" applyBorder="1" applyFont="1" applyNumberFormat="1">
      <alignment horizontal="right"/>
    </xf>
    <xf borderId="15" fillId="0" fontId="7" numFmtId="0" xfId="0" applyAlignment="1" applyBorder="1" applyFont="1">
      <alignment readingOrder="0" shrinkToFit="0" vertical="bottom" wrapText="1"/>
    </xf>
    <xf borderId="5" fillId="0" fontId="4" numFmtId="0" xfId="0" applyAlignment="1" applyBorder="1" applyFont="1">
      <alignment horizontal="left" readingOrder="0" shrinkToFit="0" wrapText="1"/>
    </xf>
    <xf borderId="15" fillId="0" fontId="4" numFmtId="0" xfId="0" applyAlignment="1" applyBorder="1" applyFont="1">
      <alignment horizontal="right" readingOrder="0" vertical="bottom"/>
    </xf>
    <xf borderId="5" fillId="0" fontId="4" numFmtId="0" xfId="0" applyBorder="1" applyFont="1"/>
    <xf borderId="13" fillId="0" fontId="4" numFmtId="0" xfId="0" applyBorder="1" applyFont="1"/>
    <xf borderId="13" fillId="0" fontId="4" numFmtId="0" xfId="0" applyAlignment="1" applyBorder="1" applyFont="1">
      <alignment horizontal="center" readingOrder="0"/>
    </xf>
    <xf borderId="0" fillId="0" fontId="7" numFmtId="0" xfId="0" applyAlignment="1" applyFont="1">
      <alignment readingOrder="0" shrinkToFit="0" vertical="bottom" wrapText="1"/>
    </xf>
    <xf borderId="0" fillId="0" fontId="4" numFmtId="0" xfId="0" applyAlignment="1" applyFont="1">
      <alignment horizontal="right" readingOrder="0" vertical="bottom"/>
    </xf>
    <xf borderId="22" fillId="0" fontId="7" numFmtId="1" xfId="0" applyAlignment="1" applyBorder="1" applyFont="1" applyNumberFormat="1">
      <alignment horizontal="right"/>
    </xf>
    <xf borderId="9" fillId="0" fontId="4" numFmtId="1" xfId="0" applyAlignment="1" applyBorder="1" applyFont="1" applyNumberFormat="1">
      <alignment horizontal="right" readingOrder="0" vertical="bottom"/>
    </xf>
    <xf borderId="15" fillId="0" fontId="7" numFmtId="3" xfId="0" applyAlignment="1" applyBorder="1" applyFont="1" applyNumberFormat="1">
      <alignment horizontal="right"/>
    </xf>
    <xf borderId="0" fillId="0" fontId="12" numFmtId="0" xfId="0" applyAlignment="1" applyFont="1">
      <alignment readingOrder="0"/>
    </xf>
    <xf borderId="0" fillId="0" fontId="4" numFmtId="0" xfId="0" applyAlignment="1" applyFont="1">
      <alignment horizontal="right" readingOrder="0"/>
    </xf>
    <xf borderId="9" fillId="0" fontId="4" numFmtId="0" xfId="0" applyAlignment="1" applyBorder="1" applyFont="1">
      <alignment horizontal="right"/>
    </xf>
    <xf borderId="15" fillId="0" fontId="7" numFmtId="0" xfId="0" applyAlignment="1" applyBorder="1" applyFont="1">
      <alignment readingOrder="0" shrinkToFit="0" wrapText="1"/>
    </xf>
    <xf borderId="15" fillId="0" fontId="4" numFmtId="0" xfId="0" applyAlignment="1" applyBorder="1" applyFont="1">
      <alignment horizontal="right" readingOrder="0"/>
    </xf>
    <xf borderId="0" fillId="0" fontId="7" numFmtId="0" xfId="0" applyAlignment="1" applyFont="1">
      <alignment readingOrder="0" shrinkToFit="0" wrapText="1"/>
    </xf>
    <xf borderId="16" fillId="0" fontId="4" numFmtId="0" xfId="0" applyAlignment="1" applyBorder="1" applyFont="1">
      <alignment horizontal="right" readingOrder="0"/>
    </xf>
    <xf borderId="22" fillId="0" fontId="7" numFmtId="0" xfId="0" applyAlignment="1" applyBorder="1" applyFont="1">
      <alignment horizontal="right"/>
    </xf>
    <xf borderId="15" fillId="0" fontId="7" numFmtId="9" xfId="0" applyAlignment="1" applyBorder="1" applyFont="1" applyNumberFormat="1">
      <alignment horizontal="right"/>
    </xf>
    <xf borderId="15" fillId="0" fontId="7" numFmtId="0" xfId="0" applyAlignment="1" applyBorder="1" applyFont="1">
      <alignment readingOrder="0" shrinkToFit="0" wrapText="1"/>
    </xf>
    <xf borderId="23" fillId="0" fontId="7" numFmtId="0" xfId="0" applyAlignment="1" applyBorder="1" applyFont="1">
      <alignment horizontal="right" readingOrder="0"/>
    </xf>
    <xf borderId="15" fillId="0" fontId="7" numFmtId="9" xfId="0" applyAlignment="1" applyBorder="1" applyFont="1" applyNumberFormat="1">
      <alignment horizontal="right" readingOrder="0"/>
    </xf>
    <xf borderId="17" fillId="0" fontId="7" numFmtId="0" xfId="0" applyAlignment="1" applyBorder="1" applyFont="1">
      <alignment readingOrder="0" shrinkToFit="0" vertical="bottom" wrapText="1"/>
    </xf>
    <xf borderId="15" fillId="0" fontId="1" numFmtId="0" xfId="0" applyAlignment="1" applyBorder="1" applyFont="1">
      <alignment readingOrder="0"/>
    </xf>
    <xf borderId="15" fillId="0" fontId="4" numFmtId="0" xfId="0" applyAlignment="1" applyBorder="1" applyFont="1">
      <alignment readingOrder="0"/>
    </xf>
    <xf borderId="17" fillId="0" fontId="4" numFmtId="0" xfId="0" applyAlignment="1" applyBorder="1" applyFont="1">
      <alignment horizontal="right" readingOrder="0" vertical="bottom"/>
    </xf>
    <xf borderId="16" fillId="0" fontId="4" numFmtId="0" xfId="0" applyAlignment="1" applyBorder="1" applyFont="1">
      <alignment horizontal="center" readingOrder="0"/>
    </xf>
    <xf borderId="24" fillId="0" fontId="7" numFmtId="1" xfId="0" applyAlignment="1" applyBorder="1" applyFont="1" applyNumberFormat="1">
      <alignment horizontal="right"/>
    </xf>
    <xf borderId="17" fillId="0" fontId="1" numFmtId="0" xfId="0" applyAlignment="1" applyBorder="1" applyFont="1">
      <alignment readingOrder="0"/>
    </xf>
    <xf borderId="17" fillId="0" fontId="4" numFmtId="0" xfId="0" applyAlignment="1" applyBorder="1" applyFont="1">
      <alignment readingOrder="0"/>
    </xf>
    <xf borderId="17" fillId="0" fontId="7" numFmtId="0" xfId="0" applyAlignment="1" applyBorder="1" applyFont="1">
      <alignment readingOrder="0" shrinkToFit="0" wrapText="1"/>
    </xf>
    <xf borderId="17" fillId="0" fontId="7" numFmtId="3" xfId="0" applyAlignment="1" applyBorder="1" applyFont="1" applyNumberFormat="1">
      <alignment horizontal="right"/>
    </xf>
    <xf borderId="17" fillId="0" fontId="4" numFmtId="0" xfId="0" applyAlignment="1" applyBorder="1" applyFont="1">
      <alignment horizontal="right" readingOrder="0"/>
    </xf>
    <xf borderId="18" fillId="0" fontId="4" numFmtId="0" xfId="0" applyAlignment="1" applyBorder="1" applyFont="1">
      <alignment horizontal="right" readingOrder="0"/>
    </xf>
    <xf borderId="17" fillId="0" fontId="7" numFmtId="0" xfId="0" applyAlignment="1" applyBorder="1" applyFont="1">
      <alignment readingOrder="0" shrinkToFit="0" wrapText="1"/>
    </xf>
    <xf borderId="24" fillId="0" fontId="7" numFmtId="0" xfId="0" applyAlignment="1" applyBorder="1" applyFont="1">
      <alignment horizontal="right"/>
    </xf>
    <xf borderId="17" fillId="0" fontId="7" numFmtId="9" xfId="0" applyAlignment="1" applyBorder="1" applyFont="1" applyNumberFormat="1">
      <alignment horizontal="right"/>
    </xf>
    <xf borderId="25" fillId="0" fontId="7" numFmtId="0" xfId="0" applyAlignment="1" applyBorder="1" applyFont="1">
      <alignment horizontal="right" readingOrder="0"/>
    </xf>
    <xf borderId="20" fillId="0" fontId="1" numFmtId="0" xfId="0" applyAlignment="1" applyBorder="1" applyFont="1">
      <alignment readingOrder="0"/>
    </xf>
    <xf borderId="20" fillId="0" fontId="4" numFmtId="0" xfId="0" applyAlignment="1" applyBorder="1" applyFont="1">
      <alignment readingOrder="0"/>
    </xf>
    <xf borderId="18" fillId="0" fontId="4" numFmtId="0" xfId="0" applyAlignment="1" applyBorder="1" applyFont="1">
      <alignment horizontal="center" readingOrder="0"/>
    </xf>
    <xf borderId="17" fillId="0" fontId="4" numFmtId="0" xfId="0" applyAlignment="1" applyBorder="1" applyFont="1">
      <alignment horizontal="right" readingOrder="0" vertical="bottom"/>
    </xf>
    <xf borderId="20" fillId="0" fontId="7" numFmtId="0" xfId="0" applyAlignment="1" applyBorder="1" applyFont="1">
      <alignment readingOrder="0" shrinkToFit="0" wrapText="1"/>
    </xf>
    <xf borderId="20" fillId="0" fontId="4" numFmtId="0" xfId="0" applyAlignment="1" applyBorder="1" applyFont="1">
      <alignment horizontal="right" readingOrder="0"/>
    </xf>
    <xf borderId="20" fillId="0" fontId="7" numFmtId="0" xfId="0" applyAlignment="1" applyBorder="1" applyFont="1">
      <alignment readingOrder="0" shrinkToFit="0" wrapText="1"/>
    </xf>
    <xf borderId="21" fillId="0" fontId="4" numFmtId="0" xfId="0" applyAlignment="1" applyBorder="1" applyFont="1">
      <alignment horizontal="right" readingOrder="0"/>
    </xf>
    <xf borderId="26" fillId="0" fontId="7" numFmtId="0" xfId="0" applyAlignment="1" applyBorder="1" applyFont="1">
      <alignment horizontal="right"/>
    </xf>
    <xf borderId="21" fillId="0" fontId="4" numFmtId="0" xfId="0" applyAlignment="1" applyBorder="1" applyFont="1">
      <alignment horizontal="right" readingOrder="0"/>
    </xf>
    <xf borderId="20" fillId="0" fontId="7" numFmtId="9" xfId="0" applyAlignment="1" applyBorder="1" applyFont="1" applyNumberFormat="1">
      <alignment horizontal="right"/>
    </xf>
    <xf borderId="27" fillId="0" fontId="7" numFmtId="0" xfId="0" applyAlignment="1" applyBorder="1" applyFont="1">
      <alignment horizontal="right" readingOrder="0"/>
    </xf>
    <xf borderId="8" fillId="0" fontId="13" numFmtId="0" xfId="0" applyAlignment="1" applyBorder="1" applyFont="1">
      <alignment horizontal="left" readingOrder="0" shrinkToFit="0" wrapText="0"/>
    </xf>
    <xf borderId="0" fillId="0" fontId="4" numFmtId="0" xfId="0" applyAlignment="1" applyFont="1">
      <alignment horizontal="left" readingOrder="0" shrinkToFit="0" wrapText="0"/>
    </xf>
    <xf borderId="0" fillId="0" fontId="14" numFmtId="0" xfId="0" applyAlignment="1" applyFont="1">
      <alignment readingOrder="0"/>
    </xf>
    <xf borderId="21" fillId="0" fontId="4" numFmtId="0" xfId="0" applyAlignment="1" applyBorder="1" applyFont="1">
      <alignment horizontal="center" readingOrder="0"/>
    </xf>
    <xf borderId="9" fillId="0" fontId="4" numFmtId="0" xfId="0" applyAlignment="1" applyBorder="1" applyFont="1">
      <alignment horizontal="right" readingOrder="0" vertical="bottom"/>
    </xf>
    <xf borderId="0" fillId="0" fontId="7" numFmtId="0" xfId="0" applyAlignment="1" applyFont="1">
      <alignment readingOrder="0" shrinkToFit="0" vertical="bottom" wrapText="1"/>
    </xf>
    <xf borderId="9" fillId="0" fontId="7" numFmtId="1" xfId="0" applyAlignment="1" applyBorder="1" applyFont="1" applyNumberFormat="1">
      <alignment horizontal="right" readingOrder="0" vertical="bottom"/>
    </xf>
    <xf borderId="20" fillId="0" fontId="7" numFmtId="0" xfId="0" applyAlignment="1" applyBorder="1" applyFont="1">
      <alignment readingOrder="0" shrinkToFit="0" vertical="bottom" wrapText="1"/>
    </xf>
    <xf borderId="8" fillId="0" fontId="7" numFmtId="3" xfId="0" applyAlignment="1" applyBorder="1" applyFont="1" applyNumberFormat="1">
      <alignment horizontal="right" readingOrder="0"/>
    </xf>
    <xf borderId="0" fillId="0" fontId="7" numFmtId="3" xfId="0" applyAlignment="1" applyFont="1" applyNumberFormat="1">
      <alignment horizontal="right" readingOrder="0"/>
    </xf>
    <xf borderId="15" fillId="0" fontId="15" numFmtId="0" xfId="0" applyAlignment="1" applyBorder="1" applyFont="1">
      <alignment horizontal="left" readingOrder="0" shrinkToFit="0" wrapText="0"/>
    </xf>
    <xf borderId="20" fillId="0" fontId="4" numFmtId="0" xfId="0" applyAlignment="1" applyBorder="1" applyFont="1">
      <alignment horizontal="right" readingOrder="0" vertical="bottom"/>
    </xf>
    <xf borderId="13" fillId="0" fontId="4" numFmtId="0" xfId="0" applyAlignment="1" applyBorder="1" applyFont="1">
      <alignment horizontal="right" readingOrder="0" vertical="bottom"/>
    </xf>
    <xf borderId="14" fillId="0" fontId="7" numFmtId="0" xfId="0" applyAlignment="1" applyBorder="1" applyFont="1">
      <alignment horizontal="right" readingOrder="0"/>
    </xf>
    <xf borderId="8" fillId="0" fontId="7" numFmtId="164" xfId="0" applyAlignment="1" applyBorder="1" applyFont="1" applyNumberFormat="1">
      <alignment horizontal="right" readingOrder="0"/>
    </xf>
    <xf borderId="8" fillId="0" fontId="16" numFmtId="1" xfId="0" applyAlignment="1" applyBorder="1" applyFont="1" applyNumberFormat="1">
      <alignment horizontal="left" readingOrder="0" shrinkToFit="0" vertical="bottom" wrapText="0"/>
    </xf>
    <xf borderId="0" fillId="0" fontId="7" numFmtId="164" xfId="0" applyAlignment="1" applyFont="1" applyNumberFormat="1">
      <alignment horizontal="right" readingOrder="0"/>
    </xf>
    <xf borderId="26" fillId="0" fontId="7" numFmtId="1" xfId="0" applyAlignment="1" applyBorder="1" applyFont="1" applyNumberFormat="1">
      <alignment horizontal="right"/>
    </xf>
    <xf borderId="20" fillId="0" fontId="7" numFmtId="3" xfId="0" applyAlignment="1" applyBorder="1" applyFont="1" applyNumberFormat="1">
      <alignment horizontal="right"/>
    </xf>
    <xf borderId="5" fillId="0" fontId="7" numFmtId="0" xfId="0" applyAlignment="1" applyBorder="1" applyFont="1">
      <alignment readingOrder="0" shrinkToFit="0" vertical="bottom" wrapText="1"/>
    </xf>
    <xf borderId="17" fillId="0" fontId="17" numFmtId="1" xfId="0" applyAlignment="1" applyBorder="1" applyFont="1" applyNumberFormat="1">
      <alignment horizontal="left" readingOrder="0" shrinkToFit="0" vertical="bottom" wrapText="0"/>
    </xf>
    <xf borderId="8" fillId="0" fontId="4" numFmtId="0" xfId="0" applyBorder="1" applyFont="1"/>
    <xf borderId="12" fillId="0" fontId="7" numFmtId="164" xfId="0" applyAlignment="1" applyBorder="1" applyFont="1" applyNumberFormat="1">
      <alignment horizontal="right" readingOrder="0"/>
    </xf>
    <xf borderId="15" fillId="0" fontId="18" numFmtId="0" xfId="0" applyAlignment="1" applyBorder="1" applyFont="1">
      <alignment readingOrder="0"/>
    </xf>
    <xf borderId="0" fillId="0" fontId="19" numFmtId="0" xfId="0" applyAlignment="1" applyFont="1">
      <alignment readingOrder="0" vertical="bottom"/>
    </xf>
    <xf borderId="15" fillId="0" fontId="7" numFmtId="0" xfId="0" applyAlignment="1" applyBorder="1" applyFont="1">
      <alignment readingOrder="0" shrinkToFit="0" vertical="bottom" wrapText="1"/>
    </xf>
    <xf borderId="16" fillId="0" fontId="4" numFmtId="1" xfId="0" applyAlignment="1" applyBorder="1" applyFont="1" applyNumberFormat="1">
      <alignment horizontal="right" readingOrder="0" vertical="bottom"/>
    </xf>
    <xf borderId="22" fillId="0" fontId="7" numFmtId="0" xfId="0" applyAlignment="1" applyBorder="1" applyFont="1">
      <alignment horizontal="right" readingOrder="0"/>
    </xf>
    <xf borderId="16" fillId="0" fontId="20" numFmtId="0" xfId="0" applyAlignment="1" applyBorder="1" applyFont="1">
      <alignment horizontal="left" readingOrder="0" shrinkToFit="0" wrapText="0"/>
    </xf>
    <xf borderId="15" fillId="0" fontId="7" numFmtId="166" xfId="0" applyAlignment="1" applyBorder="1" applyFont="1" applyNumberFormat="1">
      <alignment horizontal="right" readingOrder="0"/>
    </xf>
    <xf borderId="17" fillId="0" fontId="7" numFmtId="0" xfId="0" applyAlignment="1" applyBorder="1" applyFont="1">
      <alignment readingOrder="0" shrinkToFit="0" vertical="bottom" wrapText="1"/>
    </xf>
    <xf borderId="18" fillId="0" fontId="7" numFmtId="1" xfId="0" applyAlignment="1" applyBorder="1" applyFont="1" applyNumberFormat="1">
      <alignment horizontal="right" readingOrder="0" vertical="bottom"/>
    </xf>
    <xf borderId="24" fillId="0" fontId="7" numFmtId="164" xfId="0" applyAlignment="1" applyBorder="1" applyFont="1" applyNumberFormat="1">
      <alignment horizontal="right" readingOrder="0"/>
    </xf>
    <xf borderId="15" fillId="0" fontId="7" numFmtId="1" xfId="0" applyAlignment="1" applyBorder="1" applyFont="1" applyNumberFormat="1">
      <alignment horizontal="right" readingOrder="0" vertical="bottom"/>
    </xf>
    <xf borderId="17" fillId="0" fontId="7" numFmtId="166" xfId="0" applyAlignment="1" applyBorder="1" applyFont="1" applyNumberFormat="1">
      <alignment horizontal="right" readingOrder="0"/>
    </xf>
    <xf borderId="22" fillId="0" fontId="7" numFmtId="3" xfId="0" applyAlignment="1" applyBorder="1" applyFont="1" applyNumberFormat="1">
      <alignment horizontal="right" readingOrder="0"/>
    </xf>
    <xf borderId="15" fillId="0" fontId="7" numFmtId="3" xfId="0" applyAlignment="1" applyBorder="1" applyFont="1" applyNumberFormat="1">
      <alignment horizontal="right" readingOrder="0"/>
    </xf>
    <xf borderId="13" fillId="0" fontId="21" numFmtId="0" xfId="0" applyAlignment="1" applyBorder="1" applyFont="1">
      <alignment horizontal="left" readingOrder="0" shrinkToFit="0" wrapText="0"/>
    </xf>
    <xf borderId="0" fillId="0" fontId="4" numFmtId="0" xfId="0" applyAlignment="1" applyFont="1">
      <alignment readingOrder="0"/>
    </xf>
    <xf borderId="20" fillId="0" fontId="7" numFmtId="0" xfId="0" applyAlignment="1" applyBorder="1" applyFont="1">
      <alignment readingOrder="0" shrinkToFit="0" vertical="bottom" wrapText="1"/>
    </xf>
    <xf borderId="20" fillId="0" fontId="4" numFmtId="0" xfId="0" applyAlignment="1" applyBorder="1" applyFont="1">
      <alignment horizontal="right" readingOrder="0" vertical="bottom"/>
    </xf>
    <xf borderId="21" fillId="0" fontId="7" numFmtId="1" xfId="0" applyAlignment="1" applyBorder="1" applyFont="1" applyNumberFormat="1">
      <alignment horizontal="right" readingOrder="0" vertical="bottom"/>
    </xf>
    <xf borderId="26" fillId="0" fontId="7" numFmtId="164" xfId="0" applyAlignment="1" applyBorder="1" applyFont="1" applyNumberFormat="1">
      <alignment horizontal="right" readingOrder="0"/>
    </xf>
    <xf borderId="8" fillId="0" fontId="22" numFmtId="0" xfId="0" applyAlignment="1" applyBorder="1" applyFont="1">
      <alignment horizontal="left" readingOrder="0" shrinkToFit="0" wrapText="0"/>
    </xf>
    <xf borderId="20" fillId="0" fontId="7" numFmtId="166" xfId="0" applyAlignment="1" applyBorder="1" applyFont="1" applyNumberFormat="1">
      <alignment horizontal="right" readingOrder="0"/>
    </xf>
    <xf borderId="15" fillId="0" fontId="23" numFmtId="0" xfId="0" applyAlignment="1" applyBorder="1" applyFont="1">
      <alignment horizontal="left" readingOrder="0" shrinkToFit="0" wrapText="0"/>
    </xf>
    <xf borderId="25" fillId="0" fontId="7" numFmtId="164" xfId="0" applyAlignment="1" applyBorder="1" applyFont="1" applyNumberFormat="1">
      <alignment horizontal="right" readingOrder="0"/>
    </xf>
    <xf borderId="17" fillId="0" fontId="24" numFmtId="0" xfId="0" applyAlignment="1" applyBorder="1" applyFont="1">
      <alignment horizontal="left" readingOrder="0" shrinkToFit="0" wrapText="0"/>
    </xf>
    <xf borderId="16" fillId="0" fontId="7" numFmtId="1" xfId="0" applyAlignment="1" applyBorder="1" applyFont="1" applyNumberFormat="1">
      <alignment horizontal="right" readingOrder="0" vertical="bottom"/>
    </xf>
    <xf borderId="22" fillId="0" fontId="7" numFmtId="166" xfId="0" applyAlignment="1" applyBorder="1" applyFont="1" applyNumberFormat="1">
      <alignment horizontal="right" readingOrder="0"/>
    </xf>
    <xf borderId="28" fillId="0" fontId="4" numFmtId="0" xfId="0" applyBorder="1" applyFont="1"/>
    <xf borderId="29" fillId="0" fontId="4" numFmtId="0" xfId="0" applyBorder="1" applyFont="1"/>
    <xf borderId="17" fillId="0" fontId="7" numFmtId="1" xfId="0" applyAlignment="1" applyBorder="1" applyFont="1" applyNumberFormat="1">
      <alignment horizontal="right"/>
    </xf>
    <xf borderId="17" fillId="0" fontId="25" numFmtId="0" xfId="0" applyAlignment="1" applyBorder="1" applyFont="1">
      <alignment horizontal="left" readingOrder="0" shrinkToFit="0" wrapText="0"/>
    </xf>
    <xf borderId="13" fillId="0" fontId="7" numFmtId="1" xfId="0" applyAlignment="1" applyBorder="1" applyFont="1" applyNumberFormat="1">
      <alignment horizontal="right" readingOrder="0" vertical="bottom"/>
    </xf>
    <xf borderId="8" fillId="0" fontId="26" numFmtId="0" xfId="0" applyAlignment="1" applyBorder="1" applyFont="1">
      <alignment vertical="bottom"/>
    </xf>
    <xf borderId="0" fillId="0" fontId="26" numFmtId="0" xfId="0" applyAlignment="1" applyFont="1">
      <alignment vertical="bottom"/>
    </xf>
    <xf borderId="15" fillId="0" fontId="26" numFmtId="0" xfId="0" applyAlignment="1" applyBorder="1" applyFont="1">
      <alignment vertical="bottom"/>
    </xf>
    <xf borderId="27" fillId="0" fontId="7" numFmtId="164" xfId="0" applyAlignment="1" applyBorder="1" applyFont="1" applyNumberFormat="1">
      <alignment horizontal="right" readingOrder="0"/>
    </xf>
    <xf borderId="9" fillId="0" fontId="26" numFmtId="0" xfId="0" applyAlignment="1" applyBorder="1" applyFont="1">
      <alignment vertical="bottom"/>
    </xf>
    <xf borderId="0" fillId="0" fontId="4" numFmtId="0" xfId="0" applyAlignment="1" applyFont="1">
      <alignment horizontal="right" vertical="bottom"/>
    </xf>
    <xf borderId="9" fillId="0" fontId="4" numFmtId="0" xfId="0" applyAlignment="1" applyBorder="1" applyFont="1">
      <alignment horizontal="right" vertical="bottom"/>
    </xf>
    <xf borderId="0" fillId="0" fontId="27" numFmtId="0" xfId="0" applyAlignment="1" applyFont="1">
      <alignment shrinkToFit="0" vertical="bottom" wrapText="0"/>
    </xf>
    <xf borderId="0" fillId="0" fontId="4" numFmtId="0" xfId="0" applyAlignment="1" applyFont="1">
      <alignment readingOrder="0" vertical="bottom"/>
    </xf>
    <xf borderId="24" fillId="0" fontId="7" numFmtId="9" xfId="0" applyAlignment="1" applyBorder="1" applyFont="1" applyNumberFormat="1">
      <alignment horizontal="right" readingOrder="0"/>
    </xf>
    <xf borderId="16" fillId="0" fontId="28" numFmtId="0" xfId="0" applyAlignment="1" applyBorder="1" applyFont="1">
      <alignment readingOrder="0"/>
    </xf>
    <xf borderId="17" fillId="0" fontId="7" numFmtId="3" xfId="0" applyAlignment="1" applyBorder="1" applyFont="1" applyNumberFormat="1">
      <alignment horizontal="right" readingOrder="0"/>
    </xf>
    <xf borderId="16" fillId="0" fontId="4" numFmtId="0" xfId="0" applyAlignment="1" applyBorder="1" applyFont="1">
      <alignment horizontal="right" readingOrder="0" vertical="bottom"/>
    </xf>
    <xf borderId="15" fillId="0" fontId="7" numFmtId="167" xfId="0" applyAlignment="1" applyBorder="1" applyFont="1" applyNumberFormat="1">
      <alignment horizontal="right"/>
    </xf>
    <xf borderId="24" fillId="0" fontId="7" numFmtId="0" xfId="0" applyAlignment="1" applyBorder="1" applyFont="1">
      <alignment horizontal="right" readingOrder="0"/>
    </xf>
    <xf borderId="20" fillId="0" fontId="29" numFmtId="0" xfId="0" applyAlignment="1" applyBorder="1" applyFont="1">
      <alignment horizontal="left" readingOrder="0" shrinkToFit="0" wrapText="0"/>
    </xf>
    <xf borderId="12" fillId="0" fontId="4" numFmtId="0" xfId="0" applyBorder="1" applyFont="1"/>
    <xf borderId="8" fillId="0" fontId="7" numFmtId="166" xfId="0" applyAlignment="1" applyBorder="1" applyFont="1" applyNumberFormat="1">
      <alignment horizontal="right" readingOrder="0"/>
    </xf>
    <xf borderId="0" fillId="0" fontId="7" numFmtId="9" xfId="0" applyAlignment="1" applyFont="1" applyNumberFormat="1">
      <alignment horizontal="right" readingOrder="0"/>
    </xf>
    <xf borderId="23" fillId="0" fontId="7" numFmtId="166" xfId="0" applyAlignment="1" applyBorder="1" applyFont="1" applyNumberFormat="1">
      <alignment horizontal="right" readingOrder="0"/>
    </xf>
    <xf borderId="15" fillId="0" fontId="7" numFmtId="164" xfId="0" applyAlignment="1" applyBorder="1" applyFont="1" applyNumberFormat="1">
      <alignment horizontal="right"/>
    </xf>
    <xf borderId="2" fillId="2" fontId="1" numFmtId="0" xfId="0" applyAlignment="1" applyBorder="1" applyFill="1" applyFont="1">
      <alignment shrinkToFit="0" vertical="bottom" wrapText="1"/>
    </xf>
    <xf borderId="20" fillId="0" fontId="4" numFmtId="1" xfId="0" applyAlignment="1" applyBorder="1" applyFont="1" applyNumberFormat="1">
      <alignment horizontal="right" readingOrder="0" vertical="bottom"/>
    </xf>
    <xf borderId="26" fillId="0" fontId="7" numFmtId="0" xfId="0" applyAlignment="1" applyBorder="1" applyFont="1">
      <alignment horizontal="right" readingOrder="0"/>
    </xf>
    <xf borderId="20" fillId="0" fontId="7" numFmtId="9" xfId="0" applyAlignment="1" applyBorder="1" applyFont="1" applyNumberFormat="1">
      <alignment horizontal="right" readingOrder="0"/>
    </xf>
    <xf borderId="1" fillId="2" fontId="1" numFmtId="0" xfId="0" applyAlignment="1" applyBorder="1" applyFill="1" applyFont="1">
      <alignment vertical="bottom"/>
    </xf>
    <xf borderId="2" fillId="2" fontId="1" numFmtId="0" xfId="0" applyAlignment="1" applyBorder="1" applyFill="1" applyFont="1">
      <alignment horizontal="left" shrinkToFit="0" vertical="bottom" wrapText="0"/>
    </xf>
    <xf borderId="12" fillId="0" fontId="7" numFmtId="166" xfId="0" applyAlignment="1" applyBorder="1" applyFont="1" applyNumberFormat="1">
      <alignment horizontal="right" readingOrder="0"/>
    </xf>
    <xf borderId="3" fillId="2" fontId="1" numFmtId="0" xfId="0" applyAlignment="1" applyBorder="1" applyFill="1" applyFont="1">
      <alignment horizontal="left" shrinkToFit="0" vertical="bottom" wrapText="0"/>
    </xf>
    <xf borderId="0" fillId="2" fontId="1" numFmtId="0" xfId="0" applyAlignment="1" applyFill="1" applyFont="1">
      <alignment shrinkToFit="0" vertical="bottom" wrapText="1"/>
    </xf>
    <xf borderId="0" fillId="0" fontId="4" numFmtId="1" xfId="0" applyAlignment="1" applyFont="1" applyNumberFormat="1">
      <alignment horizontal="right" readingOrder="0" vertical="bottom"/>
    </xf>
    <xf borderId="10" fillId="0" fontId="7" numFmtId="165" xfId="0" applyAlignment="1" applyBorder="1" applyFont="1" applyNumberFormat="1">
      <alignment horizontal="right"/>
    </xf>
    <xf borderId="8" fillId="2" fontId="1" numFmtId="0" xfId="0" applyAlignment="1" applyBorder="1" applyFill="1" applyFont="1">
      <alignment vertical="bottom"/>
    </xf>
    <xf borderId="0" fillId="2" fontId="1" numFmtId="0" xfId="0" applyAlignment="1" applyFill="1" applyFont="1">
      <alignment horizontal="left" shrinkToFit="0" vertical="bottom" wrapText="0"/>
    </xf>
    <xf borderId="9" fillId="2" fontId="1" numFmtId="0" xfId="0" applyAlignment="1" applyBorder="1" applyFill="1" applyFont="1">
      <alignment horizontal="left" shrinkToFit="0" vertical="bottom" wrapText="0"/>
    </xf>
    <xf borderId="5" fillId="0" fontId="7" numFmtId="167" xfId="0" applyAlignment="1" applyBorder="1" applyFont="1" applyNumberFormat="1">
      <alignment horizontal="right"/>
    </xf>
    <xf borderId="12" fillId="2" fontId="1" numFmtId="0" xfId="0" applyAlignment="1" applyBorder="1" applyFill="1" applyFont="1">
      <alignment vertical="bottom"/>
    </xf>
    <xf borderId="15" fillId="0" fontId="4" numFmtId="1" xfId="0" applyAlignment="1" applyBorder="1" applyFont="1" applyNumberFormat="1">
      <alignment horizontal="right" readingOrder="0" vertical="bottom"/>
    </xf>
    <xf borderId="5" fillId="2" fontId="1" numFmtId="0" xfId="0" applyAlignment="1" applyBorder="1" applyFill="1" applyFont="1">
      <alignment vertical="bottom"/>
    </xf>
    <xf borderId="13" fillId="2" fontId="1" numFmtId="0" xfId="0" applyAlignment="1" applyBorder="1" applyFill="1" applyFont="1">
      <alignment horizontal="left" readingOrder="0" shrinkToFit="0" vertical="bottom" wrapText="0"/>
    </xf>
    <xf borderId="22" fillId="0" fontId="7" numFmtId="165" xfId="0" applyAlignment="1" applyBorder="1" applyFont="1" applyNumberFormat="1">
      <alignment horizontal="right"/>
    </xf>
    <xf borderId="5" fillId="3" fontId="1" numFmtId="0" xfId="0" applyAlignment="1" applyBorder="1" applyFill="1" applyFont="1">
      <alignment readingOrder="0" shrinkToFit="0" vertical="bottom" wrapText="1"/>
    </xf>
    <xf borderId="15" fillId="0" fontId="7" numFmtId="1" xfId="0" applyAlignment="1" applyBorder="1" applyFont="1" applyNumberFormat="1">
      <alignment horizontal="right"/>
    </xf>
    <xf borderId="6" fillId="3" fontId="7" numFmtId="1" xfId="0" applyAlignment="1" applyBorder="1" applyFill="1" applyFont="1" applyNumberFormat="1">
      <alignment horizontal="right" vertical="bottom"/>
    </xf>
    <xf borderId="7" fillId="3" fontId="7" numFmtId="1" xfId="0" applyAlignment="1" applyBorder="1" applyFill="1" applyFont="1" applyNumberFormat="1">
      <alignment horizontal="right" vertical="bottom"/>
    </xf>
    <xf borderId="19" fillId="3" fontId="7" numFmtId="1" xfId="0" applyAlignment="1" applyBorder="1" applyFill="1" applyFont="1" applyNumberFormat="1">
      <alignment horizontal="right" vertical="bottom"/>
    </xf>
    <xf borderId="11" fillId="3" fontId="4" numFmtId="1" xfId="0" applyAlignment="1" applyBorder="1" applyFill="1" applyFont="1" applyNumberFormat="1">
      <alignment horizontal="right" vertical="bottom"/>
    </xf>
    <xf borderId="0" fillId="0" fontId="30" numFmtId="0" xfId="0" applyAlignment="1" applyFont="1">
      <alignment readingOrder="0" vertical="bottom"/>
    </xf>
    <xf borderId="11" fillId="3" fontId="4" numFmtId="1" xfId="0" applyAlignment="1" applyBorder="1" applyFill="1" applyFont="1" applyNumberFormat="1">
      <alignment horizontal="center" vertical="bottom"/>
    </xf>
    <xf borderId="9" fillId="0" fontId="4" numFmtId="168" xfId="0" applyAlignment="1" applyBorder="1" applyFont="1" applyNumberFormat="1">
      <alignment horizontal="right" vertical="bottom"/>
    </xf>
    <xf borderId="0" fillId="0" fontId="7" numFmtId="169" xfId="0" applyAlignment="1" applyFont="1" applyNumberFormat="1">
      <alignment horizontal="right"/>
    </xf>
    <xf borderId="8" fillId="0" fontId="4" numFmtId="1" xfId="0" applyAlignment="1" applyBorder="1" applyFont="1" applyNumberFormat="1">
      <alignment horizontal="right" vertical="bottom"/>
    </xf>
    <xf borderId="10" fillId="0" fontId="7" numFmtId="166" xfId="0" applyAlignment="1" applyBorder="1" applyFont="1" applyNumberFormat="1">
      <alignment horizontal="right" readingOrder="0"/>
    </xf>
    <xf borderId="0" fillId="0" fontId="7" numFmtId="166" xfId="0" applyAlignment="1" applyFont="1" applyNumberFormat="1">
      <alignment horizontal="right" readingOrder="0"/>
    </xf>
    <xf borderId="0" fillId="0" fontId="31" numFmtId="0" xfId="0" applyAlignment="1" applyFont="1">
      <alignment vertical="bottom"/>
    </xf>
    <xf borderId="13" fillId="0" fontId="4" numFmtId="1" xfId="0" applyAlignment="1" applyBorder="1" applyFont="1" applyNumberFormat="1">
      <alignment horizontal="right" readingOrder="0" vertical="bottom"/>
    </xf>
    <xf borderId="5" fillId="0" fontId="7" numFmtId="3" xfId="0" applyAlignment="1" applyBorder="1" applyFont="1" applyNumberFormat="1">
      <alignment horizontal="right" readingOrder="0"/>
    </xf>
    <xf borderId="23" fillId="0" fontId="7" numFmtId="9" xfId="0" applyAlignment="1" applyBorder="1" applyFont="1" applyNumberFormat="1">
      <alignment horizontal="right"/>
    </xf>
    <xf borderId="17" fillId="0" fontId="4" numFmtId="1" xfId="0" applyAlignment="1" applyBorder="1" applyFont="1" applyNumberFormat="1">
      <alignment horizontal="right" readingOrder="0" vertical="bottom"/>
    </xf>
    <xf borderId="0" fillId="0" fontId="32" numFmtId="0" xfId="0" applyAlignment="1" applyFont="1">
      <alignment readingOrder="0" vertical="bottom"/>
    </xf>
    <xf borderId="22" fillId="0" fontId="7" numFmtId="9" xfId="0" applyAlignment="1" applyBorder="1" applyFont="1" applyNumberFormat="1">
      <alignment horizontal="right" readingOrder="0"/>
    </xf>
    <xf borderId="15" fillId="0" fontId="7" numFmtId="0" xfId="0" applyAlignment="1" applyBorder="1" applyFont="1">
      <alignment horizontal="right"/>
    </xf>
    <xf borderId="12" fillId="3" fontId="4" numFmtId="0" xfId="0" applyAlignment="1" applyBorder="1" applyFill="1" applyFont="1">
      <alignment vertical="bottom"/>
    </xf>
    <xf borderId="5" fillId="3" fontId="4" numFmtId="0" xfId="0" applyAlignment="1" applyBorder="1" applyFill="1" applyFont="1">
      <alignment horizontal="left" shrinkToFit="0" vertical="bottom" wrapText="0"/>
    </xf>
    <xf borderId="9" fillId="3" fontId="4" numFmtId="0" xfId="0" applyAlignment="1" applyBorder="1" applyFill="1" applyFont="1">
      <alignment horizontal="left" shrinkToFit="0" vertical="bottom" wrapText="0"/>
    </xf>
    <xf borderId="19" fillId="3" fontId="4" numFmtId="0" xfId="0" applyAlignment="1" applyBorder="1" applyFill="1" applyFont="1">
      <alignment horizontal="right" vertical="bottom"/>
    </xf>
    <xf borderId="7" fillId="3" fontId="4" numFmtId="0" xfId="0" applyAlignment="1" applyBorder="1" applyFill="1" applyFont="1">
      <alignment horizontal="right" vertical="bottom"/>
    </xf>
    <xf borderId="24" fillId="0" fontId="7" numFmtId="1" xfId="0" applyAlignment="1" applyBorder="1" applyFont="1" applyNumberFormat="1">
      <alignment horizontal="right" readingOrder="0"/>
    </xf>
    <xf borderId="6" fillId="3" fontId="4" numFmtId="0" xfId="0" applyAlignment="1" applyBorder="1" applyFill="1" applyFont="1">
      <alignment vertical="bottom"/>
    </xf>
    <xf borderId="11" fillId="3" fontId="4" numFmtId="0" xfId="0" applyAlignment="1" applyBorder="1" applyFill="1" applyFont="1">
      <alignment horizontal="left" shrinkToFit="0" vertical="bottom" wrapText="0"/>
    </xf>
    <xf borderId="0" fillId="0" fontId="4" numFmtId="0" xfId="0" applyAlignment="1" applyFont="1">
      <alignment shrinkToFit="0" vertical="bottom" wrapText="1"/>
    </xf>
    <xf borderId="18" fillId="0" fontId="4" numFmtId="1" xfId="0" applyAlignment="1" applyBorder="1" applyFont="1" applyNumberFormat="1">
      <alignment horizontal="right" readingOrder="0" vertical="bottom"/>
    </xf>
    <xf borderId="10" fillId="0" fontId="4" numFmtId="0" xfId="0" applyAlignment="1" applyBorder="1" applyFont="1">
      <alignment horizontal="right"/>
    </xf>
    <xf borderId="25" fillId="0" fontId="7" numFmtId="9" xfId="0" applyAlignment="1" applyBorder="1" applyFont="1" applyNumberFormat="1">
      <alignment horizontal="right"/>
    </xf>
    <xf borderId="0" fillId="0" fontId="4" numFmtId="0" xfId="0" applyAlignment="1" applyFont="1">
      <alignment horizontal="right"/>
    </xf>
    <xf borderId="0" fillId="0" fontId="4" numFmtId="0" xfId="0" applyAlignment="1" applyFont="1">
      <alignment horizontal="left" shrinkToFit="0" wrapText="0"/>
    </xf>
    <xf borderId="9" fillId="0" fontId="4" numFmtId="0" xfId="0" applyAlignment="1" applyBorder="1" applyFont="1">
      <alignment horizontal="left" shrinkToFit="0" wrapText="0"/>
    </xf>
    <xf borderId="22" fillId="0" fontId="7" numFmtId="9" xfId="0" applyAlignment="1" applyBorder="1" applyFont="1" applyNumberFormat="1">
      <alignment horizontal="right"/>
    </xf>
    <xf borderId="15" fillId="0" fontId="7" numFmtId="0" xfId="0" applyAlignment="1" applyBorder="1" applyFont="1">
      <alignment horizontal="right" readingOrder="0"/>
    </xf>
    <xf borderId="14" fillId="0" fontId="4" numFmtId="166" xfId="0" applyAlignment="1" applyBorder="1" applyFont="1" applyNumberFormat="1">
      <alignment horizontal="right" readingOrder="0"/>
    </xf>
    <xf borderId="5" fillId="0" fontId="4" numFmtId="166" xfId="0" applyAlignment="1" applyBorder="1" applyFont="1" applyNumberFormat="1">
      <alignment horizontal="right" readingOrder="0"/>
    </xf>
    <xf borderId="5" fillId="0" fontId="4" numFmtId="0" xfId="0" applyAlignment="1" applyBorder="1" applyFont="1">
      <alignment horizontal="left" readingOrder="0" shrinkToFit="0" wrapText="0"/>
    </xf>
    <xf borderId="13" fillId="0" fontId="4" numFmtId="0" xfId="0" applyAlignment="1" applyBorder="1" applyFont="1">
      <alignment horizontal="left" readingOrder="0" shrinkToFit="0" wrapText="0"/>
    </xf>
    <xf borderId="10" fillId="0" fontId="7" numFmtId="9" xfId="0" applyAlignment="1" applyBorder="1" applyFont="1" applyNumberFormat="1">
      <alignment horizontal="right"/>
    </xf>
    <xf borderId="21" fillId="0" fontId="4" numFmtId="0" xfId="0" applyAlignment="1" applyBorder="1" applyFont="1">
      <alignment horizontal="right" readingOrder="0" vertical="bottom"/>
    </xf>
    <xf borderId="0" fillId="0" fontId="4" numFmtId="0" xfId="0" applyAlignment="1" applyFont="1">
      <alignment shrinkToFit="0" wrapText="1"/>
    </xf>
    <xf borderId="10" fillId="0" fontId="4" numFmtId="0" xfId="0" applyAlignment="1" applyBorder="1" applyFont="1">
      <alignment horizontal="right" readingOrder="0"/>
    </xf>
    <xf borderId="15" fillId="0" fontId="4" numFmtId="0" xfId="0" applyAlignment="1" applyBorder="1" applyFont="1">
      <alignment readingOrder="0" shrinkToFit="0" wrapText="1"/>
    </xf>
    <xf borderId="0" fillId="0" fontId="7" numFmtId="0" xfId="0" applyAlignment="1" applyFont="1">
      <alignment shrinkToFit="0" wrapText="1"/>
    </xf>
    <xf borderId="22" fillId="0" fontId="4" numFmtId="0" xfId="0" applyAlignment="1" applyBorder="1" applyFont="1">
      <alignment horizontal="right" readingOrder="0"/>
    </xf>
    <xf borderId="15" fillId="0" fontId="4" numFmtId="9" xfId="0" applyAlignment="1" applyBorder="1" applyFont="1" applyNumberFormat="1">
      <alignment horizontal="right" readingOrder="0"/>
    </xf>
    <xf borderId="9" fillId="0" fontId="4" numFmtId="0" xfId="0" applyAlignment="1" applyBorder="1" applyFont="1">
      <alignment horizontal="center" readingOrder="0"/>
    </xf>
    <xf borderId="23" fillId="0" fontId="4" numFmtId="0" xfId="0" applyBorder="1" applyFont="1"/>
    <xf borderId="15" fillId="0" fontId="4" numFmtId="0" xfId="0" applyAlignment="1" applyBorder="1" applyFont="1">
      <alignment horizontal="left" readingOrder="0" shrinkToFit="0" wrapText="0"/>
    </xf>
    <xf borderId="18" fillId="0" fontId="4" numFmtId="3" xfId="0" applyAlignment="1" applyBorder="1" applyFont="1" applyNumberFormat="1">
      <alignment horizontal="right" readingOrder="0" vertical="bottom"/>
    </xf>
    <xf borderId="15" fillId="0" fontId="4" numFmtId="0" xfId="0" applyAlignment="1" applyBorder="1" applyFont="1">
      <alignment horizontal="right" readingOrder="0"/>
    </xf>
    <xf borderId="16" fillId="0" fontId="33" numFmtId="0" xfId="0" applyAlignment="1" applyBorder="1" applyFont="1">
      <alignment horizontal="left" readingOrder="0" shrinkToFit="0" wrapText="0"/>
    </xf>
    <xf borderId="17" fillId="0" fontId="4" numFmtId="0" xfId="0" applyAlignment="1" applyBorder="1" applyFont="1">
      <alignment readingOrder="0" shrinkToFit="0" wrapText="1"/>
    </xf>
    <xf borderId="24" fillId="0" fontId="4" numFmtId="0" xfId="0" applyAlignment="1" applyBorder="1" applyFont="1">
      <alignment horizontal="right" readingOrder="0"/>
    </xf>
    <xf borderId="17" fillId="0" fontId="7" numFmtId="0" xfId="0" applyAlignment="1" applyBorder="1" applyFont="1">
      <alignment horizontal="right" readingOrder="0"/>
    </xf>
    <xf borderId="17" fillId="0" fontId="4" numFmtId="9" xfId="0" applyAlignment="1" applyBorder="1" applyFont="1" applyNumberFormat="1">
      <alignment horizontal="right" readingOrder="0"/>
    </xf>
    <xf borderId="25" fillId="0" fontId="4" numFmtId="0" xfId="0" applyBorder="1" applyFont="1"/>
    <xf borderId="17" fillId="0" fontId="4" numFmtId="0" xfId="0" applyAlignment="1" applyBorder="1" applyFont="1">
      <alignment horizontal="left" readingOrder="0" shrinkToFit="0" wrapText="0"/>
    </xf>
    <xf borderId="20" fillId="0" fontId="4" numFmtId="0" xfId="0" applyAlignment="1" applyBorder="1" applyFont="1">
      <alignment readingOrder="0" shrinkToFit="0" wrapText="1"/>
    </xf>
    <xf borderId="17" fillId="0" fontId="7" numFmtId="0" xfId="0" applyAlignment="1" applyBorder="1" applyFont="1">
      <alignment readingOrder="0" shrinkToFit="0" wrapText="1"/>
    </xf>
    <xf borderId="26" fillId="0" fontId="4" numFmtId="0" xfId="0" applyAlignment="1" applyBorder="1" applyFont="1">
      <alignment horizontal="right" readingOrder="0"/>
    </xf>
    <xf borderId="17" fillId="0" fontId="4" numFmtId="0" xfId="0" applyAlignment="1" applyBorder="1" applyFont="1">
      <alignment horizontal="right" readingOrder="0"/>
    </xf>
    <xf borderId="20" fillId="0" fontId="4" numFmtId="9" xfId="0" applyAlignment="1" applyBorder="1" applyFont="1" applyNumberFormat="1">
      <alignment horizontal="right" readingOrder="0"/>
    </xf>
    <xf borderId="17" fillId="0" fontId="7" numFmtId="0" xfId="0" applyAlignment="1" applyBorder="1" applyFont="1">
      <alignment horizontal="right"/>
    </xf>
    <xf borderId="27" fillId="0" fontId="4" numFmtId="0" xfId="0" applyBorder="1" applyFont="1"/>
    <xf borderId="17" fillId="0" fontId="7" numFmtId="10" xfId="0" applyAlignment="1" applyBorder="1" applyFont="1" applyNumberFormat="1">
      <alignment horizontal="right"/>
    </xf>
    <xf borderId="20" fillId="0" fontId="4" numFmtId="0" xfId="0" applyAlignment="1" applyBorder="1" applyFont="1">
      <alignment horizontal="left" readingOrder="0" shrinkToFit="0" wrapText="0"/>
    </xf>
    <xf borderId="13" fillId="0" fontId="34" numFmtId="0" xfId="0" applyAlignment="1" applyBorder="1" applyFont="1">
      <alignment horizontal="left" readingOrder="0" shrinkToFit="0" wrapText="0"/>
    </xf>
    <xf borderId="16" fillId="0" fontId="4" numFmtId="0" xfId="0" applyAlignment="1" applyBorder="1" applyFont="1">
      <alignment horizontal="center" readingOrder="0"/>
    </xf>
    <xf borderId="0" fillId="0" fontId="4" numFmtId="0" xfId="0" applyAlignment="1" applyFont="1">
      <alignment readingOrder="0" shrinkToFit="0" vertical="bottom" wrapText="0"/>
    </xf>
    <xf borderId="15" fillId="0" fontId="4" numFmtId="0" xfId="0" applyAlignment="1" applyBorder="1" applyFont="1">
      <alignment readingOrder="0" shrinkToFit="0" vertical="bottom" wrapText="1"/>
    </xf>
    <xf borderId="18" fillId="0" fontId="4" numFmtId="0" xfId="0" applyAlignment="1" applyBorder="1" applyFont="1">
      <alignment horizontal="right" readingOrder="0"/>
    </xf>
    <xf borderId="15" fillId="0" fontId="4" numFmtId="167" xfId="0" applyAlignment="1" applyBorder="1" applyFont="1" applyNumberFormat="1">
      <alignment horizontal="right" readingOrder="0"/>
    </xf>
    <xf borderId="17" fillId="0" fontId="7" numFmtId="9" xfId="0" applyAlignment="1" applyBorder="1" applyFont="1" applyNumberFormat="1">
      <alignment horizontal="right" readingOrder="0"/>
    </xf>
    <xf borderId="22" fillId="0" fontId="7" numFmtId="2" xfId="0" applyAlignment="1" applyBorder="1" applyFont="1" applyNumberFormat="1">
      <alignment horizontal="right" readingOrder="0"/>
    </xf>
    <xf borderId="15" fillId="0" fontId="4" numFmtId="0" xfId="0" applyAlignment="1" applyBorder="1" applyFont="1">
      <alignment horizontal="left" readingOrder="0" shrinkToFit="0" wrapText="0"/>
    </xf>
    <xf borderId="5" fillId="0" fontId="4" numFmtId="0" xfId="0" applyAlignment="1" applyBorder="1" applyFont="1">
      <alignment readingOrder="0" shrinkToFit="0" vertical="bottom" wrapText="1"/>
    </xf>
    <xf borderId="14" fillId="0" fontId="4" numFmtId="0" xfId="0" applyAlignment="1" applyBorder="1" applyFont="1">
      <alignment horizontal="right" readingOrder="0"/>
    </xf>
    <xf borderId="5" fillId="0" fontId="4" numFmtId="164" xfId="0" applyAlignment="1" applyBorder="1" applyFont="1" applyNumberFormat="1">
      <alignment horizontal="right" readingOrder="0"/>
    </xf>
    <xf borderId="20" fillId="0" fontId="7" numFmtId="0" xfId="0" applyAlignment="1" applyBorder="1" applyFont="1">
      <alignment readingOrder="0" shrinkToFit="0" wrapText="1"/>
    </xf>
    <xf borderId="20" fillId="0" fontId="4" numFmtId="0" xfId="0" applyAlignment="1" applyBorder="1" applyFont="1">
      <alignment horizontal="right" readingOrder="0"/>
    </xf>
    <xf borderId="27" fillId="0" fontId="7" numFmtId="9" xfId="0" applyAlignment="1" applyBorder="1" applyFont="1" applyNumberFormat="1">
      <alignment horizontal="right"/>
    </xf>
    <xf borderId="20" fillId="0" fontId="7" numFmtId="0" xfId="0" applyAlignment="1" applyBorder="1" applyFont="1">
      <alignment horizontal="right"/>
    </xf>
    <xf borderId="21" fillId="0" fontId="35" numFmtId="1" xfId="0" applyAlignment="1" applyBorder="1" applyFont="1" applyNumberFormat="1">
      <alignment horizontal="left" readingOrder="0" shrinkToFit="0" vertical="bottom" wrapText="0"/>
    </xf>
    <xf borderId="5" fillId="0" fontId="4" numFmtId="1" xfId="0" applyAlignment="1" applyBorder="1" applyFont="1" applyNumberFormat="1">
      <alignment horizontal="right" readingOrder="0" vertical="bottom"/>
    </xf>
    <xf borderId="19" fillId="3" fontId="4" numFmtId="1" xfId="0" applyAlignment="1" applyBorder="1" applyFill="1" applyFont="1" applyNumberFormat="1">
      <alignment horizontal="right" vertical="bottom"/>
    </xf>
    <xf borderId="7" fillId="3" fontId="4" numFmtId="1" xfId="0" applyAlignment="1" applyBorder="1" applyFill="1" applyFont="1" applyNumberFormat="1">
      <alignment horizontal="right" vertical="bottom"/>
    </xf>
    <xf borderId="5" fillId="0" fontId="7" numFmtId="10" xfId="0" applyAlignment="1" applyBorder="1" applyFont="1" applyNumberFormat="1">
      <alignment horizontal="right"/>
    </xf>
    <xf borderId="6" fillId="3" fontId="4" numFmtId="1" xfId="0" applyAlignment="1" applyBorder="1" applyFill="1" applyFont="1" applyNumberFormat="1">
      <alignment horizontal="right" vertical="bottom"/>
    </xf>
    <xf borderId="7" fillId="3" fontId="4" numFmtId="1" xfId="0" applyAlignment="1" applyBorder="1" applyFill="1" applyFont="1" applyNumberFormat="1">
      <alignment horizontal="left" shrinkToFit="0" vertical="bottom" wrapText="0"/>
    </xf>
    <xf borderId="11" fillId="3" fontId="4" numFmtId="0" xfId="0" applyAlignment="1" applyBorder="1" applyFill="1" applyFont="1">
      <alignment horizontal="right" vertical="bottom"/>
    </xf>
    <xf borderId="8" fillId="0" fontId="1" numFmtId="0" xfId="0" applyAlignment="1" applyBorder="1" applyFont="1">
      <alignment readingOrder="0" shrinkToFit="0" vertical="bottom" wrapText="0"/>
    </xf>
    <xf borderId="11" fillId="3" fontId="4" numFmtId="1" xfId="0" applyAlignment="1" applyBorder="1" applyFill="1" applyFont="1" applyNumberFormat="1">
      <alignment horizontal="left" shrinkToFit="0" vertical="bottom" wrapText="0"/>
    </xf>
    <xf borderId="8" fillId="0" fontId="7" numFmtId="0" xfId="0" applyAlignment="1" applyBorder="1" applyFont="1">
      <alignment horizontal="right" vertical="bottom"/>
    </xf>
    <xf borderId="0" fillId="0" fontId="1" numFmtId="0" xfId="0" applyAlignment="1" applyFont="1">
      <alignment readingOrder="0" shrinkToFit="0" vertical="bottom" wrapText="0"/>
    </xf>
    <xf borderId="0" fillId="0" fontId="7" numFmtId="0" xfId="0" applyAlignment="1" applyFont="1">
      <alignment horizontal="right" vertical="bottom"/>
    </xf>
    <xf borderId="9" fillId="0" fontId="1" numFmtId="0" xfId="0" applyAlignment="1" applyBorder="1" applyFont="1">
      <alignment readingOrder="0" shrinkToFit="0" vertical="bottom" wrapText="0"/>
    </xf>
    <xf borderId="10" fillId="0" fontId="4" numFmtId="1" xfId="0" applyAlignment="1" applyBorder="1" applyFont="1" applyNumberFormat="1">
      <alignment horizontal="right" vertical="bottom"/>
    </xf>
    <xf borderId="0" fillId="0" fontId="4" numFmtId="1" xfId="0" applyAlignment="1" applyFont="1" applyNumberFormat="1">
      <alignment horizontal="left" shrinkToFit="0" vertical="bottom" wrapText="0"/>
    </xf>
    <xf borderId="9" fillId="0" fontId="4" numFmtId="1" xfId="0" applyAlignment="1" applyBorder="1" applyFont="1" applyNumberFormat="1">
      <alignment horizontal="left" shrinkToFit="0" vertical="bottom" wrapText="0"/>
    </xf>
    <xf borderId="0" fillId="0" fontId="1" numFmtId="0" xfId="0" applyAlignment="1" applyFont="1">
      <alignment horizontal="right" readingOrder="0" shrinkToFit="0" vertical="bottom" wrapText="0"/>
    </xf>
    <xf borderId="9" fillId="0" fontId="1" numFmtId="0" xfId="0" applyAlignment="1" applyBorder="1" applyFont="1">
      <alignment horizontal="right" readingOrder="0" shrinkToFit="0" vertical="bottom" wrapText="0"/>
    </xf>
    <xf borderId="23" fillId="0" fontId="7" numFmtId="0" xfId="0" applyAlignment="1" applyBorder="1" applyFont="1">
      <alignment horizontal="right" readingOrder="0" vertical="bottom"/>
    </xf>
    <xf borderId="8" fillId="0" fontId="4" numFmtId="0" xfId="0" applyAlignment="1" applyBorder="1" applyFont="1">
      <alignment readingOrder="0" shrinkToFit="0" vertical="bottom" wrapText="0"/>
    </xf>
    <xf borderId="15" fillId="0" fontId="7" numFmtId="170" xfId="0" applyAlignment="1" applyBorder="1" applyFont="1" applyNumberFormat="1">
      <alignment horizontal="right" vertical="bottom"/>
    </xf>
    <xf borderId="15" fillId="0" fontId="4" numFmtId="0" xfId="0" applyAlignment="1" applyBorder="1" applyFont="1">
      <alignment readingOrder="0" shrinkToFit="0" vertical="bottom" wrapText="0"/>
    </xf>
    <xf borderId="15" fillId="0" fontId="4" numFmtId="0" xfId="0" applyAlignment="1" applyBorder="1" applyFont="1">
      <alignment horizontal="right" readingOrder="0" shrinkToFit="0" vertical="bottom" wrapText="0"/>
    </xf>
    <xf borderId="16" fillId="0" fontId="4" numFmtId="0" xfId="0" applyAlignment="1" applyBorder="1" applyFont="1">
      <alignment horizontal="right" readingOrder="0" shrinkToFit="0" vertical="bottom" wrapText="0"/>
    </xf>
    <xf borderId="22" fillId="0" fontId="4" numFmtId="1" xfId="0" applyAlignment="1" applyBorder="1" applyFont="1" applyNumberFormat="1">
      <alignment horizontal="right" readingOrder="0" vertical="bottom"/>
    </xf>
    <xf borderId="17" fillId="0" fontId="7" numFmtId="10" xfId="0" applyAlignment="1" applyBorder="1" applyFont="1" applyNumberFormat="1">
      <alignment horizontal="right" readingOrder="0"/>
    </xf>
    <xf borderId="15" fillId="0" fontId="4" numFmtId="3" xfId="0" applyAlignment="1" applyBorder="1" applyFont="1" applyNumberFormat="1">
      <alignment horizontal="right" vertical="bottom"/>
    </xf>
    <xf borderId="15" fillId="0" fontId="4" numFmtId="3" xfId="0" applyAlignment="1" applyBorder="1" applyFont="1" applyNumberFormat="1">
      <alignment horizontal="right" readingOrder="0" vertical="bottom"/>
    </xf>
    <xf borderId="16" fillId="0" fontId="4" numFmtId="0" xfId="0" applyAlignment="1" applyBorder="1" applyFont="1">
      <alignment horizontal="right" vertical="bottom"/>
    </xf>
    <xf borderId="18" fillId="0" fontId="4" numFmtId="0" xfId="0" applyAlignment="1" applyBorder="1" applyFont="1">
      <alignment horizontal="right" readingOrder="0" vertical="bottom"/>
    </xf>
    <xf borderId="25" fillId="0" fontId="7" numFmtId="9" xfId="0" applyAlignment="1" applyBorder="1" applyFont="1" applyNumberFormat="1">
      <alignment horizontal="right" readingOrder="0" vertical="bottom"/>
    </xf>
    <xf borderId="17" fillId="0" fontId="7" numFmtId="9" xfId="0" applyAlignment="1" applyBorder="1" applyFont="1" applyNumberFormat="1">
      <alignment horizontal="right" vertical="bottom"/>
    </xf>
    <xf borderId="10" fillId="0" fontId="7" numFmtId="0" xfId="0" applyAlignment="1" applyBorder="1" applyFont="1">
      <alignment horizontal="right" readingOrder="0"/>
    </xf>
    <xf borderId="18" fillId="0" fontId="4" numFmtId="0" xfId="0" applyAlignment="1" applyBorder="1" applyFont="1">
      <alignment horizontal="right" vertical="bottom"/>
    </xf>
    <xf borderId="23" fillId="0" fontId="4" numFmtId="1" xfId="0" applyAlignment="1" applyBorder="1" applyFont="1" applyNumberFormat="1">
      <alignment horizontal="right" vertical="bottom"/>
    </xf>
    <xf borderId="0" fillId="0" fontId="7" numFmtId="3" xfId="0" applyAlignment="1" applyFont="1" applyNumberFormat="1">
      <alignment horizontal="right"/>
    </xf>
    <xf borderId="15" fillId="0" fontId="4" numFmtId="1" xfId="0" applyAlignment="1" applyBorder="1" applyFont="1" applyNumberFormat="1">
      <alignment horizontal="left" readingOrder="0" shrinkToFit="0" vertical="bottom" wrapText="0"/>
    </xf>
    <xf borderId="16" fillId="0" fontId="4" numFmtId="1" xfId="0" applyAlignment="1" applyBorder="1" applyFont="1" applyNumberFormat="1">
      <alignment horizontal="left" shrinkToFit="0" vertical="bottom" wrapText="0"/>
    </xf>
    <xf borderId="17" fillId="0" fontId="4" numFmtId="0" xfId="0" applyAlignment="1" applyBorder="1" applyFont="1">
      <alignment readingOrder="0" shrinkToFit="0" vertical="bottom" wrapText="0"/>
    </xf>
    <xf borderId="17" fillId="0" fontId="4" numFmtId="0" xfId="0" applyAlignment="1" applyBorder="1" applyFont="1">
      <alignment horizontal="right" readingOrder="0" shrinkToFit="0" vertical="bottom" wrapText="0"/>
    </xf>
    <xf borderId="25" fillId="0" fontId="7" numFmtId="0" xfId="0" applyAlignment="1" applyBorder="1" applyFont="1">
      <alignment horizontal="right" readingOrder="0" vertical="bottom"/>
    </xf>
    <xf borderId="18" fillId="0" fontId="4" numFmtId="0" xfId="0" applyAlignment="1" applyBorder="1" applyFont="1">
      <alignment horizontal="right" readingOrder="0" shrinkToFit="0" vertical="bottom" wrapText="0"/>
    </xf>
    <xf borderId="24" fillId="0" fontId="4" numFmtId="1" xfId="0" applyAlignment="1" applyBorder="1" applyFont="1" applyNumberFormat="1">
      <alignment horizontal="right" readingOrder="0" vertical="bottom"/>
    </xf>
    <xf borderId="17" fillId="0" fontId="4" numFmtId="3" xfId="0" applyAlignment="1" applyBorder="1" applyFont="1" applyNumberFormat="1">
      <alignment horizontal="right" vertical="bottom"/>
    </xf>
    <xf borderId="20" fillId="0" fontId="7" numFmtId="164" xfId="0" applyAlignment="1" applyBorder="1" applyFont="1" applyNumberFormat="1">
      <alignment horizontal="right"/>
    </xf>
    <xf borderId="17" fillId="0" fontId="4" numFmtId="3" xfId="0" applyAlignment="1" applyBorder="1" applyFont="1" applyNumberFormat="1">
      <alignment horizontal="right" readingOrder="0" vertical="bottom"/>
    </xf>
    <xf borderId="27" fillId="0" fontId="7" numFmtId="0" xfId="0" applyAlignment="1" applyBorder="1" applyFont="1">
      <alignment horizontal="right" readingOrder="0" vertical="bottom"/>
    </xf>
    <xf borderId="25" fillId="0" fontId="4" numFmtId="1" xfId="0" applyAlignment="1" applyBorder="1" applyFont="1" applyNumberFormat="1">
      <alignment horizontal="right" vertical="bottom"/>
    </xf>
    <xf borderId="17" fillId="0" fontId="4" numFmtId="1" xfId="0" applyAlignment="1" applyBorder="1" applyFont="1" applyNumberFormat="1">
      <alignment horizontal="left" readingOrder="0" shrinkToFit="0" vertical="bottom" wrapText="0"/>
    </xf>
    <xf borderId="5" fillId="0" fontId="4" numFmtId="171" xfId="0" applyAlignment="1" applyBorder="1" applyFont="1" applyNumberFormat="1">
      <alignment horizontal="right" vertical="bottom"/>
    </xf>
    <xf borderId="18" fillId="0" fontId="4" numFmtId="1" xfId="0" applyAlignment="1" applyBorder="1" applyFont="1" applyNumberFormat="1">
      <alignment horizontal="left" shrinkToFit="0" vertical="bottom" wrapText="0"/>
    </xf>
    <xf borderId="21" fillId="0" fontId="4" numFmtId="0" xfId="0" applyAlignment="1" applyBorder="1" applyFont="1">
      <alignment horizontal="right" vertical="bottom"/>
    </xf>
    <xf borderId="0" fillId="0" fontId="26" numFmtId="0" xfId="0" applyAlignment="1" applyFont="1">
      <alignment vertical="bottom"/>
    </xf>
    <xf borderId="15" fillId="0" fontId="7" numFmtId="0" xfId="0" applyAlignment="1" applyBorder="1" applyFont="1">
      <alignment shrinkToFit="0" vertical="bottom" wrapText="1"/>
    </xf>
    <xf borderId="23" fillId="0" fontId="7" numFmtId="0" xfId="0" applyAlignment="1" applyBorder="1" applyFont="1">
      <alignment horizontal="right" vertical="bottom"/>
    </xf>
    <xf borderId="15" fillId="0" fontId="7" numFmtId="3" xfId="0" applyAlignment="1" applyBorder="1" applyFont="1" applyNumberFormat="1">
      <alignment horizontal="right" vertical="bottom"/>
    </xf>
    <xf borderId="5" fillId="0" fontId="7" numFmtId="3" xfId="0" applyAlignment="1" applyBorder="1" applyFont="1" applyNumberFormat="1">
      <alignment horizontal="right"/>
    </xf>
    <xf borderId="17" fillId="0" fontId="7" numFmtId="0" xfId="0" applyAlignment="1" applyBorder="1" applyFont="1">
      <alignment shrinkToFit="0" vertical="bottom" wrapText="1"/>
    </xf>
    <xf borderId="25" fillId="0" fontId="7" numFmtId="9" xfId="0" applyAlignment="1" applyBorder="1" applyFont="1" applyNumberFormat="1">
      <alignment horizontal="right" vertical="bottom"/>
    </xf>
    <xf borderId="25" fillId="0" fontId="7" numFmtId="0" xfId="0" applyAlignment="1" applyBorder="1" applyFont="1">
      <alignment horizontal="right" vertical="bottom"/>
    </xf>
    <xf borderId="16" fillId="0" fontId="4" numFmtId="0" xfId="0" applyAlignment="1" applyBorder="1" applyFont="1">
      <alignment horizontal="center"/>
    </xf>
    <xf borderId="17" fillId="0" fontId="4" numFmtId="1" xfId="0" applyAlignment="1" applyBorder="1" applyFont="1" applyNumberFormat="1">
      <alignment horizontal="left" shrinkToFit="0" vertical="bottom" wrapText="0"/>
    </xf>
    <xf borderId="20" fillId="0" fontId="4" numFmtId="0" xfId="0" applyAlignment="1" applyBorder="1" applyFont="1">
      <alignment readingOrder="0" shrinkToFit="0" vertical="bottom" wrapText="0"/>
    </xf>
    <xf borderId="20" fillId="0" fontId="4" numFmtId="0" xfId="0" applyAlignment="1" applyBorder="1" applyFont="1">
      <alignment horizontal="right" readingOrder="0" shrinkToFit="0" vertical="bottom" wrapText="0"/>
    </xf>
    <xf borderId="21" fillId="0" fontId="4" numFmtId="0" xfId="0" applyAlignment="1" applyBorder="1" applyFont="1">
      <alignment horizontal="right" readingOrder="0" shrinkToFit="0" vertical="bottom" wrapText="0"/>
    </xf>
    <xf borderId="26" fillId="0" fontId="4" numFmtId="1" xfId="0" applyAlignment="1" applyBorder="1" applyFont="1" applyNumberFormat="1">
      <alignment horizontal="right" readingOrder="0" vertical="bottom"/>
    </xf>
    <xf borderId="24" fillId="0" fontId="7" numFmtId="9" xfId="0" applyAlignment="1" applyBorder="1" applyFont="1" applyNumberFormat="1">
      <alignment horizontal="right"/>
    </xf>
    <xf borderId="0" fillId="0" fontId="4" numFmtId="0" xfId="0" applyAlignment="1" applyFont="1">
      <alignment shrinkToFit="0" vertical="bottom" wrapText="0"/>
    </xf>
    <xf borderId="27" fillId="0" fontId="4" numFmtId="1" xfId="0" applyAlignment="1" applyBorder="1" applyFont="1" applyNumberFormat="1">
      <alignment horizontal="right" vertical="bottom"/>
    </xf>
    <xf borderId="20" fillId="0" fontId="4" numFmtId="1" xfId="0" applyAlignment="1" applyBorder="1" applyFont="1" applyNumberFormat="1">
      <alignment horizontal="left" shrinkToFit="0" vertical="bottom" wrapText="0"/>
    </xf>
    <xf borderId="21" fillId="0" fontId="4" numFmtId="1" xfId="0" applyAlignment="1" applyBorder="1" applyFont="1" applyNumberFormat="1">
      <alignment horizontal="left" shrinkToFit="0" vertical="bottom" wrapText="0"/>
    </xf>
    <xf borderId="0" fillId="0" fontId="4" numFmtId="0" xfId="0" applyAlignment="1" applyFont="1">
      <alignment horizontal="right" readingOrder="0" shrinkToFit="0" vertical="bottom" wrapText="0"/>
    </xf>
    <xf borderId="9" fillId="0" fontId="4" numFmtId="0" xfId="0" applyAlignment="1" applyBorder="1" applyFont="1">
      <alignment horizontal="right" readingOrder="0" shrinkToFit="0" vertical="bottom" wrapText="0"/>
    </xf>
    <xf borderId="17" fillId="0" fontId="7" numFmtId="1" xfId="0" applyAlignment="1" applyBorder="1" applyFont="1" applyNumberFormat="1">
      <alignment horizontal="right" readingOrder="0" vertical="bottom"/>
    </xf>
    <xf borderId="20" fillId="0" fontId="4" numFmtId="0" xfId="0" applyAlignment="1" applyBorder="1" applyFont="1">
      <alignment shrinkToFit="0" vertical="bottom" wrapText="1"/>
    </xf>
    <xf borderId="24" fillId="0" fontId="7" numFmtId="166" xfId="0" applyAlignment="1" applyBorder="1" applyFont="1" applyNumberFormat="1">
      <alignment horizontal="right" readingOrder="0"/>
    </xf>
    <xf borderId="5" fillId="0" fontId="4" numFmtId="1" xfId="0" applyAlignment="1" applyBorder="1" applyFont="1" applyNumberFormat="1">
      <alignment horizontal="right" vertical="bottom"/>
    </xf>
    <xf borderId="15" fillId="0" fontId="4" numFmtId="1" xfId="0" applyAlignment="1" applyBorder="1" applyFont="1" applyNumberFormat="1">
      <alignment horizontal="right" vertical="bottom"/>
    </xf>
    <xf borderId="18" fillId="0" fontId="4" numFmtId="0" xfId="0" applyAlignment="1" applyBorder="1" applyFont="1">
      <alignment horizontal="center"/>
    </xf>
    <xf borderId="23" fillId="0" fontId="7" numFmtId="170" xfId="0" applyAlignment="1" applyBorder="1" applyFont="1" applyNumberFormat="1">
      <alignment horizontal="right" vertical="bottom"/>
    </xf>
    <xf borderId="15" fillId="0" fontId="7" numFmtId="0" xfId="0" applyAlignment="1" applyBorder="1" applyFont="1">
      <alignment horizontal="right" vertical="bottom"/>
    </xf>
    <xf borderId="20" fillId="0" fontId="4" numFmtId="0" xfId="0" applyAlignment="1" applyBorder="1" applyFont="1">
      <alignment readingOrder="0" shrinkToFit="0" vertical="bottom" wrapText="1"/>
    </xf>
    <xf borderId="26" fillId="0" fontId="4" numFmtId="2" xfId="0" applyAlignment="1" applyBorder="1" applyFont="1" applyNumberFormat="1">
      <alignment horizontal="right" readingOrder="0"/>
    </xf>
    <xf borderId="20" fillId="0" fontId="7" numFmtId="1" xfId="0" applyAlignment="1" applyBorder="1" applyFont="1" applyNumberFormat="1">
      <alignment horizontal="right" readingOrder="0" vertical="bottom"/>
    </xf>
    <xf borderId="26" fillId="0" fontId="7" numFmtId="3" xfId="0" applyAlignment="1" applyBorder="1" applyFont="1" applyNumberFormat="1">
      <alignment horizontal="right" readingOrder="0"/>
    </xf>
    <xf borderId="12" fillId="0" fontId="7" numFmtId="170" xfId="0" applyAlignment="1" applyBorder="1" applyFont="1" applyNumberFormat="1">
      <alignment horizontal="right" vertical="bottom"/>
    </xf>
    <xf borderId="5" fillId="0" fontId="7" numFmtId="170" xfId="0" applyAlignment="1" applyBorder="1" applyFont="1" applyNumberFormat="1">
      <alignment horizontal="right" vertical="bottom"/>
    </xf>
    <xf borderId="20" fillId="0" fontId="4" numFmtId="0" xfId="0" applyAlignment="1" applyBorder="1" applyFont="1">
      <alignment horizontal="left" readingOrder="0" shrinkToFit="0" wrapText="0"/>
    </xf>
    <xf borderId="21" fillId="0" fontId="4" numFmtId="0" xfId="0" applyAlignment="1" applyBorder="1" applyFont="1">
      <alignment horizontal="left" readingOrder="0" shrinkToFit="0" wrapText="0"/>
    </xf>
    <xf borderId="5" fillId="0" fontId="7" numFmtId="0" xfId="0" applyAlignment="1" applyBorder="1" applyFont="1">
      <alignment shrinkToFit="0" wrapText="1"/>
    </xf>
    <xf borderId="13" fillId="0" fontId="4" numFmtId="0" xfId="0" applyAlignment="1" applyBorder="1" applyFont="1">
      <alignment horizontal="right" vertical="bottom"/>
    </xf>
    <xf borderId="14" fillId="0" fontId="7" numFmtId="0" xfId="0" applyAlignment="1" applyBorder="1" applyFont="1">
      <alignment horizontal="right"/>
    </xf>
    <xf borderId="5" fillId="0" fontId="7" numFmtId="0" xfId="0" applyAlignment="1" applyBorder="1" applyFont="1">
      <alignment horizontal="right"/>
    </xf>
    <xf borderId="5" fillId="0" fontId="4" numFmtId="0" xfId="0" applyAlignment="1" applyBorder="1" applyFont="1">
      <alignment readingOrder="0" shrinkToFit="0" vertical="bottom" wrapText="0"/>
    </xf>
    <xf borderId="5" fillId="0" fontId="4" numFmtId="0" xfId="0" applyAlignment="1" applyBorder="1" applyFont="1">
      <alignment horizontal="right" readingOrder="0" shrinkToFit="0" vertical="bottom" wrapText="0"/>
    </xf>
    <xf borderId="13" fillId="0" fontId="4" numFmtId="0" xfId="0" applyAlignment="1" applyBorder="1" applyFont="1">
      <alignment horizontal="right" readingOrder="0" shrinkToFit="0" vertical="bottom" wrapText="0"/>
    </xf>
    <xf borderId="14" fillId="0" fontId="4" numFmtId="1" xfId="0" applyAlignment="1" applyBorder="1" applyFont="1" applyNumberFormat="1">
      <alignment horizontal="right" readingOrder="0" vertical="bottom"/>
    </xf>
    <xf borderId="8" fillId="0" fontId="4" numFmtId="0" xfId="0" applyAlignment="1" applyBorder="1" applyFont="1">
      <alignment vertical="bottom"/>
    </xf>
    <xf borderId="0" fillId="0" fontId="4" numFmtId="0" xfId="0" applyAlignment="1" applyFont="1">
      <alignment vertical="bottom"/>
    </xf>
    <xf borderId="0" fillId="0" fontId="4" numFmtId="0" xfId="0" applyAlignment="1" applyFont="1">
      <alignment readingOrder="0" vertical="bottom"/>
    </xf>
    <xf borderId="0" fillId="0" fontId="4" numFmtId="0" xfId="0" applyAlignment="1" applyFont="1">
      <alignment horizontal="right" readingOrder="0" vertical="bottom"/>
    </xf>
    <xf borderId="5" fillId="0" fontId="4" numFmtId="3" xfId="0" applyAlignment="1" applyBorder="1" applyFont="1" applyNumberFormat="1">
      <alignment horizontal="right" vertical="bottom"/>
    </xf>
    <xf borderId="9" fillId="0" fontId="4" numFmtId="0" xfId="0" applyAlignment="1" applyBorder="1" applyFont="1">
      <alignment horizontal="right" readingOrder="0" vertical="bottom"/>
    </xf>
    <xf borderId="8" fillId="0" fontId="7" numFmtId="0" xfId="0" applyAlignment="1" applyBorder="1" applyFont="1">
      <alignment horizontal="right" readingOrder="0"/>
    </xf>
    <xf borderId="5" fillId="0" fontId="4" numFmtId="3" xfId="0" applyAlignment="1" applyBorder="1" applyFont="1" applyNumberFormat="1">
      <alignment horizontal="right" readingOrder="0" vertical="bottom"/>
    </xf>
    <xf borderId="9" fillId="0" fontId="4" numFmtId="0" xfId="0" applyBorder="1" applyFont="1"/>
    <xf borderId="15" fillId="0" fontId="4" numFmtId="0" xfId="0" applyAlignment="1" applyBorder="1" applyFont="1">
      <alignment readingOrder="0" vertical="bottom"/>
    </xf>
    <xf borderId="15" fillId="0" fontId="4" numFmtId="0" xfId="0" applyAlignment="1" applyBorder="1" applyFont="1">
      <alignment horizontal="right" readingOrder="0" vertical="bottom"/>
    </xf>
    <xf borderId="16" fillId="0" fontId="4" numFmtId="0" xfId="0" applyAlignment="1" applyBorder="1" applyFont="1">
      <alignment horizontal="right" readingOrder="0" vertical="bottom"/>
    </xf>
    <xf borderId="15" fillId="0" fontId="7" numFmtId="166" xfId="0" applyAlignment="1" applyBorder="1" applyFont="1" applyNumberFormat="1">
      <alignment horizontal="right"/>
    </xf>
    <xf borderId="16" fillId="0" fontId="4" numFmtId="0" xfId="0" applyBorder="1" applyFont="1"/>
    <xf borderId="17" fillId="0" fontId="7" numFmtId="164" xfId="0" applyAlignment="1" applyBorder="1" applyFont="1" applyNumberFormat="1">
      <alignment horizontal="right" readingOrder="0"/>
    </xf>
    <xf borderId="18" fillId="0" fontId="4" numFmtId="0" xfId="0" applyAlignment="1" applyBorder="1" applyFont="1">
      <alignment horizontal="right" readingOrder="0" vertical="bottom"/>
    </xf>
    <xf borderId="12" fillId="0" fontId="4" numFmtId="1" xfId="0" applyAlignment="1" applyBorder="1" applyFont="1" applyNumberFormat="1">
      <alignment horizontal="right" vertical="bottom"/>
    </xf>
    <xf borderId="5" fillId="0" fontId="4" numFmtId="1" xfId="0" applyAlignment="1" applyBorder="1" applyFont="1" applyNumberFormat="1">
      <alignment horizontal="left" readingOrder="0" shrinkToFit="0" vertical="bottom" wrapText="0"/>
    </xf>
    <xf borderId="13" fillId="0" fontId="4" numFmtId="1" xfId="0" applyAlignment="1" applyBorder="1" applyFont="1" applyNumberFormat="1">
      <alignment horizontal="left" shrinkToFit="0" vertical="bottom" wrapText="0"/>
    </xf>
    <xf borderId="0" fillId="0" fontId="4" numFmtId="0" xfId="0" applyAlignment="1" applyFont="1">
      <alignment readingOrder="0" shrinkToFit="0" vertical="bottom" wrapText="0"/>
    </xf>
    <xf borderId="18" fillId="0" fontId="4" numFmtId="0" xfId="0" applyBorder="1" applyFont="1"/>
    <xf borderId="16" fillId="0" fontId="4" numFmtId="1" xfId="0" applyAlignment="1" applyBorder="1" applyFont="1" applyNumberFormat="1">
      <alignment horizontal="right" readingOrder="0" shrinkToFit="0" vertical="bottom" wrapText="0"/>
    </xf>
    <xf borderId="22" fillId="0" fontId="4" numFmtId="0" xfId="0" applyAlignment="1" applyBorder="1" applyFont="1">
      <alignment horizontal="right" readingOrder="0" vertical="bottom"/>
    </xf>
    <xf borderId="21" fillId="0" fontId="4" numFmtId="0" xfId="0" applyAlignment="1" applyBorder="1" applyFont="1">
      <alignment horizontal="center"/>
    </xf>
    <xf borderId="1" fillId="0" fontId="26" numFmtId="0" xfId="0" applyAlignment="1" applyBorder="1" applyFont="1">
      <alignment vertical="bottom"/>
    </xf>
    <xf borderId="0" fillId="0" fontId="36" numFmtId="0" xfId="0" applyAlignment="1" applyFont="1">
      <alignment readingOrder="0" shrinkToFit="0" vertical="bottom" wrapText="1"/>
    </xf>
    <xf borderId="30" fillId="0" fontId="26" numFmtId="0" xfId="0" applyAlignment="1" applyBorder="1" applyFont="1">
      <alignment vertical="bottom"/>
    </xf>
    <xf borderId="30" fillId="0" fontId="26" numFmtId="3" xfId="0" applyAlignment="1" applyBorder="1" applyFont="1" applyNumberFormat="1">
      <alignment vertical="bottom"/>
    </xf>
    <xf borderId="2" fillId="0" fontId="26" numFmtId="0" xfId="0" applyAlignment="1" applyBorder="1" applyFont="1">
      <alignment vertical="bottom"/>
    </xf>
    <xf borderId="0" fillId="0" fontId="37" numFmtId="0" xfId="0" applyAlignment="1" applyFont="1">
      <alignment vertical="bottom"/>
    </xf>
    <xf borderId="2" fillId="0" fontId="38" numFmtId="0" xfId="0" applyBorder="1" applyFont="1"/>
    <xf borderId="22" fillId="0" fontId="7" numFmtId="2" xfId="0" applyAlignment="1" applyBorder="1" applyFont="1" applyNumberFormat="1">
      <alignment horizontal="right"/>
    </xf>
    <xf borderId="21" fillId="0" fontId="4" numFmtId="1" xfId="0" applyAlignment="1" applyBorder="1" applyFont="1" applyNumberFormat="1">
      <alignment horizontal="right" readingOrder="0" shrinkToFit="0" vertical="bottom" wrapText="0"/>
    </xf>
    <xf borderId="30" fillId="0" fontId="26" numFmtId="49" xfId="0" applyAlignment="1" applyBorder="1" applyFont="1" applyNumberFormat="1">
      <alignment vertical="bottom"/>
    </xf>
    <xf borderId="26" fillId="0" fontId="4" numFmtId="0" xfId="0" applyAlignment="1" applyBorder="1" applyFont="1">
      <alignment horizontal="right" readingOrder="0" vertical="bottom"/>
    </xf>
    <xf borderId="25" fillId="0" fontId="7" numFmtId="9" xfId="0" applyAlignment="1" applyBorder="1" applyFont="1" applyNumberFormat="1">
      <alignment horizontal="right" readingOrder="0"/>
    </xf>
    <xf borderId="20" fillId="0" fontId="4" numFmtId="3" xfId="0" applyAlignment="1" applyBorder="1" applyFont="1" applyNumberFormat="1">
      <alignment horizontal="right" vertical="bottom"/>
    </xf>
    <xf borderId="20" fillId="0" fontId="4" numFmtId="3" xfId="0" applyAlignment="1" applyBorder="1" applyFont="1" applyNumberFormat="1">
      <alignment horizontal="right" readingOrder="0" vertical="bottom"/>
    </xf>
    <xf borderId="3" fillId="0" fontId="38" numFmtId="0" xfId="0" applyBorder="1" applyFont="1"/>
    <xf borderId="31" fillId="0" fontId="39" numFmtId="0" xfId="0" applyAlignment="1" applyBorder="1" applyFont="1">
      <alignment vertical="bottom"/>
    </xf>
    <xf borderId="21" fillId="0" fontId="4" numFmtId="0" xfId="0" applyAlignment="1" applyBorder="1" applyFont="1">
      <alignment horizontal="right" readingOrder="0" vertical="bottom"/>
    </xf>
    <xf borderId="21" fillId="0" fontId="4" numFmtId="0" xfId="0" applyBorder="1" applyFont="1"/>
    <xf borderId="32" fillId="3" fontId="40" numFmtId="0" xfId="0" applyAlignment="1" applyBorder="1" applyFill="1" applyFont="1">
      <alignment horizontal="center" vertical="bottom"/>
    </xf>
    <xf borderId="33" fillId="0" fontId="2" numFmtId="0" xfId="0" applyBorder="1" applyFont="1"/>
    <xf borderId="34" fillId="0" fontId="39" numFmtId="0" xfId="0" applyAlignment="1" applyBorder="1" applyFont="1">
      <alignment vertical="bottom"/>
    </xf>
    <xf borderId="24" fillId="0" fontId="7" numFmtId="3" xfId="0" applyAlignment="1" applyBorder="1" applyFont="1" applyNumberFormat="1">
      <alignment horizontal="right"/>
    </xf>
    <xf borderId="20" fillId="0" fontId="4" numFmtId="1" xfId="0" applyAlignment="1" applyBorder="1" applyFont="1" applyNumberFormat="1">
      <alignment horizontal="left" readingOrder="0" shrinkToFit="0" vertical="bottom" wrapText="0"/>
    </xf>
    <xf borderId="32" fillId="3" fontId="41" numFmtId="0" xfId="0" applyAlignment="1" applyBorder="1" applyFill="1" applyFont="1">
      <alignment horizontal="center" readingOrder="0" vertical="bottom"/>
    </xf>
    <xf borderId="0" fillId="0" fontId="42" numFmtId="0" xfId="0" applyFont="1"/>
    <xf borderId="0" fillId="0" fontId="4" numFmtId="172" xfId="0" applyAlignment="1" applyFont="1" applyNumberFormat="1">
      <alignment horizontal="right"/>
    </xf>
    <xf borderId="22" fillId="0" fontId="4" numFmtId="9" xfId="0" applyAlignment="1" applyBorder="1" applyFont="1" applyNumberFormat="1">
      <alignment horizontal="right" readingOrder="0"/>
    </xf>
    <xf borderId="28" fillId="0" fontId="7" numFmtId="0" xfId="0" applyAlignment="1" applyBorder="1" applyFont="1">
      <alignment readingOrder="0" shrinkToFit="0" vertical="bottom" wrapText="1"/>
    </xf>
    <xf borderId="28" fillId="0" fontId="4" numFmtId="0" xfId="0" applyAlignment="1" applyBorder="1" applyFont="1">
      <alignment horizontal="right" readingOrder="0" vertical="bottom"/>
    </xf>
    <xf borderId="29" fillId="0" fontId="4" numFmtId="0" xfId="0" applyAlignment="1" applyBorder="1" applyFont="1">
      <alignment horizontal="right" readingOrder="0" vertical="bottom"/>
    </xf>
    <xf borderId="35" fillId="0" fontId="7" numFmtId="0" xfId="0" applyAlignment="1" applyBorder="1" applyFont="1">
      <alignment horizontal="right" readingOrder="0"/>
    </xf>
    <xf borderId="36" fillId="3" fontId="43" numFmtId="0" xfId="0" applyAlignment="1" applyBorder="1" applyFill="1" applyFont="1">
      <alignment horizontal="center" readingOrder="0" vertical="bottom"/>
    </xf>
    <xf borderId="15" fillId="0" fontId="4" numFmtId="0" xfId="0" applyAlignment="1" applyBorder="1" applyFont="1">
      <alignment horizontal="left" readingOrder="0" shrinkToFit="0" wrapText="0"/>
    </xf>
    <xf borderId="37" fillId="0" fontId="2" numFmtId="0" xfId="0" applyBorder="1" applyFont="1"/>
    <xf borderId="28" fillId="0" fontId="7" numFmtId="9" xfId="0" applyAlignment="1" applyBorder="1" applyFont="1" applyNumberFormat="1">
      <alignment horizontal="right" readingOrder="0"/>
    </xf>
    <xf borderId="38" fillId="0" fontId="2" numFmtId="0" xfId="0" applyBorder="1" applyFont="1"/>
    <xf borderId="36" fillId="3" fontId="44" numFmtId="0" xfId="0" applyAlignment="1" applyBorder="1" applyFill="1" applyFont="1">
      <alignment horizontal="center" readingOrder="0" vertical="bottom"/>
    </xf>
    <xf borderId="9" fillId="0" fontId="42" numFmtId="0" xfId="0" applyBorder="1" applyFont="1"/>
    <xf borderId="29" fillId="0" fontId="4" numFmtId="0" xfId="0" applyAlignment="1" applyBorder="1" applyFont="1">
      <alignment horizontal="center" readingOrder="0"/>
    </xf>
    <xf borderId="17" fillId="0" fontId="4" numFmtId="0" xfId="0" applyAlignment="1" applyBorder="1" applyFont="1">
      <alignment readingOrder="0" shrinkToFit="0" vertical="bottom" wrapText="1"/>
    </xf>
    <xf borderId="31" fillId="0" fontId="26" numFmtId="0" xfId="0" applyAlignment="1" applyBorder="1" applyFont="1">
      <alignment vertical="bottom"/>
    </xf>
    <xf borderId="35" fillId="0" fontId="7" numFmtId="2" xfId="0" applyAlignment="1" applyBorder="1" applyFont="1" applyNumberFormat="1">
      <alignment horizontal="right" readingOrder="0"/>
    </xf>
    <xf borderId="24" fillId="0" fontId="4" numFmtId="9" xfId="0" applyAlignment="1" applyBorder="1" applyFont="1" applyNumberFormat="1">
      <alignment horizontal="right" readingOrder="0"/>
    </xf>
    <xf borderId="39" fillId="2" fontId="45" numFmtId="0" xfId="0" applyAlignment="1" applyBorder="1" applyFill="1" applyFont="1">
      <alignment vertical="bottom"/>
    </xf>
    <xf borderId="13" fillId="2" fontId="45" numFmtId="0" xfId="0" applyAlignment="1" applyBorder="1" applyFill="1" applyFont="1">
      <alignment vertical="bottom"/>
    </xf>
    <xf borderId="13" fillId="2" fontId="45" numFmtId="3" xfId="0" applyAlignment="1" applyBorder="1" applyFill="1" applyFont="1" applyNumberFormat="1">
      <alignment vertical="bottom"/>
    </xf>
    <xf borderId="33" fillId="2" fontId="45" numFmtId="3" xfId="0" applyAlignment="1" applyBorder="1" applyFill="1" applyFont="1" applyNumberFormat="1">
      <alignment vertical="bottom"/>
    </xf>
    <xf borderId="34" fillId="0" fontId="26" numFmtId="0" xfId="0" applyAlignment="1" applyBorder="1" applyFont="1">
      <alignment vertical="bottom"/>
    </xf>
    <xf borderId="17" fillId="0" fontId="4" numFmtId="0" xfId="0" applyAlignment="1" applyBorder="1" applyFont="1">
      <alignment horizontal="left" readingOrder="0" shrinkToFit="0" wrapText="0"/>
    </xf>
    <xf borderId="39" fillId="2" fontId="45" numFmtId="0" xfId="0" applyAlignment="1" applyBorder="1" applyFill="1" applyFont="1">
      <alignment readingOrder="0" vertical="bottom"/>
    </xf>
    <xf borderId="14" fillId="2" fontId="45" numFmtId="0" xfId="0" applyAlignment="1" applyBorder="1" applyFill="1" applyFont="1">
      <alignment readingOrder="0" vertical="bottom"/>
    </xf>
    <xf borderId="14" fillId="2" fontId="45" numFmtId="3" xfId="0" applyAlignment="1" applyBorder="1" applyFill="1" applyFont="1" applyNumberFormat="1">
      <alignment readingOrder="0" vertical="bottom"/>
    </xf>
    <xf borderId="40" fillId="2" fontId="45" numFmtId="3" xfId="0" applyAlignment="1" applyBorder="1" applyFill="1" applyFont="1" applyNumberFormat="1">
      <alignment readingOrder="0" vertical="bottom"/>
    </xf>
    <xf borderId="14" fillId="2" fontId="45" numFmtId="49" xfId="0" applyAlignment="1" applyBorder="1" applyFill="1" applyFont="1" applyNumberFormat="1">
      <alignment readingOrder="0" vertical="bottom"/>
    </xf>
    <xf borderId="18" fillId="0" fontId="46" numFmtId="0" xfId="0" applyAlignment="1" applyBorder="1" applyFont="1">
      <alignment horizontal="left" readingOrder="0" shrinkToFit="0" wrapText="0"/>
    </xf>
    <xf borderId="35" fillId="0" fontId="7" numFmtId="3" xfId="0" applyAlignment="1" applyBorder="1" applyFont="1" applyNumberFormat="1">
      <alignment horizontal="right" readingOrder="0"/>
    </xf>
    <xf borderId="9" fillId="0" fontId="38" numFmtId="0" xfId="0" applyBorder="1" applyFont="1"/>
    <xf borderId="41" fillId="4" fontId="26" numFmtId="0" xfId="0" applyAlignment="1" applyBorder="1" applyFill="1" applyFont="1">
      <alignment vertical="bottom"/>
    </xf>
    <xf borderId="9" fillId="4" fontId="26" numFmtId="0" xfId="0" applyAlignment="1" applyBorder="1" applyFill="1" applyFont="1">
      <alignment vertical="bottom"/>
    </xf>
    <xf borderId="28" fillId="0" fontId="7" numFmtId="3" xfId="0" applyAlignment="1" applyBorder="1" applyFont="1" applyNumberFormat="1">
      <alignment horizontal="right" readingOrder="0"/>
    </xf>
    <xf borderId="17" fillId="0" fontId="4" numFmtId="0" xfId="0" applyAlignment="1" applyBorder="1" applyFont="1">
      <alignment horizontal="left" readingOrder="0" shrinkToFit="0" wrapText="0"/>
    </xf>
    <xf borderId="9" fillId="4" fontId="26" numFmtId="0" xfId="0" applyAlignment="1" applyBorder="1" applyFill="1" applyFont="1">
      <alignment horizontal="right" vertical="bottom"/>
    </xf>
    <xf borderId="18" fillId="0" fontId="4" numFmtId="1" xfId="0" applyAlignment="1" applyBorder="1" applyFont="1" applyNumberFormat="1">
      <alignment horizontal="left" readingOrder="0" shrinkToFit="0" vertical="bottom" wrapText="0"/>
    </xf>
    <xf borderId="9" fillId="4" fontId="26" numFmtId="3" xfId="0" applyAlignment="1" applyBorder="1" applyFill="1" applyFont="1" applyNumberFormat="1">
      <alignment horizontal="right" vertical="bottom"/>
    </xf>
    <xf borderId="34" fillId="4" fontId="26" numFmtId="3" xfId="0" applyAlignment="1" applyBorder="1" applyFill="1" applyFont="1" applyNumberFormat="1">
      <alignment horizontal="right" vertical="bottom"/>
    </xf>
    <xf borderId="41" fillId="0" fontId="38" numFmtId="0" xfId="0" applyAlignment="1" applyBorder="1" applyFont="1">
      <alignment readingOrder="0"/>
    </xf>
    <xf borderId="10" fillId="0" fontId="38" numFmtId="0" xfId="0" applyAlignment="1" applyBorder="1" applyFont="1">
      <alignment readingOrder="0"/>
    </xf>
    <xf borderId="10" fillId="0" fontId="38" numFmtId="3" xfId="0" applyAlignment="1" applyBorder="1" applyFont="1" applyNumberFormat="1">
      <alignment readingOrder="0"/>
    </xf>
    <xf borderId="31" fillId="0" fontId="38" numFmtId="3" xfId="0" applyAlignment="1" applyBorder="1" applyFont="1" applyNumberFormat="1">
      <alignment readingOrder="0"/>
    </xf>
    <xf borderId="41" fillId="4" fontId="26" numFmtId="0" xfId="0" applyAlignment="1" applyBorder="1" applyFill="1" applyFont="1">
      <alignment readingOrder="0" vertical="bottom"/>
    </xf>
    <xf borderId="9" fillId="4" fontId="26" numFmtId="0" xfId="0" applyAlignment="1" applyBorder="1" applyFill="1" applyFont="1">
      <alignment readingOrder="0" vertical="bottom"/>
    </xf>
    <xf borderId="9" fillId="4" fontId="26" numFmtId="0" xfId="0" applyAlignment="1" applyBorder="1" applyFill="1" applyFont="1">
      <alignment horizontal="right" readingOrder="0" vertical="bottom"/>
    </xf>
    <xf borderId="9" fillId="4" fontId="26" numFmtId="3" xfId="0" applyAlignment="1" applyBorder="1" applyFill="1" applyFont="1" applyNumberFormat="1">
      <alignment horizontal="right" readingOrder="0" vertical="bottom"/>
    </xf>
    <xf borderId="34" fillId="4" fontId="26" numFmtId="3" xfId="0" applyAlignment="1" applyBorder="1" applyFill="1" applyFont="1" applyNumberFormat="1">
      <alignment horizontal="right" readingOrder="0" vertical="bottom"/>
    </xf>
    <xf borderId="10" fillId="4" fontId="26" numFmtId="49" xfId="0" applyAlignment="1" applyBorder="1" applyFill="1" applyFont="1" applyNumberFormat="1">
      <alignment horizontal="left" readingOrder="0" vertical="bottom"/>
    </xf>
    <xf borderId="41" fillId="3" fontId="26" numFmtId="0" xfId="0" applyAlignment="1" applyBorder="1" applyFill="1" applyFont="1">
      <alignment vertical="bottom"/>
    </xf>
    <xf borderId="9" fillId="3" fontId="26" numFmtId="0" xfId="0" applyAlignment="1" applyBorder="1" applyFill="1" applyFont="1">
      <alignment vertical="bottom"/>
    </xf>
    <xf borderId="9" fillId="3" fontId="26" numFmtId="0" xfId="0" applyAlignment="1" applyBorder="1" applyFill="1" applyFont="1">
      <alignment horizontal="right" vertical="bottom"/>
    </xf>
    <xf borderId="9" fillId="3" fontId="26" numFmtId="3" xfId="0" applyAlignment="1" applyBorder="1" applyFill="1" applyFont="1" applyNumberFormat="1">
      <alignment horizontal="right" vertical="bottom"/>
    </xf>
    <xf borderId="34" fillId="3" fontId="26" numFmtId="3" xfId="0" applyAlignment="1" applyBorder="1" applyFill="1" applyFont="1" applyNumberFormat="1">
      <alignment horizontal="right" vertical="bottom"/>
    </xf>
    <xf borderId="41" fillId="3" fontId="26" numFmtId="0" xfId="0" applyAlignment="1" applyBorder="1" applyFill="1" applyFont="1">
      <alignment readingOrder="0" vertical="bottom"/>
    </xf>
    <xf borderId="9" fillId="3" fontId="26" numFmtId="0" xfId="0" applyAlignment="1" applyBorder="1" applyFill="1" applyFont="1">
      <alignment readingOrder="0" vertical="bottom"/>
    </xf>
    <xf borderId="9" fillId="3" fontId="26" numFmtId="0" xfId="0" applyAlignment="1" applyBorder="1" applyFill="1" applyFont="1">
      <alignment horizontal="right" readingOrder="0" vertical="bottom"/>
    </xf>
    <xf borderId="9" fillId="3" fontId="26" numFmtId="3" xfId="0" applyAlignment="1" applyBorder="1" applyFill="1" applyFont="1" applyNumberFormat="1">
      <alignment horizontal="right" readingOrder="0" vertical="bottom"/>
    </xf>
    <xf borderId="34" fillId="3" fontId="26" numFmtId="3" xfId="0" applyAlignment="1" applyBorder="1" applyFill="1" applyFont="1" applyNumberFormat="1">
      <alignment horizontal="right" readingOrder="0" vertical="bottom"/>
    </xf>
    <xf borderId="28" fillId="0" fontId="7" numFmtId="164" xfId="0" applyAlignment="1" applyBorder="1" applyFont="1" applyNumberFormat="1">
      <alignment horizontal="right" readingOrder="0"/>
    </xf>
    <xf borderId="21" fillId="0" fontId="4" numFmtId="1" xfId="0" applyAlignment="1" applyBorder="1" applyFont="1" applyNumberFormat="1">
      <alignment horizontal="left" readingOrder="0" shrinkToFit="0" vertical="bottom" wrapText="0"/>
    </xf>
    <xf borderId="8" fillId="0" fontId="4" numFmtId="3" xfId="0" applyAlignment="1" applyBorder="1" applyFont="1" applyNumberFormat="1">
      <alignment vertical="bottom"/>
    </xf>
    <xf borderId="0" fillId="0" fontId="4" numFmtId="3" xfId="0" applyAlignment="1" applyFont="1" applyNumberFormat="1">
      <alignment vertical="bottom"/>
    </xf>
    <xf borderId="0" fillId="0" fontId="47" numFmtId="3" xfId="0" applyAlignment="1" applyFont="1" applyNumberFormat="1">
      <alignment vertical="bottom"/>
    </xf>
    <xf borderId="28" fillId="0" fontId="7" numFmtId="3" xfId="0" applyAlignment="1" applyBorder="1" applyFont="1" applyNumberFormat="1">
      <alignment readingOrder="0" shrinkToFit="0" vertical="bottom" wrapText="1"/>
    </xf>
    <xf borderId="28" fillId="0" fontId="4" numFmtId="3" xfId="0" applyAlignment="1" applyBorder="1" applyFont="1" applyNumberFormat="1">
      <alignment horizontal="right" readingOrder="0" vertical="bottom"/>
    </xf>
    <xf borderId="29" fillId="0" fontId="4" numFmtId="3" xfId="0" applyAlignment="1" applyBorder="1" applyFont="1" applyNumberFormat="1">
      <alignment horizontal="right" readingOrder="0" vertical="bottom"/>
    </xf>
    <xf borderId="15" fillId="0" fontId="48" numFmtId="0" xfId="0" applyAlignment="1" applyBorder="1" applyFont="1">
      <alignment horizontal="left" readingOrder="0" shrinkToFit="0" wrapText="0"/>
    </xf>
    <xf borderId="16" fillId="0" fontId="4" numFmtId="0" xfId="0" applyAlignment="1" applyBorder="1" applyFont="1">
      <alignment horizontal="left" shrinkToFit="0" wrapText="0"/>
    </xf>
    <xf borderId="29" fillId="0" fontId="4" numFmtId="3" xfId="0" applyAlignment="1" applyBorder="1" applyFont="1" applyNumberFormat="1">
      <alignment horizontal="center" readingOrder="0"/>
    </xf>
    <xf borderId="20" fillId="0" fontId="7" numFmtId="3" xfId="0" applyAlignment="1" applyBorder="1" applyFont="1" applyNumberFormat="1">
      <alignment readingOrder="0" shrinkToFit="0" vertical="bottom" wrapText="1"/>
    </xf>
    <xf borderId="21" fillId="0" fontId="4" numFmtId="3" xfId="0" applyAlignment="1" applyBorder="1" applyFont="1" applyNumberFormat="1">
      <alignment horizontal="right" readingOrder="0" vertical="bottom"/>
    </xf>
    <xf borderId="18" fillId="0" fontId="4" numFmtId="0" xfId="0" applyAlignment="1" applyBorder="1" applyFont="1">
      <alignment horizontal="left" shrinkToFit="0" wrapText="0"/>
    </xf>
    <xf borderId="20" fillId="0" fontId="7" numFmtId="3" xfId="0" applyAlignment="1" applyBorder="1" applyFont="1" applyNumberFormat="1">
      <alignment horizontal="right" readingOrder="0"/>
    </xf>
    <xf borderId="26" fillId="0" fontId="4" numFmtId="9" xfId="0" applyAlignment="1" applyBorder="1" applyFont="1" applyNumberFormat="1">
      <alignment horizontal="right" readingOrder="0"/>
    </xf>
    <xf borderId="21" fillId="0" fontId="4" numFmtId="3" xfId="0" applyAlignment="1" applyBorder="1" applyFont="1" applyNumberFormat="1">
      <alignment horizontal="center" readingOrder="0"/>
    </xf>
    <xf borderId="10" fillId="0" fontId="7" numFmtId="2" xfId="0" applyAlignment="1" applyBorder="1" applyFont="1" applyNumberFormat="1">
      <alignment horizontal="right" readingOrder="0"/>
    </xf>
    <xf borderId="21" fillId="0" fontId="49" numFmtId="0" xfId="0" applyAlignment="1" applyBorder="1" applyFont="1">
      <alignment readingOrder="0"/>
    </xf>
    <xf borderId="41" fillId="4" fontId="26" numFmtId="0" xfId="0" applyAlignment="1" applyBorder="1" applyFill="1" applyFont="1">
      <alignment readingOrder="0" vertical="bottom"/>
    </xf>
    <xf borderId="10" fillId="4" fontId="26" numFmtId="0" xfId="0" applyAlignment="1" applyBorder="1" applyFill="1" applyFont="1">
      <alignment readingOrder="0" vertical="bottom"/>
    </xf>
    <xf borderId="10" fillId="4" fontId="26" numFmtId="0" xfId="0" applyAlignment="1" applyBorder="1" applyFill="1" applyFont="1">
      <alignment horizontal="right" readingOrder="0" vertical="bottom"/>
    </xf>
    <xf borderId="10" fillId="4" fontId="26" numFmtId="3" xfId="0" applyAlignment="1" applyBorder="1" applyFill="1" applyFont="1" applyNumberFormat="1">
      <alignment horizontal="right" readingOrder="0" vertical="bottom"/>
    </xf>
    <xf borderId="0" fillId="0" fontId="4" numFmtId="3" xfId="0" applyAlignment="1" applyFont="1" applyNumberFormat="1">
      <alignment horizontal="right"/>
    </xf>
    <xf borderId="31" fillId="4" fontId="26" numFmtId="3" xfId="0" applyAlignment="1" applyBorder="1" applyFill="1" applyFont="1" applyNumberFormat="1">
      <alignment horizontal="right" readingOrder="0" vertical="bottom"/>
    </xf>
    <xf borderId="22" fillId="0" fontId="4" numFmtId="2" xfId="0" applyAlignment="1" applyBorder="1" applyFont="1" applyNumberFormat="1">
      <alignment horizontal="right" readingOrder="0"/>
    </xf>
    <xf borderId="22" fillId="0" fontId="7" numFmtId="165" xfId="0" applyAlignment="1" applyBorder="1" applyFont="1" applyNumberFormat="1">
      <alignment horizontal="right" readingOrder="0"/>
    </xf>
    <xf borderId="15" fillId="0" fontId="4" numFmtId="3" xfId="0" applyAlignment="1" applyBorder="1" applyFont="1" applyNumberFormat="1">
      <alignment horizontal="right" readingOrder="0"/>
    </xf>
    <xf borderId="24" fillId="0" fontId="7" numFmtId="170" xfId="0" applyAlignment="1" applyBorder="1" applyFont="1" applyNumberFormat="1">
      <alignment horizontal="right"/>
    </xf>
    <xf borderId="24" fillId="0" fontId="7" numFmtId="169" xfId="0" applyAlignment="1" applyBorder="1" applyFont="1" applyNumberFormat="1">
      <alignment horizontal="right" readingOrder="0"/>
    </xf>
    <xf borderId="25" fillId="0" fontId="7" numFmtId="0" xfId="0" applyAlignment="1" applyBorder="1" applyFont="1">
      <alignment horizontal="right" readingOrder="0"/>
    </xf>
    <xf borderId="14" fillId="0" fontId="4" numFmtId="2" xfId="0" applyAlignment="1" applyBorder="1" applyFont="1" applyNumberFormat="1">
      <alignment horizontal="right" readingOrder="0"/>
    </xf>
    <xf borderId="5" fillId="0" fontId="4" numFmtId="3" xfId="0" applyAlignment="1" applyBorder="1" applyFont="1" applyNumberFormat="1">
      <alignment horizontal="right" readingOrder="0"/>
    </xf>
    <xf borderId="24" fillId="0" fontId="7" numFmtId="165" xfId="0" applyAlignment="1" applyBorder="1" applyFont="1" applyNumberFormat="1">
      <alignment horizontal="right" readingOrder="0"/>
    </xf>
    <xf borderId="6" fillId="3" fontId="1" numFmtId="0" xfId="0" applyAlignment="1" applyBorder="1" applyFill="1" applyFont="1">
      <alignment readingOrder="0" vertical="bottom"/>
    </xf>
    <xf borderId="6" fillId="3" fontId="7" numFmtId="0" xfId="0" applyAlignment="1" applyBorder="1" applyFill="1" applyFont="1">
      <alignment horizontal="right" readingOrder="0"/>
    </xf>
    <xf borderId="7" fillId="3" fontId="7" numFmtId="3" xfId="0" applyAlignment="1" applyBorder="1" applyFill="1" applyFont="1" applyNumberFormat="1">
      <alignment horizontal="right"/>
    </xf>
    <xf borderId="11" fillId="3" fontId="4" numFmtId="0" xfId="0" applyBorder="1" applyFill="1" applyFont="1"/>
    <xf borderId="41" fillId="3" fontId="26" numFmtId="0" xfId="0" applyAlignment="1" applyBorder="1" applyFill="1" applyFont="1">
      <alignment readingOrder="0" vertical="bottom"/>
    </xf>
    <xf borderId="10" fillId="3" fontId="26" numFmtId="0" xfId="0" applyAlignment="1" applyBorder="1" applyFill="1" applyFont="1">
      <alignment readingOrder="0" vertical="bottom"/>
    </xf>
    <xf borderId="0" fillId="0" fontId="7" numFmtId="4" xfId="0" applyAlignment="1" applyFont="1" applyNumberFormat="1">
      <alignment horizontal="right"/>
    </xf>
    <xf borderId="10" fillId="3" fontId="26" numFmtId="0" xfId="0" applyAlignment="1" applyBorder="1" applyFill="1" applyFont="1">
      <alignment horizontal="right" readingOrder="0" vertical="bottom"/>
    </xf>
    <xf borderId="10" fillId="3" fontId="26" numFmtId="3" xfId="0" applyAlignment="1" applyBorder="1" applyFill="1" applyFont="1" applyNumberFormat="1">
      <alignment horizontal="right" readingOrder="0" vertical="bottom"/>
    </xf>
    <xf borderId="31" fillId="3" fontId="26" numFmtId="3" xfId="0" applyAlignment="1" applyBorder="1" applyFill="1" applyFont="1" applyNumberFormat="1">
      <alignment horizontal="right" readingOrder="0" vertical="bottom"/>
    </xf>
    <xf borderId="13" fillId="0" fontId="4" numFmtId="0" xfId="0" applyAlignment="1" applyBorder="1" applyFont="1">
      <alignment horizontal="left" shrinkToFit="0" wrapText="0"/>
    </xf>
    <xf borderId="0" fillId="0" fontId="4" numFmtId="0" xfId="0" applyAlignment="1" applyFont="1">
      <alignment readingOrder="0" shrinkToFit="0" vertical="bottom" wrapText="1"/>
    </xf>
    <xf borderId="10" fillId="0" fontId="4" numFmtId="2" xfId="0" applyAlignment="1" applyBorder="1" applyFont="1" applyNumberFormat="1">
      <alignment horizontal="right" readingOrder="0"/>
    </xf>
    <xf borderId="0" fillId="0" fontId="4" numFmtId="3" xfId="0" applyAlignment="1" applyFont="1" applyNumberFormat="1">
      <alignment horizontal="right" readingOrder="0"/>
    </xf>
    <xf borderId="0" fillId="0" fontId="4" numFmtId="0" xfId="0" applyAlignment="1" applyFont="1">
      <alignment horizontal="left" readingOrder="0" shrinkToFit="0" wrapText="0"/>
    </xf>
    <xf borderId="15" fillId="0" fontId="4" numFmtId="0" xfId="0" applyAlignment="1" applyBorder="1" applyFont="1">
      <alignment horizontal="right" vertical="bottom"/>
    </xf>
    <xf borderId="16" fillId="0" fontId="4" numFmtId="0" xfId="0" applyAlignment="1" applyBorder="1" applyFont="1">
      <alignment horizontal="right" vertical="bottom"/>
    </xf>
    <xf borderId="16" fillId="0" fontId="4" numFmtId="165" xfId="0" applyAlignment="1" applyBorder="1" applyFont="1" applyNumberFormat="1">
      <alignment horizontal="right" readingOrder="0" vertical="bottom"/>
    </xf>
    <xf borderId="15" fillId="0" fontId="4" numFmtId="0" xfId="0" applyAlignment="1" applyBorder="1" applyFont="1">
      <alignment vertical="bottom"/>
    </xf>
    <xf borderId="24" fillId="0" fontId="7" numFmtId="4" xfId="0" applyAlignment="1" applyBorder="1" applyFont="1" applyNumberFormat="1">
      <alignment horizontal="right"/>
    </xf>
    <xf borderId="16" fillId="0" fontId="50" numFmtId="0" xfId="0" applyAlignment="1" applyBorder="1" applyFont="1">
      <alignment readingOrder="0" vertical="bottom"/>
    </xf>
    <xf borderId="17" fillId="0" fontId="4" numFmtId="1" xfId="0" applyAlignment="1" applyBorder="1" applyFont="1" applyNumberFormat="1">
      <alignment readingOrder="0" shrinkToFit="0" vertical="bottom" wrapText="1"/>
    </xf>
    <xf borderId="17" fillId="0" fontId="4" numFmtId="0" xfId="0" applyAlignment="1" applyBorder="1" applyFont="1">
      <alignment horizontal="right" vertical="bottom"/>
    </xf>
    <xf borderId="18" fillId="0" fontId="4" numFmtId="0" xfId="0" applyAlignment="1" applyBorder="1" applyFont="1">
      <alignment horizontal="right" vertical="bottom"/>
    </xf>
    <xf borderId="18" fillId="0" fontId="4" numFmtId="169" xfId="0" applyAlignment="1" applyBorder="1" applyFont="1" applyNumberFormat="1">
      <alignment horizontal="right" readingOrder="0" vertical="bottom"/>
    </xf>
    <xf borderId="17" fillId="0" fontId="4" numFmtId="3" xfId="0" applyAlignment="1" applyBorder="1" applyFont="1" applyNumberFormat="1">
      <alignment horizontal="right" readingOrder="0"/>
    </xf>
    <xf borderId="17" fillId="0" fontId="4" numFmtId="0" xfId="0" applyAlignment="1" applyBorder="1" applyFont="1">
      <alignment vertical="bottom"/>
    </xf>
    <xf borderId="18" fillId="0" fontId="26" numFmtId="0" xfId="0" applyAlignment="1" applyBorder="1" applyFont="1">
      <alignment vertical="bottom"/>
    </xf>
    <xf borderId="17" fillId="0" fontId="4" numFmtId="0" xfId="0" applyAlignment="1" applyBorder="1" applyFont="1">
      <alignment shrinkToFit="0" vertical="bottom" wrapText="1"/>
    </xf>
    <xf borderId="5" fillId="0" fontId="4" numFmtId="0" xfId="0" applyAlignment="1" applyBorder="1" applyFont="1">
      <alignment horizontal="right" readingOrder="0" vertical="bottom"/>
    </xf>
    <xf borderId="12" fillId="0" fontId="7" numFmtId="0" xfId="0" applyAlignment="1" applyBorder="1" applyFont="1">
      <alignment horizontal="right" readingOrder="0"/>
    </xf>
    <xf borderId="18" fillId="0" fontId="4" numFmtId="165" xfId="0" applyAlignment="1" applyBorder="1" applyFont="1" applyNumberFormat="1">
      <alignment horizontal="right" vertical="bottom"/>
    </xf>
    <xf borderId="18" fillId="0" fontId="51" numFmtId="0" xfId="0" applyAlignment="1" applyBorder="1" applyFont="1">
      <alignment vertical="bottom"/>
    </xf>
    <xf borderId="13" fillId="0" fontId="4" numFmtId="0" xfId="0" applyBorder="1" applyFont="1"/>
    <xf borderId="8" fillId="0" fontId="7" numFmtId="0" xfId="0" applyAlignment="1" applyBorder="1" applyFont="1">
      <alignment horizontal="right" readingOrder="0"/>
    </xf>
    <xf borderId="18" fillId="0" fontId="4" numFmtId="1" xfId="0" applyAlignment="1" applyBorder="1" applyFont="1" applyNumberFormat="1">
      <alignment horizontal="right" vertical="bottom"/>
    </xf>
    <xf borderId="0" fillId="0" fontId="7" numFmtId="9" xfId="0" applyAlignment="1" applyFont="1" applyNumberFormat="1">
      <alignment horizontal="right"/>
    </xf>
    <xf borderId="22" fillId="0" fontId="4" numFmtId="2" xfId="0" applyAlignment="1" applyBorder="1" applyFont="1" applyNumberFormat="1">
      <alignment horizontal="right" vertical="bottom"/>
    </xf>
    <xf borderId="24" fillId="0" fontId="4" numFmtId="2" xfId="0" applyAlignment="1" applyBorder="1" applyFont="1" applyNumberFormat="1">
      <alignment horizontal="right" vertical="bottom"/>
    </xf>
    <xf borderId="20" fillId="0" fontId="4" numFmtId="0" xfId="0" applyAlignment="1" applyBorder="1" applyFont="1">
      <alignment shrinkToFit="0" vertical="bottom" wrapText="1"/>
    </xf>
    <xf borderId="20" fillId="0" fontId="4" numFmtId="0" xfId="0" applyAlignment="1" applyBorder="1" applyFont="1">
      <alignment horizontal="right" vertical="bottom"/>
    </xf>
    <xf borderId="21" fillId="0" fontId="4" numFmtId="0" xfId="0" applyAlignment="1" applyBorder="1" applyFont="1">
      <alignment horizontal="right" vertical="bottom"/>
    </xf>
    <xf borderId="21" fillId="0" fontId="4" numFmtId="3" xfId="0" applyAlignment="1" applyBorder="1" applyFont="1" applyNumberFormat="1">
      <alignment horizontal="right" vertical="bottom"/>
    </xf>
    <xf borderId="20" fillId="0" fontId="4" numFmtId="3" xfId="0" applyAlignment="1" applyBorder="1" applyFont="1" applyNumberFormat="1">
      <alignment horizontal="right" readingOrder="0"/>
    </xf>
    <xf borderId="20" fillId="0" fontId="4" numFmtId="0" xfId="0" applyAlignment="1" applyBorder="1" applyFont="1">
      <alignment vertical="bottom"/>
    </xf>
    <xf borderId="21" fillId="0" fontId="52" numFmtId="0" xfId="0" applyAlignment="1" applyBorder="1" applyFont="1">
      <alignment vertical="bottom"/>
    </xf>
    <xf borderId="6" fillId="3" fontId="4" numFmtId="0" xfId="0" applyAlignment="1" applyBorder="1" applyFill="1" applyFont="1">
      <alignment horizontal="right" vertical="bottom"/>
    </xf>
    <xf borderId="7" fillId="3" fontId="4" numFmtId="0" xfId="0" applyAlignment="1" applyBorder="1" applyFill="1" applyFont="1">
      <alignment horizontal="left" shrinkToFit="0" vertical="bottom" wrapText="0"/>
    </xf>
    <xf borderId="26" fillId="0" fontId="4" numFmtId="2" xfId="0" applyAlignment="1" applyBorder="1" applyFont="1" applyNumberFormat="1">
      <alignment horizontal="right" vertical="bottom"/>
    </xf>
    <xf borderId="22" fillId="0" fontId="4" numFmtId="1" xfId="0" applyAlignment="1" applyBorder="1" applyFont="1" applyNumberFormat="1">
      <alignment horizontal="right" readingOrder="0"/>
    </xf>
    <xf borderId="23" fillId="0" fontId="4" numFmtId="0" xfId="0" applyAlignment="1" applyBorder="1" applyFont="1">
      <alignment horizontal="left" readingOrder="0" shrinkToFit="0" wrapText="0"/>
    </xf>
    <xf borderId="0" fillId="0" fontId="7" numFmtId="0" xfId="0" applyAlignment="1" applyFont="1">
      <alignment shrinkToFit="0" wrapText="1"/>
    </xf>
    <xf borderId="16" fillId="0" fontId="53" numFmtId="0" xfId="0" applyAlignment="1" applyBorder="1" applyFont="1">
      <alignment horizontal="left" readingOrder="0" shrinkToFit="0" wrapText="0"/>
    </xf>
    <xf borderId="0" fillId="0" fontId="4" numFmtId="0" xfId="0" applyAlignment="1" applyFont="1">
      <alignment shrinkToFit="0" vertical="bottom" wrapText="1"/>
    </xf>
    <xf borderId="22" fillId="0" fontId="4" numFmtId="169" xfId="0" applyAlignment="1" applyBorder="1" applyFont="1" applyNumberFormat="1">
      <alignment horizontal="right" readingOrder="0"/>
    </xf>
    <xf borderId="5" fillId="0" fontId="7" numFmtId="9" xfId="0" applyAlignment="1" applyBorder="1" applyFont="1" applyNumberFormat="1">
      <alignment horizontal="right"/>
    </xf>
    <xf borderId="26" fillId="0" fontId="4" numFmtId="169" xfId="0" applyAlignment="1" applyBorder="1" applyFont="1" applyNumberFormat="1">
      <alignment horizontal="right" readingOrder="0"/>
    </xf>
    <xf borderId="13" fillId="0" fontId="54" numFmtId="0" xfId="0" applyAlignment="1" applyBorder="1" applyFont="1">
      <alignment horizontal="left" readingOrder="0" shrinkToFit="0" wrapText="0"/>
    </xf>
    <xf borderId="10" fillId="0" fontId="4" numFmtId="169" xfId="0" applyAlignment="1" applyBorder="1" applyFont="1" applyNumberFormat="1">
      <alignment horizontal="right" readingOrder="0"/>
    </xf>
    <xf borderId="0" fillId="0" fontId="4" numFmtId="169" xfId="0" applyAlignment="1" applyFont="1" applyNumberFormat="1">
      <alignment horizontal="right" readingOrder="0"/>
    </xf>
    <xf borderId="9" fillId="0" fontId="55" numFmtId="0" xfId="0" applyAlignment="1" applyBorder="1" applyFont="1">
      <alignment horizontal="left" readingOrder="0" shrinkToFit="0" wrapText="0"/>
    </xf>
    <xf borderId="23" fillId="0" fontId="7" numFmtId="1" xfId="0" applyAlignment="1" applyBorder="1" applyFont="1" applyNumberFormat="1">
      <alignment horizontal="right" readingOrder="0"/>
    </xf>
    <xf borderId="26" fillId="0" fontId="7" numFmtId="1" xfId="0" applyAlignment="1" applyBorder="1" applyFont="1" applyNumberFormat="1">
      <alignment horizontal="right" readingOrder="0"/>
    </xf>
    <xf borderId="10" fillId="0" fontId="4" numFmtId="166" xfId="0" applyAlignment="1" applyBorder="1" applyFont="1" applyNumberFormat="1">
      <alignment horizontal="right" readingOrder="0"/>
    </xf>
    <xf borderId="21" fillId="0" fontId="4" numFmtId="0" xfId="0" applyAlignment="1" applyBorder="1" applyFont="1">
      <alignment horizontal="center" readingOrder="0"/>
    </xf>
    <xf borderId="10" fillId="0" fontId="7" numFmtId="2" xfId="0" applyAlignment="1" applyBorder="1" applyFont="1" applyNumberFormat="1">
      <alignment horizontal="right"/>
    </xf>
    <xf borderId="14" fillId="0" fontId="4" numFmtId="170" xfId="0" applyAlignment="1" applyBorder="1" applyFont="1" applyNumberFormat="1">
      <alignment horizontal="right" readingOrder="0"/>
    </xf>
    <xf borderId="0" fillId="0" fontId="7" numFmtId="2" xfId="0" applyAlignment="1" applyFont="1" applyNumberFormat="1">
      <alignment horizontal="right"/>
    </xf>
    <xf borderId="5" fillId="0" fontId="4" numFmtId="169" xfId="0" applyAlignment="1" applyBorder="1" applyFont="1" applyNumberFormat="1">
      <alignment horizontal="right" readingOrder="0"/>
    </xf>
    <xf borderId="0" fillId="0" fontId="56" numFmtId="0" xfId="0" applyAlignment="1" applyFont="1">
      <alignment vertical="bottom"/>
    </xf>
    <xf borderId="10" fillId="0" fontId="7" numFmtId="1" xfId="0" applyAlignment="1" applyBorder="1" applyFont="1" applyNumberFormat="1">
      <alignment horizontal="right"/>
    </xf>
    <xf borderId="0" fillId="0" fontId="7" numFmtId="1" xfId="0" applyAlignment="1" applyFont="1" applyNumberFormat="1">
      <alignment horizontal="right"/>
    </xf>
    <xf borderId="17" fillId="0" fontId="4" numFmtId="3" xfId="0" applyAlignment="1" applyBorder="1" applyFont="1" applyNumberFormat="1">
      <alignment horizontal="right" readingOrder="0" vertical="bottom"/>
    </xf>
    <xf borderId="18" fillId="0" fontId="4" numFmtId="3" xfId="0" applyAlignment="1" applyBorder="1" applyFont="1" applyNumberFormat="1">
      <alignment horizontal="right" readingOrder="0" vertical="bottom"/>
    </xf>
    <xf borderId="25" fillId="0" fontId="7" numFmtId="3" xfId="0" applyAlignment="1" applyBorder="1" applyFont="1" applyNumberFormat="1">
      <alignment horizontal="right" readingOrder="0"/>
    </xf>
    <xf borderId="15" fillId="0" fontId="4" numFmtId="0" xfId="0" applyAlignment="1" applyBorder="1" applyFont="1">
      <alignment readingOrder="0" vertical="bottom"/>
    </xf>
    <xf borderId="15" fillId="0" fontId="4" numFmtId="0" xfId="0" applyAlignment="1" applyBorder="1" applyFont="1">
      <alignment horizontal="right" vertical="bottom"/>
    </xf>
    <xf borderId="15" fillId="0" fontId="4" numFmtId="0" xfId="0" applyAlignment="1" applyBorder="1" applyFont="1">
      <alignment horizontal="left" shrinkToFit="0" wrapText="0"/>
    </xf>
    <xf borderId="16" fillId="0" fontId="4" numFmtId="0" xfId="0" applyAlignment="1" applyBorder="1" applyFont="1">
      <alignment readingOrder="0"/>
    </xf>
    <xf borderId="0" fillId="0" fontId="57" numFmtId="0" xfId="0" applyAlignment="1" applyFont="1">
      <alignment readingOrder="0" vertical="bottom"/>
    </xf>
    <xf borderId="18" fillId="0" fontId="4" numFmtId="0" xfId="0" applyAlignment="1" applyBorder="1" applyFont="1">
      <alignment horizontal="left" readingOrder="0" shrinkToFit="0" wrapText="0"/>
    </xf>
    <xf borderId="24" fillId="0" fontId="4" numFmtId="9" xfId="0" applyAlignment="1" applyBorder="1" applyFont="1" applyNumberFormat="1">
      <alignment horizontal="right"/>
    </xf>
    <xf borderId="17" fillId="0" fontId="4" numFmtId="9" xfId="0" applyAlignment="1" applyBorder="1" applyFont="1" applyNumberFormat="1">
      <alignment horizontal="right"/>
    </xf>
    <xf borderId="22" fillId="0" fontId="7" numFmtId="169" xfId="0" applyAlignment="1" applyBorder="1" applyFont="1" applyNumberFormat="1">
      <alignment horizontal="right" readingOrder="0"/>
    </xf>
    <xf borderId="17" fillId="0" fontId="4" numFmtId="0" xfId="0" applyAlignment="1" applyBorder="1" applyFont="1">
      <alignment horizontal="left" shrinkToFit="0" wrapText="0"/>
    </xf>
    <xf borderId="12" fillId="0" fontId="4" numFmtId="0" xfId="0" applyAlignment="1" applyBorder="1" applyFont="1">
      <alignment vertical="bottom"/>
    </xf>
    <xf borderId="5" fillId="0" fontId="4" numFmtId="0" xfId="0" applyAlignment="1" applyBorder="1" applyFont="1">
      <alignment vertical="bottom"/>
    </xf>
    <xf borderId="5" fillId="0" fontId="4" numFmtId="0" xfId="0" applyAlignment="1" applyBorder="1" applyFont="1">
      <alignment readingOrder="0" vertical="bottom"/>
    </xf>
    <xf borderId="12" fillId="0" fontId="7" numFmtId="0" xfId="0" applyAlignment="1" applyBorder="1" applyFont="1">
      <alignment horizontal="right" readingOrder="0"/>
    </xf>
    <xf borderId="5" fillId="0" fontId="7" numFmtId="4" xfId="0" applyAlignment="1" applyBorder="1" applyFont="1" applyNumberFormat="1">
      <alignment horizontal="right" readingOrder="0"/>
    </xf>
    <xf borderId="21" fillId="0" fontId="4" numFmtId="0" xfId="0" applyAlignment="1" applyBorder="1" applyFont="1">
      <alignment horizontal="left" readingOrder="0" shrinkToFit="0" wrapText="0"/>
    </xf>
    <xf borderId="0" fillId="0" fontId="4" numFmtId="165" xfId="0" applyAlignment="1" applyFont="1" applyNumberFormat="1">
      <alignment horizontal="right"/>
    </xf>
    <xf borderId="0" fillId="0" fontId="4" numFmtId="0" xfId="0" applyAlignment="1" applyFont="1">
      <alignment readingOrder="0" vertical="bottom"/>
    </xf>
    <xf borderId="42" fillId="0" fontId="38" numFmtId="0" xfId="0" applyAlignment="1" applyBorder="1" applyFont="1">
      <alignment readingOrder="0"/>
    </xf>
    <xf borderId="43" fillId="0" fontId="38" numFmtId="0" xfId="0" applyAlignment="1" applyBorder="1" applyFont="1">
      <alignment readingOrder="0"/>
    </xf>
    <xf borderId="43" fillId="4" fontId="26" numFmtId="49" xfId="0" applyAlignment="1" applyBorder="1" applyFill="1" applyFont="1" applyNumberFormat="1">
      <alignment horizontal="left" readingOrder="0" vertical="bottom"/>
    </xf>
    <xf borderId="43" fillId="0" fontId="38" numFmtId="3" xfId="0" applyAlignment="1" applyBorder="1" applyFont="1" applyNumberFormat="1">
      <alignment readingOrder="0"/>
    </xf>
    <xf borderId="44" fillId="0" fontId="38" numFmtId="3" xfId="0" applyAlignment="1" applyBorder="1" applyFont="1" applyNumberFormat="1">
      <alignment readingOrder="0"/>
    </xf>
    <xf borderId="7" fillId="3" fontId="7" numFmtId="0" xfId="0" applyAlignment="1" applyBorder="1" applyFill="1" applyFont="1">
      <alignment horizontal="right" shrinkToFit="0" vertical="bottom" wrapText="1"/>
    </xf>
    <xf borderId="11" fillId="3" fontId="4" numFmtId="0" xfId="0" applyAlignment="1" applyBorder="1" applyFill="1" applyFont="1">
      <alignment shrinkToFit="0" vertical="bottom" wrapText="1"/>
    </xf>
    <xf borderId="0" fillId="0" fontId="7" numFmtId="0" xfId="0" applyAlignment="1" applyFont="1">
      <alignment horizontal="right" shrinkToFit="0" wrapText="1"/>
    </xf>
    <xf borderId="9" fillId="0" fontId="4" numFmtId="0" xfId="0" applyAlignment="1" applyBorder="1" applyFont="1">
      <alignment horizontal="center" readingOrder="0"/>
    </xf>
    <xf borderId="9" fillId="0" fontId="4" numFmtId="0" xfId="0" applyAlignment="1" applyBorder="1" applyFont="1">
      <alignment shrinkToFit="0" wrapText="1"/>
    </xf>
    <xf borderId="5" fillId="0" fontId="7" numFmtId="1" xfId="0" applyAlignment="1" applyBorder="1" applyFont="1" applyNumberFormat="1">
      <alignment horizontal="right" readingOrder="0" vertical="bottom"/>
    </xf>
    <xf borderId="13" fillId="0" fontId="4" numFmtId="0" xfId="0" applyAlignment="1" applyBorder="1" applyFont="1">
      <alignment shrinkToFit="0" wrapText="1"/>
    </xf>
    <xf borderId="15" fillId="0" fontId="7" numFmtId="167" xfId="0" applyAlignment="1" applyBorder="1" applyFont="1" applyNumberFormat="1">
      <alignment horizontal="right"/>
    </xf>
    <xf borderId="22" fillId="0" fontId="7" numFmtId="1" xfId="0" applyAlignment="1" applyBorder="1" applyFont="1" applyNumberFormat="1">
      <alignment horizontal="right" readingOrder="0"/>
    </xf>
    <xf borderId="14" fillId="0" fontId="4" numFmtId="9" xfId="0" applyAlignment="1" applyBorder="1" applyFont="1" applyNumberFormat="1">
      <alignment horizontal="right" readingOrder="0"/>
    </xf>
    <xf borderId="5" fillId="0" fontId="4" numFmtId="9" xfId="0" applyAlignment="1" applyBorder="1" applyFont="1" applyNumberFormat="1">
      <alignment horizontal="right" readingOrder="0"/>
    </xf>
    <xf borderId="16" fillId="0" fontId="4" numFmtId="0" xfId="0" applyAlignment="1" applyBorder="1" applyFont="1">
      <alignment shrinkToFit="0" wrapText="1"/>
    </xf>
    <xf borderId="10" fillId="0" fontId="7" numFmtId="1" xfId="0" applyAlignment="1" applyBorder="1" applyFont="1" applyNumberFormat="1">
      <alignment horizontal="right" readingOrder="0"/>
    </xf>
    <xf borderId="0" fillId="0" fontId="7" numFmtId="0" xfId="0" applyAlignment="1" applyFont="1">
      <alignment horizontal="right" readingOrder="0"/>
    </xf>
    <xf borderId="8" fillId="0" fontId="38" numFmtId="0" xfId="0" applyBorder="1" applyFont="1"/>
    <xf borderId="0" fillId="0" fontId="38" numFmtId="0" xfId="0" applyAlignment="1" applyFont="1">
      <alignment shrinkToFit="0" wrapText="1"/>
    </xf>
    <xf borderId="10" fillId="0" fontId="38" numFmtId="0" xfId="0" applyBorder="1" applyFont="1"/>
    <xf borderId="18" fillId="0" fontId="4" numFmtId="0" xfId="0" applyAlignment="1" applyBorder="1" applyFont="1">
      <alignment shrinkToFit="0" wrapText="1"/>
    </xf>
    <xf borderId="15" fillId="4" fontId="4" numFmtId="9" xfId="0" applyAlignment="1" applyBorder="1" applyFill="1" applyFont="1" applyNumberFormat="1">
      <alignment horizontal="right" readingOrder="0"/>
    </xf>
    <xf borderId="26" fillId="0" fontId="7" numFmtId="2" xfId="0" applyAlignment="1" applyBorder="1" applyFont="1" applyNumberFormat="1">
      <alignment horizontal="right" readingOrder="0"/>
    </xf>
    <xf borderId="20" fillId="0" fontId="4" numFmtId="0" xfId="0" applyAlignment="1" applyBorder="1" applyFont="1">
      <alignment readingOrder="0" shrinkToFit="0" wrapText="1"/>
    </xf>
    <xf borderId="21" fillId="0" fontId="4" numFmtId="0" xfId="0" applyAlignment="1" applyBorder="1" applyFont="1">
      <alignment horizontal="left" shrinkToFit="0" wrapText="0"/>
    </xf>
    <xf borderId="22" fillId="0" fontId="4" numFmtId="170" xfId="0" applyAlignment="1" applyBorder="1" applyFont="1" applyNumberFormat="1">
      <alignment horizontal="right" readingOrder="0"/>
    </xf>
    <xf borderId="5" fillId="0" fontId="4" numFmtId="170" xfId="0" applyAlignment="1" applyBorder="1" applyFont="1" applyNumberFormat="1">
      <alignment horizontal="right" readingOrder="0"/>
    </xf>
    <xf borderId="18" fillId="0" fontId="4" numFmtId="0" xfId="0" applyAlignment="1" applyBorder="1" applyFont="1">
      <alignment horizontal="center" readingOrder="0"/>
    </xf>
    <xf borderId="28" fillId="0" fontId="7" numFmtId="171" xfId="0" applyAlignment="1" applyBorder="1" applyFont="1" applyNumberFormat="1">
      <alignment horizontal="right"/>
    </xf>
    <xf borderId="21" fillId="0" fontId="4" numFmtId="0" xfId="0" applyAlignment="1" applyBorder="1" applyFont="1">
      <alignment shrinkToFit="0" wrapText="1"/>
    </xf>
    <xf borderId="12" fillId="0" fontId="4" numFmtId="0" xfId="0" applyAlignment="1" applyBorder="1" applyFont="1">
      <alignment vertical="bottom"/>
    </xf>
    <xf borderId="5" fillId="0" fontId="4" numFmtId="0" xfId="0" applyAlignment="1" applyBorder="1" applyFont="1">
      <alignment vertical="bottom"/>
    </xf>
    <xf borderId="5" fillId="0" fontId="4" numFmtId="0" xfId="0" applyAlignment="1" applyBorder="1" applyFont="1">
      <alignment shrinkToFit="0" vertical="bottom" wrapText="1"/>
    </xf>
    <xf borderId="5" fillId="0" fontId="4" numFmtId="0" xfId="0" applyAlignment="1" applyBorder="1" applyFont="1">
      <alignment horizontal="right" vertical="bottom"/>
    </xf>
    <xf borderId="14" fillId="0" fontId="4" numFmtId="9" xfId="0" applyAlignment="1" applyBorder="1" applyFont="1" applyNumberFormat="1">
      <alignment horizontal="right"/>
    </xf>
    <xf borderId="5" fillId="0" fontId="4" numFmtId="0" xfId="0" applyAlignment="1" applyBorder="1" applyFont="1">
      <alignment horizontal="right"/>
    </xf>
    <xf borderId="5" fillId="0" fontId="4" numFmtId="0" xfId="0" applyAlignment="1" applyBorder="1" applyFont="1">
      <alignment horizontal="left" shrinkToFit="0" wrapText="0"/>
    </xf>
    <xf borderId="35" fillId="0" fontId="7" numFmtId="170" xfId="0" applyAlignment="1" applyBorder="1" applyFont="1" applyNumberFormat="1">
      <alignment horizontal="right"/>
    </xf>
    <xf borderId="28" fillId="0" fontId="7" numFmtId="169" xfId="0" applyAlignment="1" applyBorder="1" applyFont="1" applyNumberFormat="1">
      <alignment horizontal="right"/>
    </xf>
    <xf borderId="20" fillId="0" fontId="4" numFmtId="0" xfId="0" applyAlignment="1" applyBorder="1" applyFont="1">
      <alignment horizontal="left" readingOrder="0" vertical="bottom"/>
    </xf>
    <xf borderId="20" fillId="0" fontId="7" numFmtId="169" xfId="0" applyAlignment="1" applyBorder="1" applyFont="1" applyNumberFormat="1">
      <alignment horizontal="right"/>
    </xf>
    <xf borderId="20" fillId="0" fontId="1" numFmtId="0" xfId="0" applyAlignment="1" applyBorder="1" applyFont="1">
      <alignment readingOrder="0" shrinkToFit="0" vertical="bottom" wrapText="1"/>
    </xf>
    <xf borderId="20" fillId="0" fontId="1" numFmtId="0" xfId="0" applyAlignment="1" applyBorder="1" applyFont="1">
      <alignment horizontal="left" readingOrder="0" vertical="bottom"/>
    </xf>
    <xf borderId="20" fillId="0" fontId="1" numFmtId="0" xfId="0" applyAlignment="1" applyBorder="1" applyFont="1">
      <alignment horizontal="right" readingOrder="0" vertical="bottom"/>
    </xf>
    <xf borderId="26" fillId="0" fontId="3" numFmtId="0" xfId="0" applyAlignment="1" applyBorder="1" applyFont="1">
      <alignment horizontal="right" readingOrder="0"/>
    </xf>
    <xf borderId="20" fillId="0" fontId="3" numFmtId="164" xfId="0" applyAlignment="1" applyBorder="1" applyFont="1" applyNumberFormat="1">
      <alignment horizontal="right"/>
    </xf>
    <xf borderId="9" fillId="0" fontId="26" numFmtId="0" xfId="0" applyAlignment="1" applyBorder="1" applyFont="1">
      <alignment vertical="bottom"/>
    </xf>
    <xf borderId="15" fillId="0" fontId="4" numFmtId="0" xfId="0" applyAlignment="1" applyBorder="1" applyFont="1">
      <alignment shrinkToFit="0" vertical="bottom" wrapText="1"/>
    </xf>
    <xf borderId="15" fillId="0" fontId="4" numFmtId="0" xfId="0" applyAlignment="1" applyBorder="1" applyFont="1">
      <alignment horizontal="right" shrinkToFit="0" vertical="bottom" wrapText="1"/>
    </xf>
    <xf borderId="15" fillId="0" fontId="7" numFmtId="9" xfId="0" applyAlignment="1" applyBorder="1" applyFont="1" applyNumberFormat="1">
      <alignment horizontal="right" shrinkToFit="0" wrapText="1"/>
    </xf>
    <xf borderId="15" fillId="0" fontId="4" numFmtId="0" xfId="0" applyAlignment="1" applyBorder="1" applyFont="1">
      <alignment horizontal="right" readingOrder="0" vertical="bottom"/>
    </xf>
    <xf borderId="16" fillId="0" fontId="4" numFmtId="0" xfId="0" applyAlignment="1" applyBorder="1" applyFont="1">
      <alignment horizontal="right" readingOrder="0" vertical="bottom"/>
    </xf>
    <xf borderId="5" fillId="0" fontId="4" numFmtId="0" xfId="0" applyAlignment="1" applyBorder="1" applyFont="1">
      <alignment shrinkToFit="0" vertical="bottom" wrapText="1"/>
    </xf>
    <xf borderId="5" fillId="0" fontId="4" numFmtId="0" xfId="0" applyAlignment="1" applyBorder="1" applyFont="1">
      <alignment horizontal="right" shrinkToFit="0" vertical="bottom" wrapText="1"/>
    </xf>
    <xf borderId="13" fillId="0" fontId="4" numFmtId="0" xfId="0" applyAlignment="1" applyBorder="1" applyFont="1">
      <alignment horizontal="right" vertical="bottom"/>
    </xf>
    <xf borderId="20" fillId="0" fontId="7" numFmtId="166" xfId="0" applyAlignment="1" applyBorder="1" applyFont="1" applyNumberFormat="1">
      <alignment horizontal="right"/>
    </xf>
    <xf borderId="5" fillId="0" fontId="7" numFmtId="9" xfId="0" applyAlignment="1" applyBorder="1" applyFont="1" applyNumberFormat="1">
      <alignment horizontal="right" shrinkToFit="0" wrapText="1"/>
    </xf>
    <xf borderId="23" fillId="0" fontId="4" numFmtId="9" xfId="0" applyAlignment="1" applyBorder="1" applyFont="1" applyNumberFormat="1">
      <alignment horizontal="right" vertical="bottom"/>
    </xf>
    <xf borderId="12" fillId="0" fontId="4" numFmtId="9" xfId="0" applyAlignment="1" applyBorder="1" applyFont="1" applyNumberFormat="1">
      <alignment horizontal="right" vertical="bottom"/>
    </xf>
    <xf borderId="6" fillId="2" fontId="1" numFmtId="0" xfId="0" applyAlignment="1" applyBorder="1" applyFill="1" applyFont="1">
      <alignment horizontal="center" vertical="bottom"/>
    </xf>
    <xf borderId="4" fillId="2" fontId="1" numFmtId="0" xfId="0" applyAlignment="1" applyBorder="1" applyFill="1" applyFont="1">
      <alignment shrinkToFit="0" vertical="bottom" wrapText="1"/>
    </xf>
    <xf borderId="8" fillId="2" fontId="1" numFmtId="0" xfId="0" applyAlignment="1" applyBorder="1" applyFill="1" applyFont="1">
      <alignment horizontal="center" vertical="bottom"/>
    </xf>
    <xf borderId="9" fillId="0" fontId="2" numFmtId="0" xfId="0" applyBorder="1" applyFont="1"/>
    <xf borderId="0" fillId="2" fontId="1" numFmtId="0" xfId="0" applyAlignment="1" applyFill="1" applyFont="1">
      <alignment horizontal="center" vertical="bottom"/>
    </xf>
    <xf borderId="0" fillId="2" fontId="1" numFmtId="0" xfId="0" applyAlignment="1" applyFill="1" applyFont="1">
      <alignment horizontal="center" shrinkToFit="0" vertical="bottom" wrapText="1"/>
    </xf>
    <xf borderId="17" fillId="0" fontId="4" numFmtId="0" xfId="0" applyAlignment="1" applyBorder="1" applyFont="1">
      <alignment horizontal="right" vertical="bottom"/>
    </xf>
    <xf borderId="0" fillId="2" fontId="1" numFmtId="0" xfId="0" applyAlignment="1" applyFill="1" applyFont="1">
      <alignment horizontal="center" readingOrder="0" shrinkToFit="0" vertical="bottom" wrapText="1"/>
    </xf>
    <xf borderId="9" fillId="2" fontId="1" numFmtId="0" xfId="0" applyAlignment="1" applyBorder="1" applyFill="1" applyFont="1">
      <alignment shrinkToFit="0" vertical="bottom" wrapText="1"/>
    </xf>
    <xf borderId="0" fillId="2" fontId="45" numFmtId="0" xfId="0" applyAlignment="1" applyFill="1" applyFont="1">
      <alignment horizontal="center" vertical="bottom"/>
    </xf>
    <xf borderId="0" fillId="2" fontId="45" numFmtId="0" xfId="0" applyAlignment="1" applyFill="1" applyFont="1">
      <alignment horizontal="center" readingOrder="0" vertical="bottom"/>
    </xf>
    <xf borderId="0" fillId="2" fontId="1" numFmtId="0" xfId="0" applyAlignment="1" applyFill="1" applyFont="1">
      <alignment readingOrder="0" vertical="bottom"/>
    </xf>
    <xf borderId="12" fillId="2" fontId="1" numFmtId="0" xfId="0" applyAlignment="1" applyBorder="1" applyFill="1" applyFont="1">
      <alignment horizontal="center" vertical="bottom"/>
    </xf>
    <xf borderId="5" fillId="2" fontId="1" numFmtId="0" xfId="0" applyAlignment="1" applyBorder="1" applyFill="1" applyFont="1">
      <alignment horizontal="center" readingOrder="0" shrinkToFit="0" vertical="bottom" wrapText="1"/>
    </xf>
    <xf borderId="13" fillId="2" fontId="1" numFmtId="0" xfId="0" applyAlignment="1" applyBorder="1" applyFill="1" applyFont="1">
      <alignment horizontal="center" vertical="bottom"/>
    </xf>
    <xf borderId="5" fillId="2" fontId="1" numFmtId="0" xfId="0" applyAlignment="1" applyBorder="1" applyFill="1" applyFont="1">
      <alignment horizontal="center" vertical="bottom"/>
    </xf>
    <xf borderId="5" fillId="2" fontId="1" numFmtId="0" xfId="0" applyAlignment="1" applyBorder="1" applyFill="1" applyFont="1">
      <alignment horizontal="center" shrinkToFit="0" vertical="bottom" wrapText="1"/>
    </xf>
    <xf borderId="13" fillId="2" fontId="1" numFmtId="0" xfId="0" applyAlignment="1" applyBorder="1" applyFill="1" applyFont="1">
      <alignment horizontal="center" shrinkToFit="0" vertical="bottom" wrapText="1"/>
    </xf>
    <xf borderId="13" fillId="2" fontId="4" numFmtId="0" xfId="0" applyAlignment="1" applyBorder="1" applyFill="1" applyFont="1">
      <alignment shrinkToFit="0" vertical="bottom" wrapText="1"/>
    </xf>
    <xf borderId="1" fillId="3" fontId="1" numFmtId="0" xfId="0" applyAlignment="1" applyBorder="1" applyFill="1" applyFont="1">
      <alignment readingOrder="0" shrinkToFit="0" vertical="bottom" wrapText="0"/>
    </xf>
    <xf borderId="12" fillId="3" fontId="1" numFmtId="164" xfId="0" applyAlignment="1" applyBorder="1" applyFill="1" applyFont="1" applyNumberFormat="1">
      <alignment horizontal="center" vertical="bottom"/>
    </xf>
    <xf borderId="13" fillId="0" fontId="2" numFmtId="0" xfId="0" applyBorder="1" applyFont="1"/>
    <xf borderId="0" fillId="0" fontId="1" numFmtId="0" xfId="0" applyAlignment="1" applyFont="1">
      <alignment horizontal="right" readingOrder="0" vertical="bottom"/>
    </xf>
    <xf borderId="10" fillId="0" fontId="3" numFmtId="0" xfId="0" applyAlignment="1" applyBorder="1" applyFont="1">
      <alignment horizontal="right"/>
    </xf>
    <xf borderId="0" fillId="0" fontId="3" numFmtId="164" xfId="0" applyAlignment="1" applyFont="1" applyNumberFormat="1">
      <alignment horizontal="right"/>
    </xf>
    <xf borderId="15" fillId="0" fontId="1" numFmtId="0" xfId="0" applyAlignment="1" applyBorder="1" applyFont="1">
      <alignment readingOrder="0" shrinkToFit="0" vertical="bottom" wrapText="1"/>
    </xf>
    <xf borderId="15" fillId="0" fontId="1" numFmtId="0" xfId="0" applyAlignment="1" applyBorder="1" applyFont="1">
      <alignment horizontal="left" readingOrder="0" vertical="bottom"/>
    </xf>
    <xf borderId="15" fillId="0" fontId="1" numFmtId="0" xfId="0" applyAlignment="1" applyBorder="1" applyFont="1">
      <alignment horizontal="right" readingOrder="0" vertical="bottom"/>
    </xf>
    <xf borderId="22" fillId="0" fontId="3" numFmtId="0" xfId="0" applyAlignment="1" applyBorder="1" applyFont="1">
      <alignment horizontal="right" readingOrder="0"/>
    </xf>
    <xf borderId="15" fillId="0" fontId="3" numFmtId="164" xfId="0" applyAlignment="1" applyBorder="1" applyFont="1" applyNumberFormat="1">
      <alignment horizontal="right"/>
    </xf>
    <xf borderId="13" fillId="3" fontId="4" numFmtId="0" xfId="0" applyAlignment="1" applyBorder="1" applyFill="1" applyFont="1">
      <alignment shrinkToFit="0" vertical="bottom" wrapText="1"/>
    </xf>
    <xf borderId="6" fillId="3" fontId="7" numFmtId="0" xfId="0" applyAlignment="1" applyBorder="1" applyFill="1" applyFont="1">
      <alignment horizontal="center" vertical="bottom"/>
    </xf>
    <xf borderId="7" fillId="3" fontId="7" numFmtId="0" xfId="0" applyAlignment="1" applyBorder="1" applyFill="1" applyFont="1">
      <alignment horizontal="center" vertical="bottom"/>
    </xf>
    <xf borderId="11" fillId="3" fontId="7" numFmtId="0" xfId="0" applyAlignment="1" applyBorder="1" applyFill="1" applyFont="1">
      <alignment horizontal="center" vertical="bottom"/>
    </xf>
    <xf borderId="5" fillId="0" fontId="4" numFmtId="0" xfId="0" applyAlignment="1" applyBorder="1" applyFont="1">
      <alignment readingOrder="0" vertical="bottom"/>
    </xf>
    <xf borderId="42" fillId="3" fontId="26" numFmtId="0" xfId="0" applyAlignment="1" applyBorder="1" applyFill="1" applyFont="1">
      <alignment readingOrder="0" vertical="bottom"/>
    </xf>
    <xf borderId="45" fillId="3" fontId="26" numFmtId="0" xfId="0" applyAlignment="1" applyBorder="1" applyFill="1" applyFont="1">
      <alignment readingOrder="0" vertical="bottom"/>
    </xf>
    <xf borderId="11" fillId="3" fontId="7" numFmtId="0" xfId="0" applyAlignment="1" applyBorder="1" applyFill="1" applyFont="1">
      <alignment horizontal="right" vertical="bottom"/>
    </xf>
    <xf borderId="45" fillId="3" fontId="26" numFmtId="0" xfId="0" applyAlignment="1" applyBorder="1" applyFill="1" applyFont="1">
      <alignment horizontal="right" readingOrder="0" vertical="bottom"/>
    </xf>
    <xf borderId="45" fillId="3" fontId="26" numFmtId="3" xfId="0" applyAlignment="1" applyBorder="1" applyFill="1" applyFont="1" applyNumberFormat="1">
      <alignment horizontal="right" readingOrder="0" vertical="bottom"/>
    </xf>
    <xf borderId="14" fillId="0" fontId="4" numFmtId="9" xfId="0" applyAlignment="1" applyBorder="1" applyFont="1" applyNumberFormat="1">
      <alignment horizontal="right" vertical="bottom"/>
    </xf>
    <xf borderId="8" fillId="0" fontId="7" numFmtId="0" xfId="0" applyAlignment="1" applyBorder="1" applyFont="1">
      <alignment horizontal="center"/>
    </xf>
    <xf borderId="46" fillId="3" fontId="26" numFmtId="3" xfId="0" applyAlignment="1" applyBorder="1" applyFill="1" applyFont="1" applyNumberFormat="1">
      <alignment horizontal="right" readingOrder="0" vertical="bottom"/>
    </xf>
    <xf borderId="5" fillId="0" fontId="4" numFmtId="9" xfId="0" applyAlignment="1" applyBorder="1" applyFont="1" applyNumberFormat="1">
      <alignment horizontal="right" vertical="bottom"/>
    </xf>
    <xf borderId="0" fillId="0" fontId="7" numFmtId="0" xfId="0" applyAlignment="1" applyFont="1">
      <alignment horizontal="center"/>
    </xf>
    <xf borderId="9" fillId="0" fontId="7" numFmtId="0" xfId="0" applyAlignment="1" applyBorder="1" applyFont="1">
      <alignment horizontal="center"/>
    </xf>
    <xf borderId="8" fillId="0" fontId="7" numFmtId="0" xfId="0" applyAlignment="1" applyBorder="1" applyFont="1">
      <alignment horizontal="center" shrinkToFit="0" wrapText="1"/>
    </xf>
    <xf borderId="0" fillId="0" fontId="7" numFmtId="0" xfId="0" applyAlignment="1" applyFont="1">
      <alignment horizontal="center" shrinkToFit="0" wrapText="1"/>
    </xf>
    <xf borderId="9" fillId="0" fontId="7" numFmtId="0" xfId="0" applyAlignment="1" applyBorder="1" applyFont="1">
      <alignment horizontal="center" shrinkToFit="0" wrapText="1"/>
    </xf>
    <xf borderId="8" fillId="0" fontId="7" numFmtId="3" xfId="0" applyAlignment="1" applyBorder="1" applyFont="1" applyNumberFormat="1">
      <alignment horizontal="center"/>
    </xf>
    <xf borderId="0" fillId="0" fontId="7" numFmtId="3" xfId="0" applyAlignment="1" applyFont="1" applyNumberFormat="1">
      <alignment horizontal="center"/>
    </xf>
    <xf borderId="9" fillId="0" fontId="7" numFmtId="3" xfId="0" applyAlignment="1" applyBorder="1" applyFont="1" applyNumberFormat="1">
      <alignment horizontal="center"/>
    </xf>
    <xf borderId="5" fillId="0" fontId="58" numFmtId="0" xfId="0" applyAlignment="1" applyBorder="1" applyFont="1">
      <alignment readingOrder="0" shrinkToFit="0" vertical="bottom" wrapText="0"/>
    </xf>
    <xf borderId="5" fillId="0" fontId="59" numFmtId="0" xfId="0" applyAlignment="1" applyBorder="1" applyFont="1">
      <alignment readingOrder="0" shrinkToFit="0" vertical="bottom" wrapText="1"/>
    </xf>
    <xf borderId="5" fillId="0" fontId="7" numFmtId="165" xfId="0" applyAlignment="1" applyBorder="1" applyFont="1" applyNumberFormat="1">
      <alignment horizontal="right"/>
    </xf>
    <xf borderId="23" fillId="0" fontId="7" numFmtId="167" xfId="0" applyAlignment="1" applyBorder="1" applyFont="1" applyNumberFormat="1">
      <alignment horizontal="center" readingOrder="0"/>
    </xf>
    <xf borderId="1" fillId="2" fontId="26" numFmtId="0" xfId="0" applyAlignment="1" applyBorder="1" applyFill="1" applyFont="1">
      <alignment vertical="bottom"/>
    </xf>
    <xf borderId="15" fillId="0" fontId="60" numFmtId="167" xfId="0" applyAlignment="1" applyBorder="1" applyFont="1" applyNumberFormat="1">
      <alignment horizontal="center" readingOrder="0"/>
    </xf>
    <xf borderId="2" fillId="2" fontId="26" numFmtId="0" xfId="0" applyAlignment="1" applyBorder="1" applyFill="1" applyFont="1">
      <alignment vertical="bottom"/>
    </xf>
    <xf borderId="16" fillId="0" fontId="7" numFmtId="167" xfId="0" applyAlignment="1" applyBorder="1" applyFont="1" applyNumberFormat="1">
      <alignment horizontal="center" readingOrder="0"/>
    </xf>
    <xf borderId="4" fillId="2" fontId="26" numFmtId="0" xfId="0" applyAlignment="1" applyBorder="1" applyFill="1" applyFont="1">
      <alignment vertical="bottom"/>
    </xf>
    <xf borderId="8" fillId="2" fontId="26" numFmtId="0" xfId="0" applyAlignment="1" applyBorder="1" applyFill="1" applyFont="1">
      <alignment vertical="bottom"/>
    </xf>
    <xf borderId="0" fillId="2" fontId="26" numFmtId="0" xfId="0" applyAlignment="1" applyFill="1" applyFont="1">
      <alignment vertical="bottom"/>
    </xf>
    <xf borderId="15" fillId="0" fontId="60" numFmtId="164" xfId="0" applyAlignment="1" applyBorder="1" applyFont="1" applyNumberFormat="1">
      <alignment horizontal="center" readingOrder="0"/>
    </xf>
    <xf borderId="9" fillId="2" fontId="26" numFmtId="0" xfId="0" applyAlignment="1" applyBorder="1" applyFill="1" applyFont="1">
      <alignment vertical="bottom"/>
    </xf>
    <xf borderId="8" fillId="2" fontId="1" numFmtId="0" xfId="0" applyAlignment="1" applyBorder="1" applyFill="1" applyFont="1">
      <alignment vertical="bottom"/>
    </xf>
    <xf borderId="0" fillId="2" fontId="26" numFmtId="0" xfId="0" applyAlignment="1" applyFill="1" applyFont="1">
      <alignment vertical="bottom"/>
    </xf>
    <xf borderId="13" fillId="2" fontId="26" numFmtId="0" xfId="0" applyAlignment="1" applyBorder="1" applyFill="1" applyFont="1">
      <alignment vertical="bottom"/>
    </xf>
    <xf borderId="6" fillId="3" fontId="1" numFmtId="0" xfId="0" applyAlignment="1" applyBorder="1" applyFill="1" applyFont="1">
      <alignment vertical="bottom"/>
    </xf>
    <xf borderId="6" fillId="3" fontId="26" numFmtId="9" xfId="0" applyAlignment="1" applyBorder="1" applyFill="1" applyFont="1" applyNumberFormat="1">
      <alignment vertical="bottom"/>
    </xf>
    <xf borderId="7" fillId="3" fontId="26" numFmtId="9" xfId="0" applyAlignment="1" applyBorder="1" applyFill="1" applyFont="1" applyNumberFormat="1">
      <alignment vertical="bottom"/>
    </xf>
    <xf borderId="11" fillId="3" fontId="26" numFmtId="9" xfId="0" applyAlignment="1" applyBorder="1" applyFill="1" applyFont="1" applyNumberFormat="1">
      <alignment vertical="bottom"/>
    </xf>
    <xf borderId="6" fillId="3" fontId="26" numFmtId="167" xfId="0" applyAlignment="1" applyBorder="1" applyFill="1" applyFont="1" applyNumberFormat="1">
      <alignment vertical="bottom"/>
    </xf>
    <xf borderId="7" fillId="3" fontId="26" numFmtId="164" xfId="0" applyAlignment="1" applyBorder="1" applyFill="1" applyFont="1" applyNumberFormat="1">
      <alignment vertical="bottom"/>
    </xf>
    <xf borderId="11" fillId="3" fontId="26" numFmtId="167" xfId="0" applyAlignment="1" applyBorder="1" applyFill="1" applyFont="1" applyNumberFormat="1">
      <alignment vertical="bottom"/>
    </xf>
    <xf borderId="11" fillId="3" fontId="26" numFmtId="0" xfId="0" applyAlignment="1" applyBorder="1" applyFill="1" applyFont="1">
      <alignment vertical="bottom"/>
    </xf>
    <xf borderId="6" fillId="3" fontId="26" numFmtId="3" xfId="0" applyAlignment="1" applyBorder="1" applyFill="1" applyFont="1" applyNumberFormat="1">
      <alignment vertical="bottom"/>
    </xf>
    <xf borderId="7" fillId="3" fontId="26" numFmtId="3" xfId="0" applyAlignment="1" applyBorder="1" applyFill="1" applyFont="1" applyNumberFormat="1">
      <alignment vertical="bottom"/>
    </xf>
    <xf borderId="11" fillId="3" fontId="26" numFmtId="3" xfId="0" applyAlignment="1" applyBorder="1" applyFill="1" applyFont="1" applyNumberFormat="1">
      <alignment vertical="bottom"/>
    </xf>
    <xf borderId="6" fillId="3" fontId="26" numFmtId="0" xfId="0" applyAlignment="1" applyBorder="1" applyFill="1" applyFont="1">
      <alignment vertical="bottom"/>
    </xf>
    <xf borderId="7" fillId="3" fontId="26" numFmtId="0" xfId="0" applyAlignment="1" applyBorder="1" applyFill="1" applyFont="1">
      <alignment vertical="bottom"/>
    </xf>
    <xf borderId="0" fillId="0" fontId="4" numFmtId="3" xfId="0" applyAlignment="1" applyFont="1" applyNumberFormat="1">
      <alignment horizontal="center" readingOrder="0" vertical="bottom"/>
    </xf>
    <xf borderId="0" fillId="0" fontId="26" numFmtId="3" xfId="0" applyAlignment="1" applyFont="1" applyNumberFormat="1">
      <alignment vertical="bottom"/>
    </xf>
    <xf borderId="0" fillId="0" fontId="4" numFmtId="3" xfId="0" applyAlignment="1" applyFont="1" applyNumberFormat="1">
      <alignment horizontal="center" vertical="bottom"/>
    </xf>
    <xf borderId="0" fillId="0" fontId="26" numFmtId="9" xfId="0" applyAlignment="1" applyFont="1" applyNumberFormat="1">
      <alignment vertical="bottom"/>
    </xf>
    <xf borderId="0" fillId="0" fontId="26" numFmtId="164" xfId="0" applyAlignment="1" applyFont="1" applyNumberFormat="1">
      <alignment vertical="bottom"/>
    </xf>
    <xf borderId="0" fillId="0" fontId="4" numFmtId="0" xfId="0" applyAlignment="1" applyFont="1">
      <alignment horizontal="center" vertical="bottom"/>
    </xf>
    <xf borderId="0" fillId="0" fontId="4" numFmtId="166" xfId="0" applyAlignment="1" applyFont="1" applyNumberFormat="1">
      <alignment shrinkToFit="0" vertical="bottom" wrapText="1"/>
    </xf>
    <xf borderId="25" fillId="0" fontId="4" numFmtId="3" xfId="0" applyAlignment="1" applyBorder="1" applyFont="1" applyNumberFormat="1">
      <alignment horizontal="center" vertical="bottom"/>
    </xf>
    <xf borderId="18" fillId="0" fontId="4" numFmtId="3" xfId="0" applyAlignment="1" applyBorder="1" applyFont="1" applyNumberFormat="1">
      <alignment horizontal="center" vertical="bottom"/>
    </xf>
    <xf borderId="25" fillId="0" fontId="4" numFmtId="164" xfId="0" applyAlignment="1" applyBorder="1" applyFont="1" applyNumberFormat="1">
      <alignment horizontal="center" vertical="bottom"/>
    </xf>
    <xf borderId="0" fillId="0" fontId="4" numFmtId="164" xfId="0" applyAlignment="1" applyFont="1" applyNumberFormat="1">
      <alignment horizontal="center" vertical="bottom"/>
    </xf>
    <xf borderId="25" fillId="0" fontId="7" numFmtId="10" xfId="0" applyAlignment="1" applyBorder="1" applyFont="1" applyNumberFormat="1">
      <alignment horizontal="center" readingOrder="0"/>
    </xf>
    <xf borderId="18" fillId="0" fontId="4" numFmtId="164" xfId="0" applyAlignment="1" applyBorder="1" applyFont="1" applyNumberFormat="1">
      <alignment horizontal="center" vertical="bottom"/>
    </xf>
    <xf borderId="17" fillId="0" fontId="60" numFmtId="10" xfId="0" applyAlignment="1" applyBorder="1" applyFont="1" applyNumberFormat="1">
      <alignment horizontal="center" readingOrder="0"/>
    </xf>
    <xf borderId="18" fillId="0" fontId="7" numFmtId="10" xfId="0" applyAlignment="1" applyBorder="1" applyFont="1" applyNumberFormat="1">
      <alignment horizontal="center" readingOrder="0"/>
    </xf>
    <xf borderId="25" fillId="0" fontId="7" numFmtId="167" xfId="0" applyAlignment="1" applyBorder="1" applyFont="1" applyNumberFormat="1">
      <alignment horizontal="center" readingOrder="0"/>
    </xf>
    <xf borderId="17" fillId="0" fontId="60" numFmtId="164" xfId="0" applyAlignment="1" applyBorder="1" applyFont="1" applyNumberFormat="1">
      <alignment horizontal="center" readingOrder="0"/>
    </xf>
    <xf borderId="18" fillId="0" fontId="7" numFmtId="167" xfId="0" applyAlignment="1" applyBorder="1" applyFont="1" applyNumberFormat="1">
      <alignment horizontal="center" readingOrder="0"/>
    </xf>
    <xf borderId="0" fillId="0" fontId="4" numFmtId="10" xfId="0" applyAlignment="1" applyFont="1" applyNumberFormat="1">
      <alignment horizontal="right" vertical="bottom"/>
    </xf>
    <xf borderId="17" fillId="0" fontId="4" numFmtId="3" xfId="0" applyAlignment="1" applyBorder="1" applyFont="1" applyNumberFormat="1">
      <alignment horizontal="center" vertical="bottom"/>
    </xf>
    <xf borderId="17" fillId="0" fontId="4" numFmtId="164" xfId="0" applyAlignment="1" applyBorder="1" applyFont="1" applyNumberFormat="1">
      <alignment horizontal="center" vertical="bottom"/>
    </xf>
    <xf borderId="25" fillId="0" fontId="7" numFmtId="9" xfId="0" applyAlignment="1" applyBorder="1" applyFont="1" applyNumberFormat="1">
      <alignment horizontal="center" readingOrder="0"/>
    </xf>
    <xf borderId="17" fillId="0" fontId="60" numFmtId="9" xfId="0" applyAlignment="1" applyBorder="1" applyFont="1" applyNumberFormat="1">
      <alignment horizontal="center" readingOrder="0"/>
    </xf>
    <xf borderId="18" fillId="0" fontId="7" numFmtId="9" xfId="0" applyAlignment="1" applyBorder="1" applyFont="1" applyNumberFormat="1">
      <alignment horizontal="center" readingOrder="0"/>
    </xf>
    <xf borderId="13" fillId="0" fontId="4" numFmtId="0" xfId="0" applyAlignment="1" applyBorder="1" applyFont="1">
      <alignment horizontal="center"/>
    </xf>
    <xf borderId="9" fillId="0" fontId="4" numFmtId="169" xfId="0" applyAlignment="1" applyBorder="1" applyFont="1" applyNumberFormat="1">
      <alignment horizontal="right" readingOrder="0" vertical="bottom"/>
    </xf>
    <xf borderId="16" fillId="0" fontId="4" numFmtId="169" xfId="0" applyAlignment="1" applyBorder="1" applyFont="1" applyNumberFormat="1">
      <alignment horizontal="right" readingOrder="0" vertical="bottom"/>
    </xf>
    <xf borderId="23" fillId="0" fontId="4" numFmtId="3" xfId="0" applyAlignment="1" applyBorder="1" applyFont="1" applyNumberFormat="1">
      <alignment horizontal="right" vertical="bottom"/>
    </xf>
    <xf borderId="24" fillId="0" fontId="7" numFmtId="171" xfId="0" applyAlignment="1" applyBorder="1" applyFont="1" applyNumberFormat="1">
      <alignment horizontal="right" readingOrder="0"/>
    </xf>
    <xf borderId="17" fillId="0" fontId="7" numFmtId="171" xfId="0" applyAlignment="1" applyBorder="1" applyFont="1" applyNumberFormat="1">
      <alignment horizontal="right"/>
    </xf>
    <xf borderId="20" fillId="0" fontId="3" numFmtId="0" xfId="0" applyAlignment="1" applyBorder="1" applyFont="1">
      <alignment readingOrder="0" shrinkToFit="0" vertical="bottom" wrapText="1"/>
    </xf>
    <xf borderId="21" fillId="0" fontId="1" numFmtId="0" xfId="0" applyAlignment="1" applyBorder="1" applyFont="1">
      <alignment horizontal="right" readingOrder="0" vertical="bottom"/>
    </xf>
    <xf borderId="26" fillId="0" fontId="3" numFmtId="164" xfId="0" applyAlignment="1" applyBorder="1" applyFont="1" applyNumberFormat="1">
      <alignment horizontal="right" readingOrder="0"/>
    </xf>
    <xf borderId="0" fillId="0" fontId="61" numFmtId="0" xfId="0" applyAlignment="1" applyFont="1">
      <alignment readingOrder="0" shrinkToFit="0" vertical="bottom" wrapText="1"/>
    </xf>
    <xf borderId="9" fillId="0" fontId="1" numFmtId="0" xfId="0" applyAlignment="1" applyBorder="1" applyFont="1">
      <alignment horizontal="right" readingOrder="0" vertical="bottom"/>
    </xf>
    <xf borderId="10" fillId="0" fontId="3" numFmtId="164" xfId="0" applyAlignment="1" applyBorder="1" applyFont="1" applyNumberFormat="1">
      <alignment horizontal="right" readingOrder="0"/>
    </xf>
    <xf borderId="0" fillId="0" fontId="61" numFmtId="164" xfId="0" applyAlignment="1" applyFont="1" applyNumberFormat="1">
      <alignment horizontal="right" readingOrder="0"/>
    </xf>
    <xf borderId="27" fillId="0" fontId="7" numFmtId="9" xfId="0" applyAlignment="1" applyBorder="1" applyFont="1" applyNumberFormat="1">
      <alignment horizontal="center" readingOrder="0"/>
    </xf>
    <xf borderId="17" fillId="0" fontId="26" numFmtId="3" xfId="0" applyAlignment="1" applyBorder="1" applyFont="1" applyNumberFormat="1">
      <alignment vertical="bottom"/>
    </xf>
    <xf borderId="20" fillId="0" fontId="60" numFmtId="9" xfId="0" applyAlignment="1" applyBorder="1" applyFont="1" applyNumberFormat="1">
      <alignment horizontal="center" readingOrder="0"/>
    </xf>
    <xf borderId="21" fillId="0" fontId="7" numFmtId="9" xfId="0" applyAlignment="1" applyBorder="1" applyFont="1" applyNumberFormat="1">
      <alignment horizontal="center" readingOrder="0"/>
    </xf>
    <xf borderId="17" fillId="0" fontId="7" numFmtId="0" xfId="0" applyAlignment="1" applyBorder="1" applyFont="1">
      <alignment readingOrder="0" shrinkToFit="0" vertical="bottom" wrapText="1"/>
    </xf>
    <xf borderId="27" fillId="0" fontId="7" numFmtId="9" xfId="0" applyAlignment="1" applyBorder="1" applyFont="1" applyNumberFormat="1">
      <alignment horizontal="center" readingOrder="0" shrinkToFit="0" wrapText="1"/>
    </xf>
    <xf borderId="21" fillId="0" fontId="7" numFmtId="9" xfId="0" applyAlignment="1" applyBorder="1" applyFont="1" applyNumberFormat="1">
      <alignment horizontal="center" readingOrder="0" shrinkToFit="0" wrapText="1"/>
    </xf>
    <xf borderId="27" fillId="0" fontId="7" numFmtId="167" xfId="0" applyAlignment="1" applyBorder="1" applyFont="1" applyNumberFormat="1">
      <alignment horizontal="center" readingOrder="0" shrinkToFit="0" wrapText="1"/>
    </xf>
    <xf borderId="20" fillId="0" fontId="60" numFmtId="164" xfId="0" applyAlignment="1" applyBorder="1" applyFont="1" applyNumberFormat="1">
      <alignment horizontal="center" readingOrder="0"/>
    </xf>
    <xf borderId="21" fillId="0" fontId="7" numFmtId="167" xfId="0" applyAlignment="1" applyBorder="1" applyFont="1" applyNumberFormat="1">
      <alignment horizontal="center" readingOrder="0" shrinkToFit="0" wrapText="1"/>
    </xf>
    <xf borderId="14" fillId="0" fontId="4" numFmtId="0" xfId="0" applyAlignment="1" applyBorder="1" applyFont="1">
      <alignment horizontal="right" vertical="bottom"/>
    </xf>
    <xf borderId="0" fillId="0" fontId="60" numFmtId="0" xfId="0" applyAlignment="1" applyFont="1">
      <alignment horizontal="center"/>
    </xf>
    <xf borderId="0" fillId="0" fontId="60" numFmtId="164" xfId="0" applyAlignment="1" applyFont="1" applyNumberFormat="1">
      <alignment horizontal="center"/>
    </xf>
    <xf borderId="8" fillId="0" fontId="38" numFmtId="0" xfId="0" applyAlignment="1" applyBorder="1" applyFont="1">
      <alignment horizontal="center"/>
    </xf>
    <xf borderId="0" fillId="0" fontId="62" numFmtId="0" xfId="0" applyAlignment="1" applyFont="1">
      <alignment horizontal="center"/>
    </xf>
    <xf borderId="9" fillId="0" fontId="38" numFmtId="0" xfId="0" applyAlignment="1" applyBorder="1" applyFont="1">
      <alignment horizontal="center"/>
    </xf>
    <xf borderId="0" fillId="0" fontId="62" numFmtId="164" xfId="0" applyAlignment="1" applyFont="1" applyNumberFormat="1">
      <alignment horizontal="center"/>
    </xf>
    <xf borderId="23" fillId="0" fontId="7" numFmtId="9" xfId="0" applyAlignment="1" applyBorder="1" applyFont="1" applyNumberFormat="1">
      <alignment horizontal="center" readingOrder="0"/>
    </xf>
    <xf borderId="15" fillId="0" fontId="60" numFmtId="9" xfId="0" applyAlignment="1" applyBorder="1" applyFont="1" applyNumberFormat="1">
      <alignment horizontal="center" readingOrder="0"/>
    </xf>
    <xf borderId="16" fillId="0" fontId="7" numFmtId="9" xfId="0" applyAlignment="1" applyBorder="1" applyFont="1" applyNumberFormat="1">
      <alignment horizontal="center" readingOrder="0"/>
    </xf>
    <xf borderId="5" fillId="0" fontId="7" numFmtId="0" xfId="0" applyAlignment="1" applyBorder="1" applyFont="1">
      <alignment shrinkToFit="0" vertical="bottom" wrapText="1"/>
    </xf>
    <xf borderId="41" fillId="0" fontId="26" numFmtId="0" xfId="0" applyAlignment="1" applyBorder="1" applyFont="1">
      <alignment readingOrder="0" vertical="bottom"/>
    </xf>
    <xf borderId="10" fillId="0" fontId="26" numFmtId="0" xfId="0" applyAlignment="1" applyBorder="1" applyFont="1">
      <alignment readingOrder="0" vertical="bottom"/>
    </xf>
    <xf borderId="10" fillId="0" fontId="26" numFmtId="3" xfId="0" applyAlignment="1" applyBorder="1" applyFont="1" applyNumberFormat="1">
      <alignment readingOrder="0" vertical="bottom"/>
    </xf>
    <xf borderId="31" fillId="0" fontId="26" numFmtId="3" xfId="0" applyAlignment="1" applyBorder="1" applyFont="1" applyNumberFormat="1">
      <alignment readingOrder="0" vertical="bottom"/>
    </xf>
    <xf borderId="21" fillId="0" fontId="26" numFmtId="0" xfId="0" applyAlignment="1" applyBorder="1" applyFont="1">
      <alignment vertical="bottom"/>
    </xf>
    <xf borderId="41" fillId="3" fontId="26" numFmtId="0" xfId="0" applyAlignment="1" applyBorder="1" applyFill="1" applyFont="1">
      <alignment vertical="bottom"/>
    </xf>
    <xf borderId="9" fillId="3" fontId="26" numFmtId="0" xfId="0" applyAlignment="1" applyBorder="1" applyFill="1" applyFont="1">
      <alignment vertical="bottom"/>
    </xf>
    <xf borderId="9" fillId="3" fontId="26" numFmtId="0" xfId="0" applyAlignment="1" applyBorder="1" applyFill="1" applyFont="1">
      <alignment horizontal="right" vertical="bottom"/>
    </xf>
    <xf borderId="41" fillId="4" fontId="26" numFmtId="0" xfId="0" applyAlignment="1" applyBorder="1" applyFill="1" applyFont="1">
      <alignment vertical="bottom"/>
    </xf>
    <xf borderId="9" fillId="4" fontId="26" numFmtId="0" xfId="0" applyAlignment="1" applyBorder="1" applyFill="1" applyFont="1">
      <alignment vertical="bottom"/>
    </xf>
    <xf borderId="9" fillId="4" fontId="26" numFmtId="0" xfId="0" applyAlignment="1" applyBorder="1" applyFill="1" applyFont="1">
      <alignment horizontal="right" vertical="bottom"/>
    </xf>
    <xf borderId="27" fillId="0" fontId="7" numFmtId="167" xfId="0" applyAlignment="1" applyBorder="1" applyFont="1" applyNumberFormat="1">
      <alignment horizontal="center" readingOrder="0"/>
    </xf>
    <xf borderId="18" fillId="0" fontId="63" numFmtId="3" xfId="0" applyAlignment="1" applyBorder="1" applyFont="1" applyNumberFormat="1">
      <alignment horizontal="center" vertical="bottom"/>
    </xf>
    <xf borderId="21" fillId="0" fontId="7" numFmtId="167" xfId="0" applyAlignment="1" applyBorder="1" applyFont="1" applyNumberFormat="1">
      <alignment horizontal="center" readingOrder="0"/>
    </xf>
    <xf borderId="8" fillId="0" fontId="26" numFmtId="0" xfId="0" applyAlignment="1" applyBorder="1" applyFont="1">
      <alignment vertical="bottom"/>
    </xf>
    <xf borderId="8" fillId="0" fontId="7" numFmtId="0" xfId="0" applyAlignment="1" applyBorder="1" applyFont="1">
      <alignment horizontal="center" vertical="bottom"/>
    </xf>
    <xf borderId="0" fillId="0" fontId="7" numFmtId="0" xfId="0" applyAlignment="1" applyFont="1">
      <alignment horizontal="center" vertical="bottom"/>
    </xf>
    <xf borderId="9" fillId="0" fontId="7" numFmtId="0" xfId="0" applyAlignment="1" applyBorder="1" applyFont="1">
      <alignment horizontal="center" vertical="bottom"/>
    </xf>
    <xf borderId="9" fillId="0" fontId="7" numFmtId="0" xfId="0" applyAlignment="1" applyBorder="1" applyFont="1">
      <alignment horizontal="right" vertical="bottom"/>
    </xf>
    <xf borderId="6" fillId="3" fontId="1" numFmtId="0" xfId="0" applyAlignment="1" applyBorder="1" applyFill="1" applyFont="1">
      <alignment readingOrder="0" vertical="bottom"/>
    </xf>
    <xf borderId="6" fillId="3" fontId="26" numFmtId="164" xfId="0" applyAlignment="1" applyBorder="1" applyFill="1" applyFont="1" applyNumberFormat="1">
      <alignment vertical="bottom"/>
    </xf>
    <xf borderId="11" fillId="3" fontId="26" numFmtId="164" xfId="0" applyAlignment="1" applyBorder="1" applyFill="1" applyFont="1" applyNumberFormat="1">
      <alignment vertical="bottom"/>
    </xf>
    <xf borderId="6" fillId="3" fontId="1" numFmtId="0" xfId="0" applyAlignment="1" applyBorder="1" applyFill="1" applyFont="1">
      <alignment vertical="bottom"/>
    </xf>
    <xf borderId="8" fillId="0" fontId="26" numFmtId="166" xfId="0" applyAlignment="1" applyBorder="1" applyFont="1" applyNumberFormat="1">
      <alignment vertical="bottom"/>
    </xf>
    <xf borderId="0" fillId="0" fontId="26" numFmtId="166" xfId="0" applyAlignment="1" applyFont="1" applyNumberFormat="1">
      <alignment vertical="bottom"/>
    </xf>
    <xf borderId="15" fillId="0" fontId="4" numFmtId="166" xfId="0" applyAlignment="1" applyBorder="1" applyFont="1" applyNumberFormat="1">
      <alignment shrinkToFit="0" vertical="bottom" wrapText="1"/>
    </xf>
    <xf borderId="23" fillId="0" fontId="4" numFmtId="166" xfId="0" applyAlignment="1" applyBorder="1" applyFont="1" applyNumberFormat="1">
      <alignment horizontal="center" vertical="bottom"/>
    </xf>
    <xf borderId="15" fillId="0" fontId="60" numFmtId="166" xfId="0" applyAlignment="1" applyBorder="1" applyFont="1" applyNumberFormat="1">
      <alignment horizontal="center" vertical="bottom"/>
    </xf>
    <xf borderId="16" fillId="0" fontId="4" numFmtId="166" xfId="0" applyAlignment="1" applyBorder="1" applyFont="1" applyNumberFormat="1">
      <alignment horizontal="center" vertical="bottom"/>
    </xf>
    <xf borderId="15" fillId="0" fontId="60" numFmtId="166" xfId="0" applyAlignment="1" applyBorder="1" applyFont="1" applyNumberFormat="1">
      <alignment horizontal="center" readingOrder="0" vertical="bottom"/>
    </xf>
    <xf borderId="16" fillId="0" fontId="26" numFmtId="166" xfId="0" applyAlignment="1" applyBorder="1" applyFont="1" applyNumberFormat="1">
      <alignment vertical="bottom"/>
    </xf>
    <xf borderId="23" fillId="0" fontId="4" numFmtId="167" xfId="0" applyAlignment="1" applyBorder="1" applyFont="1" applyNumberFormat="1">
      <alignment horizontal="center" vertical="bottom"/>
    </xf>
    <xf borderId="15" fillId="0" fontId="60" numFmtId="167" xfId="0" applyAlignment="1" applyBorder="1" applyFont="1" applyNumberFormat="1">
      <alignment horizontal="center" vertical="bottom"/>
    </xf>
    <xf borderId="16" fillId="0" fontId="4" numFmtId="167" xfId="0" applyAlignment="1" applyBorder="1" applyFont="1" applyNumberFormat="1">
      <alignment horizontal="center" vertical="bottom"/>
    </xf>
    <xf borderId="16" fillId="0" fontId="26" numFmtId="0" xfId="0" applyAlignment="1" applyBorder="1" applyFont="1">
      <alignment vertical="bottom"/>
    </xf>
    <xf borderId="15" fillId="0" fontId="60" numFmtId="9" xfId="0" applyAlignment="1" applyBorder="1" applyFont="1" applyNumberFormat="1">
      <alignment horizontal="center" vertical="bottom"/>
    </xf>
    <xf borderId="23" fillId="0" fontId="4" numFmtId="10" xfId="0" applyAlignment="1" applyBorder="1" applyFont="1" applyNumberFormat="1">
      <alignment horizontal="center" vertical="bottom"/>
    </xf>
    <xf borderId="15" fillId="0" fontId="60" numFmtId="10" xfId="0" applyAlignment="1" applyBorder="1" applyFont="1" applyNumberFormat="1">
      <alignment horizontal="center" vertical="bottom"/>
    </xf>
    <xf borderId="16" fillId="0" fontId="4" numFmtId="10" xfId="0" applyAlignment="1" applyBorder="1" applyFont="1" applyNumberFormat="1">
      <alignment horizontal="center" vertical="bottom"/>
    </xf>
    <xf borderId="23" fillId="0" fontId="4" numFmtId="9" xfId="0" applyAlignment="1" applyBorder="1" applyFont="1" applyNumberFormat="1">
      <alignment horizontal="center" vertical="bottom"/>
    </xf>
    <xf borderId="16" fillId="0" fontId="4" numFmtId="9" xfId="0" applyAlignment="1" applyBorder="1" applyFont="1" applyNumberFormat="1">
      <alignment horizontal="center" vertical="bottom"/>
    </xf>
    <xf borderId="15" fillId="0" fontId="60" numFmtId="9" xfId="0" applyAlignment="1" applyBorder="1" applyFont="1" applyNumberFormat="1">
      <alignment horizontal="center" readingOrder="0" vertical="bottom"/>
    </xf>
    <xf borderId="15" fillId="0" fontId="60" numFmtId="171" xfId="0" applyAlignment="1" applyBorder="1" applyFont="1" applyNumberFormat="1">
      <alignment horizontal="center" readingOrder="0" vertical="bottom"/>
    </xf>
    <xf borderId="15" fillId="0" fontId="60" numFmtId="3" xfId="0" applyAlignment="1" applyBorder="1" applyFont="1" applyNumberFormat="1">
      <alignment horizontal="center" vertical="bottom"/>
    </xf>
    <xf borderId="15" fillId="0" fontId="60" numFmtId="171" xfId="0" applyAlignment="1" applyBorder="1" applyFont="1" applyNumberFormat="1">
      <alignment horizontal="center" vertical="bottom"/>
    </xf>
    <xf borderId="8" fillId="0" fontId="26" numFmtId="9" xfId="0" applyAlignment="1" applyBorder="1" applyFont="1" applyNumberFormat="1">
      <alignment vertical="bottom"/>
    </xf>
    <xf borderId="9" fillId="0" fontId="26" numFmtId="9" xfId="0" applyAlignment="1" applyBorder="1" applyFont="1" applyNumberFormat="1">
      <alignment vertical="bottom"/>
    </xf>
    <xf borderId="12" fillId="0" fontId="26" numFmtId="0" xfId="0" applyAlignment="1" applyBorder="1" applyFont="1">
      <alignment vertical="bottom"/>
    </xf>
    <xf borderId="5" fillId="0" fontId="38" numFmtId="0" xfId="0" applyBorder="1" applyFont="1"/>
    <xf borderId="13" fillId="0" fontId="38" numFmtId="0" xfId="0" applyBorder="1" applyFont="1"/>
    <xf borderId="42" fillId="4" fontId="26" numFmtId="0" xfId="0" applyAlignment="1" applyBorder="1" applyFill="1" applyFont="1">
      <alignment vertical="bottom"/>
    </xf>
    <xf borderId="45" fillId="4" fontId="26" numFmtId="0" xfId="0" applyAlignment="1" applyBorder="1" applyFill="1" applyFont="1">
      <alignment vertical="bottom"/>
    </xf>
    <xf borderId="45" fillId="4" fontId="26" numFmtId="0" xfId="0" applyAlignment="1" applyBorder="1" applyFill="1" applyFont="1">
      <alignment horizontal="right" vertical="bottom"/>
    </xf>
    <xf borderId="45" fillId="4" fontId="26" numFmtId="3" xfId="0" applyAlignment="1" applyBorder="1" applyFill="1" applyFont="1" applyNumberFormat="1">
      <alignment horizontal="right" vertical="bottom"/>
    </xf>
    <xf borderId="46" fillId="4" fontId="26" numFmtId="3" xfId="0" applyAlignment="1" applyBorder="1" applyFill="1" applyFont="1" applyNumberFormat="1">
      <alignment horizontal="right" vertical="bottom"/>
    </xf>
    <xf borderId="5" fillId="0" fontId="26" numFmtId="0" xfId="0" applyAlignment="1" applyBorder="1" applyFont="1">
      <alignment vertical="bottom"/>
    </xf>
    <xf borderId="5" fillId="0" fontId="26" numFmtId="3" xfId="0" applyAlignment="1" applyBorder="1" applyFont="1" applyNumberFormat="1">
      <alignment vertical="bottom"/>
    </xf>
  </cellXfs>
  <cellStyles count="1">
    <cellStyle xfId="0" name="Normal" builtinId="0"/>
  </cellStyles>
  <dxfs count="4">
    <dxf>
      <font/>
      <fill>
        <patternFill patternType="none"/>
      </fill>
      <border/>
    </dxf>
    <dxf>
      <font/>
      <fill>
        <patternFill patternType="solid">
          <fgColor rgb="FFBAD2DE"/>
          <bgColor rgb="FFBAD2DE"/>
        </patternFill>
      </fill>
      <border/>
    </dxf>
    <dxf>
      <font/>
      <fill>
        <patternFill patternType="solid">
          <fgColor rgb="FFFFFFFF"/>
          <bgColor rgb="FFFFFFFF"/>
        </patternFill>
      </fill>
      <border/>
    </dxf>
    <dxf>
      <font/>
      <fill>
        <patternFill patternType="solid">
          <fgColor rgb="FFE8F0F4"/>
          <bgColor rgb="FFE8F0F4"/>
        </patternFill>
      </fill>
      <border/>
    </dxf>
  </dxfs>
  <tableStyles count="7">
    <tableStyle count="3" pivot="0" name="GBD estimates-style">
      <tableStyleElement dxfId="1" type="headerRow"/>
      <tableStyleElement dxfId="2" type="firstRowStripe"/>
      <tableStyleElement dxfId="3" type="secondRowStripe"/>
    </tableStyle>
    <tableStyle count="3" pivot="0" name="GBD estimates-style 2">
      <tableStyleElement dxfId="1" type="headerRow"/>
      <tableStyleElement dxfId="2" type="firstRowStripe"/>
      <tableStyleElement dxfId="3" type="secondRowStripe"/>
    </tableStyle>
    <tableStyle count="3" pivot="0" name="GBD estimates-style 3">
      <tableStyleElement dxfId="1" type="headerRow"/>
      <tableStyleElement dxfId="2" type="firstRowStripe"/>
      <tableStyleElement dxfId="3" type="secondRowStripe"/>
    </tableStyle>
    <tableStyle count="3" pivot="0" name="GBD estimates-style 4">
      <tableStyleElement dxfId="1" type="headerRow"/>
      <tableStyleElement dxfId="2" type="firstRowStripe"/>
      <tableStyleElement dxfId="3" type="secondRowStripe"/>
    </tableStyle>
    <tableStyle count="3" pivot="0" name="GBD estimates-style 5">
      <tableStyleElement dxfId="1" type="headerRow"/>
      <tableStyleElement dxfId="2" type="firstRowStripe"/>
      <tableStyleElement dxfId="3" type="secondRowStripe"/>
    </tableStyle>
    <tableStyle count="3" pivot="0" name="GBD estimates-style 6">
      <tableStyleElement dxfId="1" type="headerRow"/>
      <tableStyleElement dxfId="2" type="firstRowStripe"/>
      <tableStyleElement dxfId="3" type="secondRowStripe"/>
    </tableStyle>
    <tableStyle count="3" pivot="0" name="GBD estimates-style 7">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3:J258" displayName="Table_1" name="Table_1" id="1">
  <tableColumns count="9">
    <tableColumn name="Location" id="1"/>
    <tableColumn name="Sex" id="2"/>
    <tableColumn name="Age group" id="3"/>
    <tableColumn name="Year" id="4"/>
    <tableColumn name="Measure" id="5"/>
    <tableColumn name="Metric" id="6"/>
    <tableColumn name="val" id="7"/>
    <tableColumn name="upper" id="8"/>
    <tableColumn name="lower" id="9"/>
  </tableColumns>
  <tableStyleInfo name="GBD estimates-style" showColumnStripes="0" showFirstColumn="1" showLastColumn="1" showRowStripes="1"/>
</table>
</file>

<file path=xl/tables/table2.xml><?xml version="1.0" encoding="utf-8"?>
<table xmlns="http://schemas.openxmlformats.org/spreadsheetml/2006/main" ref="L3:U309" displayName="Table_2" name="Table_2" id="2">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2" showColumnStripes="0" showFirstColumn="1" showLastColumn="1" showRowStripes="1"/>
</table>
</file>

<file path=xl/tables/table3.xml><?xml version="1.0" encoding="utf-8"?>
<table xmlns="http://schemas.openxmlformats.org/spreadsheetml/2006/main" ref="W3:AF54" displayName="Table_3" name="Table_3" id="3">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3" showColumnStripes="0" showFirstColumn="1" showLastColumn="1" showRowStripes="1"/>
</table>
</file>

<file path=xl/tables/table4.xml><?xml version="1.0" encoding="utf-8"?>
<table xmlns="http://schemas.openxmlformats.org/spreadsheetml/2006/main" ref="AH3:AQ105" displayName="Table_4" name="Table_4" id="4">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4" showColumnStripes="0" showFirstColumn="1" showLastColumn="1" showRowStripes="1"/>
</table>
</file>

<file path=xl/tables/table5.xml><?xml version="1.0" encoding="utf-8"?>
<table xmlns="http://schemas.openxmlformats.org/spreadsheetml/2006/main" ref="AS3:BD151" displayName="Table_5" name="Table_5" id="5">
  <tableColumns count="12">
    <tableColumn name="Condition" id="1"/>
    <tableColumn name="Sex" id="2"/>
    <tableColumn name="Age" id="3"/>
    <tableColumn name="Location" id="4"/>
    <tableColumn name="Measure" id="5"/>
    <tableColumn name="Unit" id="6"/>
    <tableColumn name="Forecast Scenario" id="7"/>
    <tableColumn name="Year" id="8"/>
    <tableColumn name="Value" id="9"/>
    <tableColumn name="Lower" id="10"/>
    <tableColumn name="Upper" id="11"/>
    <tableColumn name="Data Suite" id="12"/>
  </tableColumns>
  <tableStyleInfo name="GBD estimates-style 5" showColumnStripes="0" showFirstColumn="1" showLastColumn="1" showRowStripes="1"/>
</table>
</file>

<file path=xl/tables/table6.xml><?xml version="1.0" encoding="utf-8"?>
<table xmlns="http://schemas.openxmlformats.org/spreadsheetml/2006/main" ref="BF3:BQ40" displayName="Table_6" name="Table_6" id="6">
  <tableColumns count="12">
    <tableColumn name="Condition" id="1"/>
    <tableColumn name="Sex" id="2"/>
    <tableColumn name="Age" id="3"/>
    <tableColumn name="Location" id="4"/>
    <tableColumn name="Measure" id="5"/>
    <tableColumn name="Unit" id="6"/>
    <tableColumn name="Forecast Scenario" id="7"/>
    <tableColumn name="Year" id="8"/>
    <tableColumn name="Value" id="9"/>
    <tableColumn name="Lower" id="10"/>
    <tableColumn name="Upper" id="11"/>
    <tableColumn name="Data Suite" id="12"/>
  </tableColumns>
  <tableStyleInfo name="GBD estimates-style 6" showColumnStripes="0" showFirstColumn="1" showLastColumn="1" showRowStripes="1"/>
</table>
</file>

<file path=xl/tables/table7.xml><?xml version="1.0" encoding="utf-8"?>
<table xmlns="http://schemas.openxmlformats.org/spreadsheetml/2006/main" ref="BS3:CD77" displayName="Table_7" name="Table_7" id="7">
  <tableColumns count="12">
    <tableColumn name="Condition" id="1"/>
    <tableColumn name="Sex" id="2"/>
    <tableColumn name="Age" id="3"/>
    <tableColumn name="Location" id="4"/>
    <tableColumn name="Measure" id="5"/>
    <tableColumn name="Unit" id="6"/>
    <tableColumn name="Forecast Scenario" id="7"/>
    <tableColumn name="Year" id="8"/>
    <tableColumn name="Value" id="9"/>
    <tableColumn name="Lower" id="10"/>
    <tableColumn name="Upper" id="11"/>
    <tableColumn name="Data Suite" id="12"/>
  </tableColumns>
  <tableStyleInfo name="GBD estimates-style 7"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o0l0xucYBa8rjVKwDHh_K5PZTN6GeoenaKz77bTMXa4/edit?gid=1110574950" TargetMode="External"/><Relationship Id="rId10" Type="http://schemas.openxmlformats.org/officeDocument/2006/relationships/hyperlink" Target="https://docs.google.com/spreadsheets/d/1YgMgML21RLKFHb0QlHphR-KwfJiukMdlIJ7Oub_TyQE/edit?usp=sharing" TargetMode="External"/><Relationship Id="rId13" Type="http://schemas.openxmlformats.org/officeDocument/2006/relationships/hyperlink" Target="https://docs.google.com/spreadsheets/d/1W-_XtJPo2OYKyCdJ2Iyih_n2nCcQC5WSpEKNzfC2cwo/edit?usp=sharing" TargetMode="External"/><Relationship Id="rId12" Type="http://schemas.openxmlformats.org/officeDocument/2006/relationships/hyperlink" Target="https://docs.google.com/spreadsheets/d/1zl2r2tHhzkWBSTZJwfinBWaEBnfBn5EsKAIK_gsDMmg/edit?usp=sharing" TargetMode="External"/><Relationship Id="rId1" Type="http://schemas.openxmlformats.org/officeDocument/2006/relationships/hyperlink" Target="https://docs.google.com/spreadsheets/d/1kSHc9_cwCgGHZVhKkcKsHtMCMX5kDJYp_y11p_AzZzk/edit?usp=sharing" TargetMode="External"/><Relationship Id="rId2" Type="http://schemas.openxmlformats.org/officeDocument/2006/relationships/hyperlink" Target="https://docs.google.com/spreadsheets/d/1RouC2tjslAYJjB8Y4iLKAiU_9Zbu6ziZr8hFgAjDZ4k/edit?usp=sharing" TargetMode="External"/><Relationship Id="rId3" Type="http://schemas.openxmlformats.org/officeDocument/2006/relationships/hyperlink" Target="https://docs.google.com/spreadsheets/d/1y0xZlu9CFNOgDSlARiXAByw3lyjl4gexGISLn_Df7eA/edit?usp=sharing" TargetMode="External"/><Relationship Id="rId4" Type="http://schemas.openxmlformats.org/officeDocument/2006/relationships/hyperlink" Target="https://docs.google.com/spreadsheets/d/1ejSZi2yXY180qnKXbslvdSTd_tWtrqB1u-P38Q7sHg8/edit?usp=sharing" TargetMode="External"/><Relationship Id="rId9" Type="http://schemas.openxmlformats.org/officeDocument/2006/relationships/hyperlink" Target="https://docs.google.com/spreadsheets/d/112uuyYt6QLRZuJojwz6fHv4JQ-GHNeIpiT-SauY3kmM/edit" TargetMode="External"/><Relationship Id="rId14" Type="http://schemas.openxmlformats.org/officeDocument/2006/relationships/drawing" Target="../drawings/drawing1.xml"/><Relationship Id="rId5" Type="http://schemas.openxmlformats.org/officeDocument/2006/relationships/hyperlink" Target="https://docs.google.com/spreadsheets/d/1zeVV1nDmM6CnvPK36fRGpujYxIMvPJUHruHwNA_KnXQ/edit" TargetMode="External"/><Relationship Id="rId6" Type="http://schemas.openxmlformats.org/officeDocument/2006/relationships/hyperlink" Target="https://docs.google.com/spreadsheets/d/1f6TlKJwK5EdciP_cEitTJMZ8Ba3HwGQrXvgdPMLfrlA/edit" TargetMode="External"/><Relationship Id="rId7" Type="http://schemas.openxmlformats.org/officeDocument/2006/relationships/hyperlink" Target="https://docs.google.com/spreadsheets/d/15o_-wl_wkqioHpWufcnfBFAZaKswrHOSAt5YB6ec4DM/edit" TargetMode="External"/><Relationship Id="rId8" Type="http://schemas.openxmlformats.org/officeDocument/2006/relationships/hyperlink" Target="https://docs.google.com/spreadsheets/d/1GAcGQSyBQxcB6oGJFGGWCYqwY-jW7oahJJK-cTZOkMc/edit"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0" Type="http://schemas.openxmlformats.org/officeDocument/2006/relationships/hyperlink" Target="https://docs.google.com/spreadsheets/d/1YgMgML21RLKFHb0QlHphR-KwfJiukMdlIJ7Oub_TyQE/edit?usp=sharing" TargetMode="External"/><Relationship Id="rId22" Type="http://schemas.openxmlformats.org/officeDocument/2006/relationships/hyperlink" Target="https://docs.google.com/spreadsheets/d/1YgMgML21RLKFHb0QlHphR-KwfJiukMdlIJ7Oub_TyQE/edit?usp=sharing" TargetMode="External"/><Relationship Id="rId21" Type="http://schemas.openxmlformats.org/officeDocument/2006/relationships/hyperlink" Target="https://docs.google.com/spreadsheets/d/1YgMgML21RLKFHb0QlHphR-KwfJiukMdlIJ7Oub_TyQE/edit?usp=sharing" TargetMode="External"/><Relationship Id="rId24" Type="http://schemas.openxmlformats.org/officeDocument/2006/relationships/hyperlink" Target="https://docs.google.com/spreadsheets/d/1YgMgML21RLKFHb0QlHphR-KwfJiukMdlIJ7Oub_TyQE/edit?usp=sharing" TargetMode="External"/><Relationship Id="rId23" Type="http://schemas.openxmlformats.org/officeDocument/2006/relationships/hyperlink" Target="https://docs.google.com/spreadsheets/d/1YgMgML21RLKFHb0QlHphR-KwfJiukMdlIJ7Oub_TyQE/edit?usp=sharing" TargetMode="External"/><Relationship Id="rId1" Type="http://schemas.openxmlformats.org/officeDocument/2006/relationships/comments" Target="../comments4.xml"/><Relationship Id="rId2" Type="http://schemas.openxmlformats.org/officeDocument/2006/relationships/hyperlink" Target="https://docs.google.com/spreadsheets/d/1kSHc9_cwCgGHZVhKkcKsHtMCMX5kDJYp_y11p_AzZzk/edit?usp=sharing" TargetMode="External"/><Relationship Id="rId3" Type="http://schemas.openxmlformats.org/officeDocument/2006/relationships/hyperlink" Target="https://docs.google.com/spreadsheets/d/1kSHc9_cwCgGHZVhKkcKsHtMCMX5kDJYp_y11p_AzZzk/edit?usp=sharing" TargetMode="External"/><Relationship Id="rId4" Type="http://schemas.openxmlformats.org/officeDocument/2006/relationships/hyperlink" Target="https://docs.google.com/spreadsheets/d/1kSHc9_cwCgGHZVhKkcKsHtMCMX5kDJYp_y11p_AzZzk/edit?usp=sharing" TargetMode="External"/><Relationship Id="rId9" Type="http://schemas.openxmlformats.org/officeDocument/2006/relationships/hyperlink" Target="http://journals.plos.org/plosmedicine/article?id=10.1371/journal.pmed.1002175" TargetMode="External"/><Relationship Id="rId26" Type="http://schemas.openxmlformats.org/officeDocument/2006/relationships/hyperlink" Target="https://docs.google.com/spreadsheets/d/1YgMgML21RLKFHb0QlHphR-KwfJiukMdlIJ7Oub_TyQE/edit?usp=sharing" TargetMode="External"/><Relationship Id="rId25" Type="http://schemas.openxmlformats.org/officeDocument/2006/relationships/hyperlink" Target="https://docs.google.com/spreadsheets/d/1YgMgML21RLKFHb0QlHphR-KwfJiukMdlIJ7Oub_TyQE/edit?usp=sharing" TargetMode="External"/><Relationship Id="rId28" Type="http://schemas.openxmlformats.org/officeDocument/2006/relationships/hyperlink" Target="https://docs.google.com/spreadsheets/d/1YgMgML21RLKFHb0QlHphR-KwfJiukMdlIJ7Oub_TyQE/edit?usp=sharing" TargetMode="External"/><Relationship Id="rId27" Type="http://schemas.openxmlformats.org/officeDocument/2006/relationships/hyperlink" Target="https://docs.google.com/spreadsheets/d/1YgMgML21RLKFHb0QlHphR-KwfJiukMdlIJ7Oub_TyQE/edit?usp=sharing" TargetMode="External"/><Relationship Id="rId5" Type="http://schemas.openxmlformats.org/officeDocument/2006/relationships/hyperlink" Target="https://docs.google.com/spreadsheets/d/1kSHc9_cwCgGHZVhKkcKsHtMCMX5kDJYp_y11p_AzZzk/edit?usp=sharing" TargetMode="External"/><Relationship Id="rId6" Type="http://schemas.openxmlformats.org/officeDocument/2006/relationships/hyperlink" Target="https://docs.google.com/spreadsheets/d/1RouC2tjslAYJjB8Y4iLKAiU_9Zbu6ziZr8hFgAjDZ4k/edit?usp=sharing" TargetMode="External"/><Relationship Id="rId29" Type="http://schemas.openxmlformats.org/officeDocument/2006/relationships/hyperlink" Target="https://docs.google.com/spreadsheets/d/1YgMgML21RLKFHb0QlHphR-KwfJiukMdlIJ7Oub_TyQE/edit?usp=sharing" TargetMode="External"/><Relationship Id="rId7" Type="http://schemas.openxmlformats.org/officeDocument/2006/relationships/hyperlink" Target="https://www.givewell.org/international/technical/programs/seasonal-malaria-chemoprevention" TargetMode="External"/><Relationship Id="rId8" Type="http://schemas.openxmlformats.org/officeDocument/2006/relationships/hyperlink" Target="https://docs.google.com/spreadsheets/d/1ejSZi2yXY180qnKXbslvdSTd_tWtrqB1u-P38Q7sHg8/edit?usp=sharing" TargetMode="External"/><Relationship Id="rId31" Type="http://schemas.openxmlformats.org/officeDocument/2006/relationships/hyperlink" Target="https://docs.google.com/spreadsheets/d/15o_-wl_wkqioHpWufcnfBFAZaKswrHOSAt5YB6ec4DM/edit" TargetMode="External"/><Relationship Id="rId30" Type="http://schemas.openxmlformats.org/officeDocument/2006/relationships/hyperlink" Target="https://docs.google.com/spreadsheets/d/15o_-wl_wkqioHpWufcnfBFAZaKswrHOSAt5YB6ec4DM/edit" TargetMode="External"/><Relationship Id="rId11" Type="http://schemas.openxmlformats.org/officeDocument/2006/relationships/hyperlink" Target="https://docs.google.com/spreadsheets/d/1y0xZlu9CFNOgDSlARiXAByw3lyjl4gexGISLn_Df7eA/edit?usp=sharing" TargetMode="External"/><Relationship Id="rId33" Type="http://schemas.openxmlformats.org/officeDocument/2006/relationships/hyperlink" Target="https://docs.google.com/spreadsheets/d/1zl2r2tHhzkWBSTZJwfinBWaEBnfBn5EsKAIK_gsDMmg/edit?usp=sharing" TargetMode="External"/><Relationship Id="rId10" Type="http://schemas.openxmlformats.org/officeDocument/2006/relationships/hyperlink" Target="http://journals.plos.org/plosmedicine/article?id=10.1371/journal.pmed.1002175" TargetMode="External"/><Relationship Id="rId32" Type="http://schemas.openxmlformats.org/officeDocument/2006/relationships/hyperlink" Target="https://docs.google.com/spreadsheets/d/15o_-wl_wkqioHpWufcnfBFAZaKswrHOSAt5YB6ec4DM/edit" TargetMode="External"/><Relationship Id="rId13" Type="http://schemas.openxmlformats.org/officeDocument/2006/relationships/hyperlink" Target="https://docs.google.com/spreadsheets/d/1GAcGQSyBQxcB6oGJFGGWCYqwY-jW7oahJJK-cTZOkMc/edit" TargetMode="External"/><Relationship Id="rId35" Type="http://schemas.openxmlformats.org/officeDocument/2006/relationships/drawing" Target="../drawings/drawing5.xml"/><Relationship Id="rId12" Type="http://schemas.openxmlformats.org/officeDocument/2006/relationships/hyperlink" Target="https://docs.google.com/spreadsheets/d/1zeVV1nDmM6CnvPK36fRGpujYxIMvPJUHruHwNA_KnXQ/edit?usp=sharing" TargetMode="External"/><Relationship Id="rId34" Type="http://schemas.openxmlformats.org/officeDocument/2006/relationships/hyperlink" Target="https://docs.google.com/spreadsheets/d/1W-_XtJPo2OYKyCdJ2Iyih_n2nCcQC5WSpEKNzfC2cwo/edit?usp=sharing" TargetMode="External"/><Relationship Id="rId15" Type="http://schemas.openxmlformats.org/officeDocument/2006/relationships/hyperlink" Target="https://docs.google.com/spreadsheets/d/1GAcGQSyBQxcB6oGJFGGWCYqwY-jW7oahJJK-cTZOkMc/edit" TargetMode="External"/><Relationship Id="rId14" Type="http://schemas.openxmlformats.org/officeDocument/2006/relationships/hyperlink" Target="https://docs.google.com/spreadsheets/d/112uuyYt6QLRZuJojwz6fHv4JQ-GHNeIpiT-SauY3kmM/edit" TargetMode="External"/><Relationship Id="rId36" Type="http://schemas.openxmlformats.org/officeDocument/2006/relationships/vmlDrawing" Target="../drawings/vmlDrawing4.vml"/><Relationship Id="rId17" Type="http://schemas.openxmlformats.org/officeDocument/2006/relationships/hyperlink" Target="https://docs.google.com/spreadsheets/d/1GAcGQSyBQxcB6oGJFGGWCYqwY-jW7oahJJK-cTZOkMc/edit" TargetMode="External"/><Relationship Id="rId16" Type="http://schemas.openxmlformats.org/officeDocument/2006/relationships/hyperlink" Target="https://docs.google.com/spreadsheets/d/1GAcGQSyBQxcB6oGJFGGWCYqwY-jW7oahJJK-cTZOkMc/edit" TargetMode="External"/><Relationship Id="rId19" Type="http://schemas.openxmlformats.org/officeDocument/2006/relationships/hyperlink" Target="https://docs.google.com/spreadsheets/d/1o0l0xucYBa8rjVKwDHh_K5PZTN6GeoenaKz77bTMXa4/edit?gid=1110574950" TargetMode="External"/><Relationship Id="rId18" Type="http://schemas.openxmlformats.org/officeDocument/2006/relationships/hyperlink" Target="https://docs.google.com/spreadsheets/d/1GAcGQSyBQxcB6oGJFGGWCYqwY-jW7oahJJK-cTZOkMc/edit" TargetMode="External"/></Relationships>
</file>

<file path=xl/worksheets/_rels/sheet6.xml.rels><?xml version="1.0" encoding="UTF-8" standalone="yes"?><Relationships xmlns="http://schemas.openxmlformats.org/package/2006/relationships"><Relationship Id="rId20" Type="http://schemas.openxmlformats.org/officeDocument/2006/relationships/table" Target="../tables/table6.xml"/><Relationship Id="rId21" Type="http://schemas.openxmlformats.org/officeDocument/2006/relationships/table" Target="../tables/table7.xml"/><Relationship Id="rId1" Type="http://schemas.openxmlformats.org/officeDocument/2006/relationships/comments" Target="../comments5.xml"/><Relationship Id="rId2" Type="http://schemas.openxmlformats.org/officeDocument/2006/relationships/hyperlink" Target="http://ghdx.healthdata.org/record/ihme-data/gbd-2019-population-estimates-1950-2019" TargetMode="External"/><Relationship Id="rId3" Type="http://schemas.openxmlformats.org/officeDocument/2006/relationships/hyperlink" Target="https://vizhub.healthdata.org/gbd-results?params=gbd-api-2019-permalink/b26c1f072f1f5297fa35f31aeb7304fd" TargetMode="External"/><Relationship Id="rId4" Type="http://schemas.openxmlformats.org/officeDocument/2006/relationships/hyperlink" Target="https://vizhub.healthdata.org/gbd-results?params=gbd-api-2019-permalink/0461a1e9d3eb20067710365a83ded3ba" TargetMode="External"/><Relationship Id="rId5" Type="http://schemas.openxmlformats.org/officeDocument/2006/relationships/hyperlink" Target="https://vizhub.healthdata.org/gbd-results?params=gbd-api-2019-permalink/9beef5149b605cc3da3de94d065a2829" TargetMode="External"/><Relationship Id="rId6" Type="http://schemas.openxmlformats.org/officeDocument/2006/relationships/drawing" Target="../drawings/drawing6.xml"/><Relationship Id="rId7" Type="http://schemas.openxmlformats.org/officeDocument/2006/relationships/vmlDrawing" Target="../drawings/vmlDrawing5.vml"/><Relationship Id="rId15" Type="http://schemas.openxmlformats.org/officeDocument/2006/relationships/table" Target="../tables/table1.xml"/><Relationship Id="rId17" Type="http://schemas.openxmlformats.org/officeDocument/2006/relationships/table" Target="../tables/table3.xml"/><Relationship Id="rId16" Type="http://schemas.openxmlformats.org/officeDocument/2006/relationships/table" Target="../tables/table2.xml"/><Relationship Id="rId19" Type="http://schemas.openxmlformats.org/officeDocument/2006/relationships/table" Target="../tables/table5.xml"/><Relationship Id="rId18"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8.xml"/><Relationship Id="rId3"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9.xml"/><Relationship Id="rId3"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4" width="1.88"/>
    <col customWidth="1" min="5" max="5" width="19.38"/>
  </cols>
  <sheetData>
    <row r="1">
      <c r="A1" s="3" t="s">
        <v>0</v>
      </c>
      <c r="B1" s="4"/>
      <c r="C1" s="4"/>
      <c r="D1" s="4"/>
      <c r="E1" s="4"/>
      <c r="F1" s="4"/>
      <c r="G1" s="4"/>
      <c r="H1" s="8"/>
      <c r="I1" s="8"/>
      <c r="J1" s="8"/>
      <c r="K1" s="8"/>
      <c r="L1" s="8"/>
      <c r="M1" s="8"/>
      <c r="N1" s="8"/>
      <c r="O1" s="8"/>
      <c r="P1" s="8"/>
      <c r="Q1" s="8"/>
      <c r="R1" s="8"/>
      <c r="S1" s="8"/>
      <c r="T1" s="8"/>
      <c r="U1" s="8"/>
      <c r="V1" s="13"/>
    </row>
    <row r="2">
      <c r="A2" s="16" t="s">
        <v>2</v>
      </c>
      <c r="B2" s="17"/>
      <c r="C2" s="17"/>
      <c r="D2" s="17"/>
      <c r="E2" s="17"/>
      <c r="F2" s="17"/>
      <c r="G2" s="17"/>
      <c r="H2" s="20"/>
      <c r="I2" s="20"/>
      <c r="J2" s="20"/>
      <c r="K2" s="20"/>
      <c r="L2" s="20"/>
      <c r="M2" s="20"/>
      <c r="N2" s="20"/>
      <c r="O2" s="20"/>
      <c r="P2" s="20"/>
      <c r="Q2" s="20"/>
      <c r="R2" s="20"/>
      <c r="S2" s="20"/>
      <c r="T2" s="20"/>
      <c r="U2" s="20"/>
      <c r="V2" s="33"/>
    </row>
    <row r="3">
      <c r="A3" s="34"/>
      <c r="B3" s="34"/>
      <c r="C3" s="34"/>
      <c r="D3" s="34"/>
      <c r="E3" s="34"/>
      <c r="F3" s="34"/>
      <c r="G3" s="34"/>
      <c r="H3" s="35"/>
      <c r="I3" s="35"/>
      <c r="J3" s="35"/>
      <c r="K3" s="35"/>
      <c r="L3" s="35"/>
      <c r="M3" s="35"/>
      <c r="N3" s="35"/>
      <c r="O3" s="35"/>
      <c r="P3" s="35"/>
      <c r="Q3" s="35"/>
      <c r="R3" s="35"/>
      <c r="S3" s="35"/>
      <c r="T3" s="35"/>
      <c r="U3" s="35"/>
      <c r="V3" s="35"/>
    </row>
    <row r="4">
      <c r="A4" s="36"/>
      <c r="B4" s="34"/>
      <c r="C4" s="34"/>
      <c r="D4" s="34"/>
      <c r="E4" s="45" t="s">
        <v>13</v>
      </c>
      <c r="F4" s="46" t="s">
        <v>31</v>
      </c>
      <c r="G4" s="46"/>
      <c r="H4" s="49"/>
      <c r="I4" s="49"/>
      <c r="J4" s="49"/>
      <c r="K4" s="49"/>
      <c r="L4" s="49"/>
      <c r="M4" s="49"/>
      <c r="N4" s="49"/>
      <c r="O4" s="49"/>
      <c r="P4" s="49"/>
      <c r="Q4" s="49"/>
      <c r="R4" s="49"/>
      <c r="S4" s="49"/>
      <c r="T4" s="49"/>
      <c r="U4" s="49"/>
      <c r="V4" s="53"/>
    </row>
    <row r="5">
      <c r="A5" s="36"/>
      <c r="B5" s="34"/>
      <c r="C5" s="34"/>
      <c r="D5" s="34"/>
      <c r="E5" s="55" t="s">
        <v>35</v>
      </c>
      <c r="F5" s="56" t="s">
        <v>36</v>
      </c>
      <c r="G5" s="56"/>
      <c r="H5" s="58"/>
      <c r="I5" s="58"/>
      <c r="J5" s="58"/>
      <c r="K5" s="58"/>
      <c r="L5" s="58"/>
      <c r="M5" s="58"/>
      <c r="N5" s="58"/>
      <c r="O5" s="58"/>
      <c r="P5" s="58"/>
      <c r="Q5" s="58"/>
      <c r="R5" s="58"/>
      <c r="S5" s="58"/>
      <c r="T5" s="58"/>
      <c r="U5" s="58"/>
      <c r="V5" s="61"/>
    </row>
    <row r="6">
      <c r="A6" s="36"/>
      <c r="B6" s="34"/>
      <c r="C6" s="34"/>
      <c r="D6" s="34"/>
      <c r="E6" s="55" t="s">
        <v>39</v>
      </c>
      <c r="F6" s="56" t="s">
        <v>40</v>
      </c>
      <c r="G6" s="56"/>
      <c r="H6" s="58"/>
      <c r="I6" s="58"/>
      <c r="J6" s="58"/>
      <c r="K6" s="58"/>
      <c r="L6" s="58"/>
      <c r="M6" s="58"/>
      <c r="N6" s="58"/>
      <c r="O6" s="58"/>
      <c r="P6" s="58"/>
      <c r="Q6" s="58"/>
      <c r="R6" s="58"/>
      <c r="S6" s="58"/>
      <c r="T6" s="58"/>
      <c r="U6" s="58"/>
      <c r="V6" s="61"/>
    </row>
    <row r="7">
      <c r="A7" s="36"/>
      <c r="B7" s="34"/>
      <c r="C7" s="34"/>
      <c r="D7" s="34"/>
      <c r="E7" s="55" t="s">
        <v>41</v>
      </c>
      <c r="F7" s="56" t="s">
        <v>42</v>
      </c>
      <c r="G7" s="56"/>
      <c r="H7" s="58"/>
      <c r="I7" s="58"/>
      <c r="J7" s="58"/>
      <c r="K7" s="58"/>
      <c r="L7" s="58"/>
      <c r="M7" s="58"/>
      <c r="N7" s="58"/>
      <c r="O7" s="58"/>
      <c r="P7" s="58"/>
      <c r="Q7" s="58"/>
      <c r="R7" s="58"/>
      <c r="S7" s="58"/>
      <c r="T7" s="58"/>
      <c r="U7" s="58"/>
      <c r="V7" s="61"/>
    </row>
    <row r="8">
      <c r="A8" s="36"/>
      <c r="B8" s="34"/>
      <c r="C8" s="34"/>
      <c r="D8" s="34"/>
      <c r="E8" s="55" t="s">
        <v>43</v>
      </c>
      <c r="F8" s="56" t="s">
        <v>44</v>
      </c>
      <c r="G8" s="56"/>
      <c r="H8" s="58"/>
      <c r="I8" s="58"/>
      <c r="J8" s="58"/>
      <c r="K8" s="58"/>
      <c r="L8" s="58"/>
      <c r="M8" s="58"/>
      <c r="N8" s="58"/>
      <c r="O8" s="58"/>
      <c r="P8" s="58"/>
      <c r="Q8" s="58"/>
      <c r="R8" s="58"/>
      <c r="S8" s="58"/>
      <c r="T8" s="58"/>
      <c r="U8" s="58"/>
      <c r="V8" s="61"/>
    </row>
    <row r="9">
      <c r="A9" s="36"/>
      <c r="B9" s="34"/>
      <c r="C9" s="34"/>
      <c r="D9" s="34"/>
      <c r="E9" s="45" t="s">
        <v>45</v>
      </c>
      <c r="F9" s="46" t="s">
        <v>47</v>
      </c>
      <c r="G9" s="46"/>
      <c r="H9" s="49"/>
      <c r="I9" s="49"/>
      <c r="J9" s="49"/>
      <c r="K9" s="49"/>
      <c r="L9" s="49"/>
      <c r="M9" s="49"/>
      <c r="N9" s="49"/>
      <c r="O9" s="49"/>
      <c r="P9" s="49"/>
      <c r="Q9" s="49"/>
      <c r="R9" s="49"/>
      <c r="S9" s="49"/>
      <c r="T9" s="49"/>
      <c r="U9" s="49"/>
      <c r="V9" s="53"/>
    </row>
    <row r="10">
      <c r="A10" s="36"/>
      <c r="B10" s="34"/>
      <c r="C10" s="34"/>
      <c r="D10" s="34"/>
      <c r="E10" s="70" t="s">
        <v>48</v>
      </c>
      <c r="F10" s="73" t="s">
        <v>49</v>
      </c>
      <c r="G10" s="73"/>
      <c r="H10" s="76"/>
      <c r="I10" s="76"/>
      <c r="J10" s="76"/>
      <c r="K10" s="76"/>
      <c r="L10" s="76"/>
      <c r="M10" s="76"/>
      <c r="N10" s="76"/>
      <c r="O10" s="76"/>
      <c r="P10" s="76"/>
      <c r="Q10" s="76"/>
      <c r="R10" s="76"/>
      <c r="S10" s="76"/>
      <c r="T10" s="76"/>
      <c r="U10" s="76"/>
      <c r="V10" s="80"/>
    </row>
    <row r="11">
      <c r="A11" s="36"/>
      <c r="B11" s="34"/>
      <c r="C11" s="34"/>
      <c r="D11" s="34"/>
      <c r="E11" s="34"/>
      <c r="F11" s="34"/>
      <c r="G11" s="34"/>
      <c r="H11" s="35"/>
      <c r="I11" s="35"/>
      <c r="J11" s="35"/>
      <c r="K11" s="35"/>
      <c r="L11" s="35"/>
      <c r="M11" s="35"/>
      <c r="N11" s="35"/>
      <c r="O11" s="35"/>
      <c r="P11" s="35"/>
      <c r="Q11" s="35"/>
      <c r="R11" s="35"/>
      <c r="S11" s="35"/>
      <c r="T11" s="35"/>
      <c r="U11" s="35"/>
      <c r="V11" s="84"/>
    </row>
    <row r="12">
      <c r="A12" s="16" t="s">
        <v>51</v>
      </c>
      <c r="B12" s="17"/>
      <c r="C12" s="17"/>
      <c r="D12" s="17"/>
      <c r="E12" s="17"/>
      <c r="F12" s="17"/>
      <c r="G12" s="17"/>
      <c r="H12" s="20"/>
      <c r="I12" s="20"/>
      <c r="J12" s="20"/>
      <c r="K12" s="20"/>
      <c r="L12" s="20"/>
      <c r="M12" s="20"/>
      <c r="N12" s="20"/>
      <c r="O12" s="20"/>
      <c r="P12" s="20"/>
      <c r="Q12" s="20"/>
      <c r="R12" s="20"/>
      <c r="S12" s="20"/>
      <c r="T12" s="20"/>
      <c r="U12" s="20"/>
      <c r="V12" s="33"/>
    </row>
    <row r="13">
      <c r="A13" s="88"/>
      <c r="B13" s="89"/>
      <c r="C13" s="89"/>
      <c r="D13" s="89"/>
      <c r="E13" s="89"/>
      <c r="F13" s="89"/>
      <c r="G13" s="89"/>
      <c r="H13" s="35"/>
      <c r="I13" s="35"/>
      <c r="J13" s="35"/>
      <c r="K13" s="35"/>
      <c r="L13" s="35"/>
      <c r="M13" s="35"/>
      <c r="N13" s="35"/>
      <c r="O13" s="35"/>
      <c r="P13" s="35"/>
      <c r="Q13" s="35"/>
      <c r="R13" s="35"/>
      <c r="S13" s="35"/>
      <c r="T13" s="35"/>
      <c r="U13" s="35"/>
      <c r="V13" s="84"/>
    </row>
    <row r="14">
      <c r="A14" s="88"/>
      <c r="B14" s="89"/>
      <c r="C14" s="94" t="s">
        <v>53</v>
      </c>
      <c r="G14" s="89"/>
      <c r="H14" s="35"/>
      <c r="I14" s="35"/>
      <c r="J14" s="35"/>
      <c r="K14" s="35"/>
      <c r="L14" s="35"/>
      <c r="M14" s="35"/>
      <c r="N14" s="35"/>
      <c r="O14" s="35"/>
      <c r="P14" s="35"/>
      <c r="Q14" s="35"/>
      <c r="R14" s="35"/>
      <c r="S14" s="35"/>
      <c r="T14" s="35"/>
      <c r="U14" s="35"/>
      <c r="V14" s="84"/>
    </row>
    <row r="15">
      <c r="A15" s="88"/>
      <c r="B15" s="89"/>
      <c r="C15" s="89"/>
      <c r="D15" s="89"/>
      <c r="E15" s="97" t="s">
        <v>54</v>
      </c>
      <c r="F15" s="99" t="s">
        <v>56</v>
      </c>
      <c r="G15" s="100"/>
      <c r="H15" s="100"/>
      <c r="I15" s="100"/>
      <c r="J15" s="100"/>
      <c r="K15" s="100"/>
      <c r="L15" s="100"/>
      <c r="M15" s="100"/>
      <c r="N15" s="100"/>
      <c r="O15" s="100"/>
      <c r="P15" s="100"/>
      <c r="Q15" s="100"/>
      <c r="R15" s="100"/>
      <c r="S15" s="100"/>
      <c r="T15" s="49"/>
      <c r="U15" s="49"/>
      <c r="V15" s="53"/>
    </row>
    <row r="16">
      <c r="A16" s="88"/>
      <c r="B16" s="89"/>
      <c r="C16" s="89"/>
      <c r="D16" s="89"/>
      <c r="E16" s="97" t="s">
        <v>57</v>
      </c>
      <c r="F16" s="99" t="s">
        <v>58</v>
      </c>
      <c r="G16" s="100"/>
      <c r="H16" s="100"/>
      <c r="I16" s="100"/>
      <c r="J16" s="100"/>
      <c r="K16" s="100"/>
      <c r="L16" s="100"/>
      <c r="M16" s="100"/>
      <c r="N16" s="100"/>
      <c r="O16" s="100"/>
      <c r="P16" s="100"/>
      <c r="Q16" s="100"/>
      <c r="R16" s="100"/>
      <c r="S16" s="100"/>
      <c r="T16" s="49"/>
      <c r="U16" s="49"/>
      <c r="V16" s="53"/>
    </row>
    <row r="17">
      <c r="A17" s="88"/>
      <c r="B17" s="89"/>
      <c r="C17" s="89"/>
      <c r="D17" s="89"/>
      <c r="E17" s="104" t="s">
        <v>59</v>
      </c>
      <c r="F17" s="105" t="s">
        <v>60</v>
      </c>
      <c r="G17" s="106"/>
      <c r="H17" s="106"/>
      <c r="I17" s="106"/>
      <c r="J17" s="106"/>
      <c r="K17" s="106"/>
      <c r="L17" s="106"/>
      <c r="M17" s="106"/>
      <c r="N17" s="106"/>
      <c r="O17" s="106"/>
      <c r="P17" s="106"/>
      <c r="Q17" s="106"/>
      <c r="R17" s="106"/>
      <c r="S17" s="106"/>
      <c r="T17" s="58"/>
      <c r="U17" s="58"/>
      <c r="V17" s="61"/>
    </row>
    <row r="18">
      <c r="A18" s="88"/>
      <c r="B18" s="89"/>
      <c r="C18" s="89"/>
      <c r="D18" s="89"/>
      <c r="E18" s="97" t="s">
        <v>62</v>
      </c>
      <c r="F18" s="99" t="s">
        <v>63</v>
      </c>
      <c r="G18" s="100"/>
      <c r="H18" s="100"/>
      <c r="I18" s="100"/>
      <c r="J18" s="100"/>
      <c r="K18" s="100"/>
      <c r="L18" s="100"/>
      <c r="M18" s="100"/>
      <c r="N18" s="100"/>
      <c r="O18" s="100"/>
      <c r="P18" s="100"/>
      <c r="Q18" s="100"/>
      <c r="R18" s="100"/>
      <c r="S18" s="100"/>
      <c r="T18" s="49"/>
      <c r="U18" s="49"/>
      <c r="V18" s="53"/>
    </row>
    <row r="19">
      <c r="A19" s="88"/>
      <c r="B19" s="89"/>
      <c r="C19" s="89"/>
      <c r="D19" s="89"/>
      <c r="E19" s="109" t="s">
        <v>64</v>
      </c>
      <c r="F19" s="99" t="s">
        <v>65</v>
      </c>
      <c r="G19" s="100"/>
      <c r="H19" s="100"/>
      <c r="I19" s="100"/>
      <c r="J19" s="100"/>
      <c r="K19" s="100"/>
      <c r="L19" s="100"/>
      <c r="M19" s="100"/>
      <c r="N19" s="100"/>
      <c r="O19" s="100"/>
      <c r="P19" s="100"/>
      <c r="Q19" s="100"/>
      <c r="R19" s="100"/>
      <c r="S19" s="100"/>
      <c r="T19" s="49"/>
      <c r="U19" s="49"/>
      <c r="V19" s="53"/>
    </row>
    <row r="20">
      <c r="A20" s="88"/>
      <c r="B20" s="89"/>
      <c r="C20" s="89"/>
      <c r="D20" s="89"/>
      <c r="E20" s="111" t="s">
        <v>66</v>
      </c>
      <c r="F20" s="114" t="s">
        <v>67</v>
      </c>
      <c r="G20" s="15"/>
      <c r="H20" s="15"/>
      <c r="I20" s="15"/>
      <c r="J20" s="15"/>
      <c r="K20" s="15"/>
      <c r="L20" s="15"/>
      <c r="M20" s="15"/>
      <c r="N20" s="15"/>
      <c r="O20" s="15"/>
      <c r="P20" s="15"/>
      <c r="Q20" s="15"/>
      <c r="R20" s="15"/>
      <c r="S20" s="15"/>
      <c r="T20" s="116"/>
      <c r="U20" s="116"/>
      <c r="V20" s="117"/>
    </row>
    <row r="21">
      <c r="A21" s="88"/>
      <c r="B21" s="89"/>
      <c r="C21" s="89"/>
      <c r="D21" s="89"/>
      <c r="E21" s="34"/>
      <c r="F21" s="89"/>
      <c r="G21" s="89"/>
      <c r="H21" s="35"/>
      <c r="I21" s="35"/>
      <c r="J21" s="35"/>
      <c r="K21" s="35"/>
      <c r="L21" s="35"/>
      <c r="M21" s="35"/>
      <c r="N21" s="35"/>
      <c r="O21" s="35"/>
      <c r="P21" s="35"/>
      <c r="Q21" s="35"/>
      <c r="R21" s="35"/>
      <c r="S21" s="35"/>
      <c r="T21" s="35"/>
      <c r="U21" s="35"/>
      <c r="V21" s="84"/>
    </row>
    <row r="22">
      <c r="A22" s="88"/>
      <c r="B22" s="89"/>
      <c r="C22" s="94" t="s">
        <v>68</v>
      </c>
      <c r="G22" s="89"/>
      <c r="H22" s="35"/>
      <c r="I22" s="35"/>
      <c r="J22" s="35"/>
      <c r="K22" s="35"/>
      <c r="L22" s="35"/>
      <c r="M22" s="35"/>
      <c r="N22" s="35"/>
      <c r="O22" s="35"/>
      <c r="P22" s="35"/>
      <c r="Q22" s="35"/>
      <c r="R22" s="35"/>
      <c r="S22" s="35"/>
      <c r="T22" s="35"/>
      <c r="U22" s="35"/>
      <c r="V22" s="84"/>
    </row>
    <row r="23">
      <c r="A23" s="88"/>
      <c r="B23" s="89"/>
      <c r="C23" s="89"/>
      <c r="D23" s="89"/>
      <c r="E23" s="97" t="s">
        <v>69</v>
      </c>
      <c r="F23" s="99" t="s">
        <v>70</v>
      </c>
      <c r="G23" s="100"/>
      <c r="H23" s="100"/>
      <c r="I23" s="100"/>
      <c r="J23" s="100"/>
      <c r="K23" s="100"/>
      <c r="L23" s="100"/>
      <c r="M23" s="100"/>
      <c r="N23" s="100"/>
      <c r="O23" s="100"/>
      <c r="P23" s="100"/>
      <c r="Q23" s="100"/>
      <c r="R23" s="100"/>
      <c r="S23" s="100"/>
      <c r="T23" s="49"/>
      <c r="U23" s="49"/>
      <c r="V23" s="53"/>
    </row>
    <row r="24">
      <c r="A24" s="88"/>
      <c r="B24" s="89"/>
      <c r="C24" s="89"/>
      <c r="D24" s="89"/>
      <c r="E24" s="104" t="s">
        <v>72</v>
      </c>
      <c r="F24" s="105" t="s">
        <v>73</v>
      </c>
      <c r="G24" s="106"/>
      <c r="H24" s="106"/>
      <c r="I24" s="106"/>
      <c r="J24" s="106"/>
      <c r="K24" s="106"/>
      <c r="L24" s="106"/>
      <c r="M24" s="106"/>
      <c r="N24" s="106"/>
      <c r="O24" s="106"/>
      <c r="P24" s="106"/>
      <c r="Q24" s="106"/>
      <c r="R24" s="106"/>
      <c r="S24" s="106"/>
      <c r="T24" s="58"/>
      <c r="U24" s="58"/>
      <c r="V24" s="61"/>
    </row>
    <row r="25">
      <c r="A25" s="88"/>
      <c r="B25" s="89"/>
      <c r="C25" s="89"/>
      <c r="D25" s="89"/>
      <c r="E25" s="97" t="s">
        <v>75</v>
      </c>
      <c r="F25" s="99" t="s">
        <v>76</v>
      </c>
      <c r="G25" s="100"/>
      <c r="H25" s="100"/>
      <c r="I25" s="100"/>
      <c r="J25" s="100"/>
      <c r="K25" s="100"/>
      <c r="L25" s="100"/>
      <c r="M25" s="100"/>
      <c r="N25" s="100"/>
      <c r="O25" s="100"/>
      <c r="P25" s="100"/>
      <c r="Q25" s="100"/>
      <c r="R25" s="100"/>
      <c r="S25" s="100"/>
      <c r="T25" s="49"/>
      <c r="U25" s="49"/>
      <c r="V25" s="53"/>
    </row>
    <row r="26">
      <c r="A26" s="88"/>
      <c r="B26" s="89"/>
      <c r="C26" s="89"/>
      <c r="D26" s="89"/>
      <c r="E26" s="104" t="s">
        <v>77</v>
      </c>
      <c r="F26" s="105" t="s">
        <v>78</v>
      </c>
      <c r="G26" s="106"/>
      <c r="H26" s="106"/>
      <c r="I26" s="106"/>
      <c r="J26" s="106"/>
      <c r="K26" s="106"/>
      <c r="L26" s="106"/>
      <c r="M26" s="106"/>
      <c r="N26" s="106"/>
      <c r="O26" s="106"/>
      <c r="P26" s="106"/>
      <c r="Q26" s="106"/>
      <c r="R26" s="106"/>
      <c r="S26" s="106"/>
      <c r="T26" s="58"/>
      <c r="U26" s="58"/>
      <c r="V26" s="61"/>
    </row>
    <row r="27">
      <c r="A27" s="88"/>
      <c r="B27" s="89"/>
      <c r="C27" s="89"/>
      <c r="D27" s="89"/>
      <c r="E27" s="104" t="s">
        <v>79</v>
      </c>
      <c r="F27" s="105" t="s">
        <v>80</v>
      </c>
      <c r="G27" s="106"/>
      <c r="H27" s="106"/>
      <c r="I27" s="106"/>
      <c r="J27" s="106"/>
      <c r="K27" s="106"/>
      <c r="L27" s="106"/>
      <c r="M27" s="106"/>
      <c r="N27" s="106"/>
      <c r="O27" s="106"/>
      <c r="P27" s="106"/>
      <c r="Q27" s="106"/>
      <c r="R27" s="106"/>
      <c r="S27" s="106"/>
      <c r="T27" s="58"/>
      <c r="U27" s="58"/>
      <c r="V27" s="61"/>
    </row>
    <row r="28">
      <c r="A28" s="88"/>
      <c r="B28" s="89"/>
      <c r="C28" s="89"/>
      <c r="D28" s="89"/>
      <c r="E28" s="97" t="s">
        <v>81</v>
      </c>
      <c r="F28" s="99" t="s">
        <v>82</v>
      </c>
      <c r="G28" s="100"/>
      <c r="H28" s="100"/>
      <c r="I28" s="100"/>
      <c r="J28" s="100"/>
      <c r="K28" s="100"/>
      <c r="L28" s="100"/>
      <c r="M28" s="100"/>
      <c r="N28" s="100"/>
      <c r="O28" s="100"/>
      <c r="P28" s="100"/>
      <c r="Q28" s="100"/>
      <c r="R28" s="100"/>
      <c r="S28" s="100"/>
      <c r="T28" s="49"/>
      <c r="U28" s="49"/>
      <c r="V28" s="53"/>
    </row>
    <row r="29">
      <c r="A29" s="88"/>
      <c r="B29" s="89"/>
      <c r="C29" s="89"/>
      <c r="D29" s="89"/>
      <c r="E29" s="111" t="s">
        <v>83</v>
      </c>
      <c r="F29" s="114" t="s">
        <v>84</v>
      </c>
      <c r="G29" s="15"/>
      <c r="H29" s="15"/>
      <c r="I29" s="15"/>
      <c r="J29" s="15"/>
      <c r="K29" s="15"/>
      <c r="L29" s="15"/>
      <c r="M29" s="15"/>
      <c r="N29" s="15"/>
      <c r="O29" s="15"/>
      <c r="P29" s="15"/>
      <c r="Q29" s="15"/>
      <c r="R29" s="15"/>
      <c r="S29" s="15"/>
      <c r="T29" s="116"/>
      <c r="U29" s="116"/>
      <c r="V29" s="117"/>
    </row>
    <row r="30">
      <c r="A30" s="88"/>
      <c r="B30" s="89"/>
      <c r="C30" s="89"/>
      <c r="D30" s="89"/>
      <c r="E30" s="89"/>
      <c r="F30" s="89"/>
      <c r="G30" s="89"/>
      <c r="H30" s="35"/>
      <c r="I30" s="35"/>
      <c r="J30" s="35"/>
      <c r="K30" s="35"/>
      <c r="L30" s="35"/>
      <c r="M30" s="35"/>
      <c r="N30" s="35"/>
      <c r="O30" s="35"/>
      <c r="P30" s="35"/>
      <c r="Q30" s="35"/>
      <c r="R30" s="35"/>
      <c r="S30" s="35"/>
      <c r="T30" s="35"/>
      <c r="U30" s="35"/>
      <c r="V30" s="84"/>
    </row>
    <row r="31">
      <c r="A31" s="16" t="s">
        <v>85</v>
      </c>
      <c r="B31" s="17"/>
      <c r="C31" s="17"/>
      <c r="D31" s="17"/>
      <c r="E31" s="17"/>
      <c r="F31" s="17"/>
      <c r="G31" s="17"/>
      <c r="H31" s="20"/>
      <c r="I31" s="20"/>
      <c r="J31" s="20"/>
      <c r="K31" s="20"/>
      <c r="L31" s="20"/>
      <c r="M31" s="20"/>
      <c r="N31" s="20"/>
      <c r="O31" s="20"/>
      <c r="P31" s="20"/>
      <c r="Q31" s="20"/>
      <c r="R31" s="20"/>
      <c r="S31" s="20"/>
      <c r="T31" s="20"/>
      <c r="U31" s="20"/>
      <c r="V31" s="33"/>
    </row>
    <row r="32">
      <c r="A32" s="36"/>
      <c r="B32" s="35"/>
      <c r="C32" s="35"/>
      <c r="D32" s="35"/>
      <c r="E32" s="35"/>
      <c r="F32" s="35"/>
      <c r="G32" s="35"/>
      <c r="H32" s="35"/>
      <c r="I32" s="35"/>
      <c r="J32" s="35"/>
      <c r="K32" s="35"/>
      <c r="L32" s="35"/>
      <c r="M32" s="35"/>
      <c r="N32" s="35"/>
      <c r="O32" s="35"/>
      <c r="P32" s="35"/>
      <c r="Q32" s="35"/>
      <c r="R32" s="35"/>
      <c r="S32" s="35"/>
      <c r="T32" s="35"/>
      <c r="U32" s="35"/>
      <c r="V32" s="84"/>
    </row>
    <row r="33">
      <c r="A33" s="36"/>
      <c r="B33" s="35"/>
      <c r="C33" s="124" t="s">
        <v>87</v>
      </c>
      <c r="F33" s="35"/>
      <c r="G33" s="35"/>
      <c r="H33" s="35"/>
      <c r="I33" s="35"/>
      <c r="J33" s="35"/>
      <c r="K33" s="35"/>
      <c r="L33" s="35"/>
      <c r="M33" s="35"/>
      <c r="N33" s="35"/>
      <c r="O33" s="35"/>
      <c r="P33" s="35"/>
      <c r="Q33" s="35"/>
      <c r="R33" s="35"/>
      <c r="S33" s="35"/>
      <c r="T33" s="35"/>
      <c r="U33" s="35"/>
      <c r="V33" s="84"/>
    </row>
    <row r="34">
      <c r="A34" s="36"/>
      <c r="B34" s="35"/>
      <c r="C34" s="35"/>
      <c r="D34" s="35"/>
      <c r="E34" s="137" t="s">
        <v>88</v>
      </c>
      <c r="F34" s="138" t="s">
        <v>89</v>
      </c>
      <c r="G34" s="49"/>
      <c r="H34" s="49"/>
      <c r="I34" s="49"/>
      <c r="J34" s="49"/>
      <c r="K34" s="49"/>
      <c r="L34" s="49"/>
      <c r="M34" s="49"/>
      <c r="N34" s="49"/>
      <c r="O34" s="49"/>
      <c r="P34" s="49"/>
      <c r="Q34" s="49"/>
      <c r="R34" s="49"/>
      <c r="S34" s="49"/>
      <c r="T34" s="49"/>
      <c r="U34" s="49"/>
      <c r="V34" s="53"/>
    </row>
    <row r="35">
      <c r="A35" s="36"/>
      <c r="B35" s="35"/>
      <c r="C35" s="35"/>
      <c r="D35" s="35"/>
      <c r="E35" s="142" t="s">
        <v>90</v>
      </c>
      <c r="F35" s="143" t="s">
        <v>92</v>
      </c>
      <c r="G35" s="58"/>
      <c r="H35" s="58"/>
      <c r="I35" s="58"/>
      <c r="J35" s="58"/>
      <c r="K35" s="58"/>
      <c r="L35" s="58"/>
      <c r="M35" s="58"/>
      <c r="N35" s="58"/>
      <c r="O35" s="58"/>
      <c r="P35" s="58"/>
      <c r="Q35" s="58"/>
      <c r="R35" s="58"/>
      <c r="S35" s="58"/>
      <c r="T35" s="58"/>
      <c r="U35" s="58"/>
      <c r="V35" s="61"/>
    </row>
    <row r="36">
      <c r="A36" s="36"/>
      <c r="B36" s="35"/>
      <c r="C36" s="35"/>
      <c r="D36" s="35"/>
      <c r="E36" s="142" t="s">
        <v>93</v>
      </c>
      <c r="F36" s="143" t="s">
        <v>94</v>
      </c>
      <c r="G36" s="58"/>
      <c r="H36" s="58"/>
      <c r="I36" s="58"/>
      <c r="J36" s="58"/>
      <c r="K36" s="58"/>
      <c r="L36" s="58"/>
      <c r="M36" s="58"/>
      <c r="N36" s="58"/>
      <c r="O36" s="58"/>
      <c r="P36" s="58"/>
      <c r="Q36" s="58"/>
      <c r="R36" s="58"/>
      <c r="S36" s="58"/>
      <c r="T36" s="58"/>
      <c r="U36" s="58"/>
      <c r="V36" s="61"/>
    </row>
    <row r="37">
      <c r="A37" s="36"/>
      <c r="B37" s="35"/>
      <c r="C37" s="35"/>
      <c r="D37" s="35"/>
      <c r="E37" s="142" t="s">
        <v>95</v>
      </c>
      <c r="F37" s="143" t="s">
        <v>96</v>
      </c>
      <c r="G37" s="58"/>
      <c r="H37" s="58"/>
      <c r="I37" s="58"/>
      <c r="J37" s="58"/>
      <c r="K37" s="58"/>
      <c r="L37" s="58"/>
      <c r="M37" s="58"/>
      <c r="N37" s="58"/>
      <c r="O37" s="58"/>
      <c r="P37" s="58"/>
      <c r="Q37" s="58"/>
      <c r="R37" s="58"/>
      <c r="S37" s="58"/>
      <c r="T37" s="58"/>
      <c r="U37" s="58"/>
      <c r="V37" s="61"/>
    </row>
    <row r="38">
      <c r="A38" s="36"/>
      <c r="B38" s="35"/>
      <c r="C38" s="35"/>
      <c r="D38" s="35"/>
      <c r="E38" s="142" t="s">
        <v>97</v>
      </c>
      <c r="F38" s="143" t="s">
        <v>98</v>
      </c>
      <c r="G38" s="58"/>
      <c r="H38" s="58"/>
      <c r="I38" s="58"/>
      <c r="J38" s="58"/>
      <c r="K38" s="58"/>
      <c r="L38" s="58"/>
      <c r="M38" s="58"/>
      <c r="N38" s="58"/>
      <c r="O38" s="58"/>
      <c r="P38" s="58"/>
      <c r="Q38" s="58"/>
      <c r="R38" s="58"/>
      <c r="S38" s="58"/>
      <c r="T38" s="58"/>
      <c r="U38" s="58"/>
      <c r="V38" s="61"/>
    </row>
    <row r="39">
      <c r="A39" s="36"/>
      <c r="B39" s="35"/>
      <c r="C39" s="35"/>
      <c r="D39" s="35"/>
      <c r="E39" s="142" t="s">
        <v>99</v>
      </c>
      <c r="F39" s="143" t="s">
        <v>100</v>
      </c>
      <c r="G39" s="58"/>
      <c r="H39" s="58"/>
      <c r="I39" s="58"/>
      <c r="J39" s="58"/>
      <c r="K39" s="58"/>
      <c r="L39" s="58"/>
      <c r="M39" s="58"/>
      <c r="N39" s="58"/>
      <c r="O39" s="58"/>
      <c r="P39" s="58"/>
      <c r="Q39" s="58"/>
      <c r="R39" s="58"/>
      <c r="S39" s="58"/>
      <c r="T39" s="58"/>
      <c r="U39" s="58"/>
      <c r="V39" s="61"/>
    </row>
    <row r="40">
      <c r="A40" s="36"/>
      <c r="B40" s="35"/>
      <c r="C40" s="35"/>
      <c r="D40" s="35"/>
      <c r="E40" s="142" t="s">
        <v>101</v>
      </c>
      <c r="F40" s="143" t="s">
        <v>102</v>
      </c>
      <c r="G40" s="58"/>
      <c r="H40" s="58"/>
      <c r="I40" s="58"/>
      <c r="J40" s="58"/>
      <c r="K40" s="58"/>
      <c r="L40" s="58"/>
      <c r="M40" s="58"/>
      <c r="N40" s="58"/>
      <c r="O40" s="58"/>
      <c r="P40" s="58"/>
      <c r="Q40" s="58"/>
      <c r="R40" s="58"/>
      <c r="S40" s="58"/>
      <c r="T40" s="58"/>
      <c r="U40" s="58"/>
      <c r="V40" s="61"/>
    </row>
    <row r="41">
      <c r="A41" s="36"/>
      <c r="B41" s="35"/>
      <c r="C41" s="35"/>
      <c r="D41" s="35"/>
      <c r="E41" s="142" t="s">
        <v>103</v>
      </c>
      <c r="F41" s="143" t="s">
        <v>104</v>
      </c>
      <c r="G41" s="58"/>
      <c r="H41" s="58"/>
      <c r="I41" s="58"/>
      <c r="J41" s="58"/>
      <c r="K41" s="58"/>
      <c r="L41" s="58"/>
      <c r="M41" s="58"/>
      <c r="N41" s="58"/>
      <c r="O41" s="58"/>
      <c r="P41" s="58"/>
      <c r="Q41" s="58"/>
      <c r="R41" s="58"/>
      <c r="S41" s="58"/>
      <c r="T41" s="58"/>
      <c r="U41" s="58"/>
      <c r="V41" s="61"/>
    </row>
    <row r="42">
      <c r="A42" s="36"/>
      <c r="B42" s="35"/>
      <c r="C42" s="35"/>
      <c r="D42" s="35"/>
      <c r="E42" s="152" t="s">
        <v>105</v>
      </c>
      <c r="F42" s="153" t="s">
        <v>106</v>
      </c>
      <c r="G42" s="76"/>
      <c r="H42" s="76"/>
      <c r="I42" s="76"/>
      <c r="J42" s="76"/>
      <c r="K42" s="76"/>
      <c r="L42" s="76"/>
      <c r="M42" s="76"/>
      <c r="N42" s="76"/>
      <c r="O42" s="76"/>
      <c r="P42" s="76"/>
      <c r="Q42" s="76"/>
      <c r="R42" s="76"/>
      <c r="S42" s="76"/>
      <c r="T42" s="76"/>
      <c r="U42" s="76"/>
      <c r="V42" s="80"/>
    </row>
    <row r="43">
      <c r="A43" s="36"/>
      <c r="B43" s="35"/>
      <c r="C43" s="35"/>
      <c r="D43" s="35"/>
      <c r="E43" s="35"/>
      <c r="F43" s="35"/>
      <c r="G43" s="35"/>
      <c r="H43" s="35"/>
      <c r="I43" s="35"/>
      <c r="J43" s="35"/>
      <c r="K43" s="35"/>
      <c r="L43" s="35"/>
      <c r="M43" s="35"/>
      <c r="N43" s="35"/>
      <c r="O43" s="35"/>
      <c r="P43" s="35"/>
      <c r="Q43" s="35"/>
      <c r="R43" s="35"/>
      <c r="S43" s="35"/>
      <c r="T43" s="35"/>
      <c r="U43" s="35"/>
      <c r="V43" s="84"/>
    </row>
    <row r="44">
      <c r="A44" s="36"/>
      <c r="B44" s="35"/>
      <c r="C44" s="124" t="s">
        <v>108</v>
      </c>
      <c r="F44" s="35"/>
      <c r="G44" s="35"/>
      <c r="H44" s="35"/>
      <c r="I44" s="35"/>
      <c r="J44" s="35"/>
      <c r="K44" s="35"/>
      <c r="L44" s="35"/>
      <c r="M44" s="35"/>
      <c r="N44" s="35"/>
      <c r="O44" s="35"/>
      <c r="P44" s="35"/>
      <c r="Q44" s="35"/>
      <c r="R44" s="35"/>
      <c r="S44" s="35"/>
      <c r="T44" s="35"/>
      <c r="U44" s="35"/>
      <c r="V44" s="84"/>
    </row>
    <row r="45">
      <c r="A45" s="36"/>
      <c r="B45" s="35"/>
      <c r="C45" s="35"/>
      <c r="D45" s="35"/>
      <c r="E45" s="35"/>
      <c r="F45" s="35"/>
      <c r="G45" s="35"/>
      <c r="H45" s="35"/>
      <c r="I45" s="35"/>
      <c r="J45" s="35"/>
      <c r="K45" s="35"/>
      <c r="L45" s="35"/>
      <c r="M45" s="35"/>
      <c r="N45" s="35"/>
      <c r="O45" s="35"/>
      <c r="P45" s="35"/>
      <c r="Q45" s="35"/>
      <c r="R45" s="35"/>
      <c r="S45" s="35"/>
      <c r="T45" s="35"/>
      <c r="U45" s="35"/>
      <c r="V45" s="84"/>
    </row>
    <row r="46">
      <c r="A46" s="36"/>
      <c r="B46" s="35"/>
      <c r="C46" s="35"/>
      <c r="D46" s="35"/>
      <c r="E46" s="137" t="s">
        <v>110</v>
      </c>
      <c r="F46" s="138" t="s">
        <v>111</v>
      </c>
      <c r="G46" s="49"/>
      <c r="H46" s="49"/>
      <c r="I46" s="49"/>
      <c r="J46" s="49"/>
      <c r="K46" s="49"/>
      <c r="L46" s="49"/>
      <c r="M46" s="49"/>
      <c r="N46" s="49"/>
      <c r="O46" s="49"/>
      <c r="P46" s="49"/>
      <c r="Q46" s="49"/>
      <c r="R46" s="49"/>
      <c r="S46" s="49"/>
      <c r="T46" s="49"/>
      <c r="U46" s="49"/>
      <c r="V46" s="53"/>
    </row>
    <row r="47">
      <c r="A47" s="36"/>
      <c r="B47" s="35"/>
      <c r="C47" s="35"/>
      <c r="D47" s="35"/>
      <c r="E47" s="142" t="s">
        <v>112</v>
      </c>
      <c r="F47" s="143" t="s">
        <v>113</v>
      </c>
      <c r="G47" s="58"/>
      <c r="H47" s="58"/>
      <c r="I47" s="58"/>
      <c r="J47" s="58"/>
      <c r="K47" s="58"/>
      <c r="L47" s="58"/>
      <c r="M47" s="58"/>
      <c r="N47" s="58"/>
      <c r="O47" s="58"/>
      <c r="P47" s="58"/>
      <c r="Q47" s="58"/>
      <c r="R47" s="58"/>
      <c r="S47" s="58"/>
      <c r="T47" s="58"/>
      <c r="U47" s="58"/>
      <c r="V47" s="61"/>
    </row>
    <row r="48">
      <c r="A48" s="36"/>
      <c r="B48" s="35"/>
      <c r="C48" s="35"/>
      <c r="D48" s="35"/>
      <c r="E48" s="142" t="s">
        <v>114</v>
      </c>
      <c r="F48" s="143" t="s">
        <v>115</v>
      </c>
      <c r="G48" s="58"/>
      <c r="H48" s="58"/>
      <c r="I48" s="58"/>
      <c r="J48" s="58"/>
      <c r="K48" s="58"/>
      <c r="L48" s="58"/>
      <c r="M48" s="58"/>
      <c r="N48" s="58"/>
      <c r="O48" s="58"/>
      <c r="P48" s="58"/>
      <c r="Q48" s="58"/>
      <c r="R48" s="58"/>
      <c r="S48" s="58"/>
      <c r="T48" s="58"/>
      <c r="U48" s="58"/>
      <c r="V48" s="61"/>
    </row>
    <row r="49">
      <c r="A49" s="36"/>
      <c r="B49" s="35"/>
      <c r="C49" s="35"/>
      <c r="D49" s="35"/>
      <c r="E49" s="142" t="s">
        <v>37</v>
      </c>
      <c r="F49" s="143" t="s">
        <v>116</v>
      </c>
      <c r="G49" s="58"/>
      <c r="H49" s="58"/>
      <c r="I49" s="58"/>
      <c r="J49" s="58"/>
      <c r="K49" s="58"/>
      <c r="L49" s="58"/>
      <c r="M49" s="58"/>
      <c r="N49" s="58"/>
      <c r="O49" s="58"/>
      <c r="P49" s="58"/>
      <c r="Q49" s="58"/>
      <c r="R49" s="58"/>
      <c r="S49" s="58"/>
      <c r="T49" s="58"/>
      <c r="U49" s="58"/>
      <c r="V49" s="61"/>
    </row>
    <row r="50">
      <c r="A50" s="36"/>
      <c r="B50" s="35"/>
      <c r="C50" s="35"/>
      <c r="D50" s="35"/>
      <c r="E50" s="152" t="s">
        <v>38</v>
      </c>
      <c r="F50" s="153" t="s">
        <v>117</v>
      </c>
      <c r="G50" s="76"/>
      <c r="H50" s="76"/>
      <c r="I50" s="76"/>
      <c r="J50" s="76"/>
      <c r="K50" s="76"/>
      <c r="L50" s="76"/>
      <c r="M50" s="76"/>
      <c r="N50" s="76"/>
      <c r="O50" s="76"/>
      <c r="P50" s="76"/>
      <c r="Q50" s="76"/>
      <c r="R50" s="76"/>
      <c r="S50" s="76"/>
      <c r="T50" s="76"/>
      <c r="U50" s="76"/>
      <c r="V50" s="80"/>
    </row>
    <row r="51">
      <c r="A51" s="36"/>
      <c r="B51" s="35"/>
      <c r="C51" s="35"/>
      <c r="D51" s="35"/>
      <c r="E51" s="35"/>
      <c r="F51" s="35"/>
      <c r="G51" s="35"/>
      <c r="H51" s="35"/>
      <c r="I51" s="35"/>
      <c r="J51" s="35"/>
      <c r="K51" s="35"/>
      <c r="L51" s="35"/>
      <c r="M51" s="35"/>
      <c r="N51" s="35"/>
      <c r="O51" s="35"/>
      <c r="P51" s="35"/>
      <c r="Q51" s="35"/>
      <c r="R51" s="35"/>
      <c r="S51" s="35"/>
      <c r="T51" s="35"/>
      <c r="U51" s="35"/>
      <c r="V51" s="84"/>
    </row>
    <row r="52">
      <c r="A52" s="16" t="s">
        <v>118</v>
      </c>
      <c r="B52" s="17"/>
      <c r="C52" s="17"/>
      <c r="D52" s="17"/>
      <c r="E52" s="17"/>
      <c r="F52" s="17"/>
      <c r="G52" s="17"/>
      <c r="H52" s="20"/>
      <c r="I52" s="20"/>
      <c r="J52" s="20"/>
      <c r="K52" s="20"/>
      <c r="L52" s="20"/>
      <c r="M52" s="20"/>
      <c r="N52" s="20"/>
      <c r="O52" s="20"/>
      <c r="P52" s="20"/>
      <c r="Q52" s="20"/>
      <c r="R52" s="20"/>
      <c r="S52" s="20"/>
      <c r="T52" s="20"/>
      <c r="U52" s="20"/>
      <c r="V52" s="33"/>
    </row>
    <row r="53">
      <c r="A53" s="164"/>
      <c r="B53" s="35"/>
      <c r="D53" s="35"/>
      <c r="E53" s="165"/>
      <c r="F53" s="35"/>
      <c r="G53" s="35"/>
      <c r="H53" s="35"/>
      <c r="I53" s="35"/>
      <c r="J53" s="35"/>
      <c r="K53" s="35"/>
      <c r="L53" s="35"/>
      <c r="M53" s="35"/>
      <c r="N53" s="35"/>
      <c r="O53" s="35"/>
      <c r="P53" s="35"/>
      <c r="Q53" s="35"/>
      <c r="R53" s="35"/>
      <c r="S53" s="35"/>
      <c r="T53" s="35"/>
      <c r="U53" s="35"/>
      <c r="V53" s="84"/>
    </row>
    <row r="54">
      <c r="A54" s="164"/>
      <c r="B54" s="35"/>
      <c r="C54" s="166" t="s">
        <v>119</v>
      </c>
      <c r="G54" s="35"/>
      <c r="H54" s="35"/>
      <c r="I54" s="35"/>
      <c r="J54" s="35"/>
      <c r="K54" s="35"/>
      <c r="L54" s="35"/>
      <c r="M54" s="35"/>
      <c r="N54" s="35"/>
      <c r="O54" s="35"/>
      <c r="P54" s="35"/>
      <c r="Q54" s="35"/>
      <c r="R54" s="35"/>
      <c r="S54" s="35"/>
      <c r="T54" s="35"/>
      <c r="U54" s="35"/>
      <c r="V54" s="84"/>
    </row>
    <row r="55">
      <c r="A55" s="164"/>
      <c r="B55" s="35"/>
      <c r="D55" s="35"/>
      <c r="E55" s="174" t="s">
        <v>120</v>
      </c>
      <c r="F55" s="49"/>
      <c r="G55" s="49"/>
      <c r="H55" s="49"/>
      <c r="I55" s="49"/>
      <c r="J55" s="49"/>
      <c r="K55" s="49"/>
      <c r="L55" s="49"/>
      <c r="M55" s="49"/>
      <c r="N55" s="49"/>
      <c r="O55" s="49"/>
      <c r="P55" s="49"/>
      <c r="Q55" s="49"/>
      <c r="R55" s="49"/>
      <c r="S55" s="49"/>
      <c r="T55" s="49"/>
      <c r="U55" s="49"/>
      <c r="V55" s="53"/>
    </row>
    <row r="56">
      <c r="A56" s="179"/>
      <c r="B56" s="35"/>
      <c r="D56" s="35"/>
      <c r="E56" s="184" t="s">
        <v>125</v>
      </c>
      <c r="F56" s="58"/>
      <c r="G56" s="58"/>
      <c r="H56" s="58"/>
      <c r="I56" s="58"/>
      <c r="J56" s="58"/>
      <c r="K56" s="58"/>
      <c r="L56" s="58"/>
      <c r="M56" s="58"/>
      <c r="N56" s="58"/>
      <c r="O56" s="58"/>
      <c r="P56" s="58"/>
      <c r="Q56" s="58"/>
      <c r="R56" s="58"/>
      <c r="S56" s="58"/>
      <c r="T56" s="58"/>
      <c r="U56" s="58"/>
      <c r="V56" s="61"/>
    </row>
    <row r="57">
      <c r="A57" s="185"/>
      <c r="B57" s="35"/>
      <c r="D57" s="35"/>
      <c r="E57" s="187" t="s">
        <v>126</v>
      </c>
      <c r="F57" s="49"/>
      <c r="G57" s="49"/>
      <c r="H57" s="49"/>
      <c r="I57" s="49"/>
      <c r="J57" s="49"/>
      <c r="K57" s="49"/>
      <c r="L57" s="49"/>
      <c r="M57" s="49"/>
      <c r="N57" s="49"/>
      <c r="O57" s="49"/>
      <c r="P57" s="49"/>
      <c r="Q57" s="49"/>
      <c r="R57" s="49"/>
      <c r="S57" s="49"/>
      <c r="T57" s="49"/>
      <c r="U57" s="49"/>
      <c r="V57" s="53"/>
    </row>
    <row r="58">
      <c r="A58" s="185"/>
      <c r="B58" s="35"/>
      <c r="D58" s="35"/>
      <c r="E58" s="192" t="s">
        <v>128</v>
      </c>
      <c r="F58" s="49"/>
      <c r="G58" s="49"/>
      <c r="H58" s="49"/>
      <c r="I58" s="49"/>
      <c r="J58" s="49"/>
      <c r="K58" s="49"/>
      <c r="L58" s="49"/>
      <c r="M58" s="49"/>
      <c r="N58" s="49"/>
      <c r="O58" s="49"/>
      <c r="P58" s="49"/>
      <c r="Q58" s="49"/>
      <c r="R58" s="49"/>
      <c r="S58" s="49"/>
      <c r="T58" s="49"/>
      <c r="U58" s="49"/>
      <c r="V58" s="53"/>
    </row>
    <row r="59">
      <c r="A59" s="185"/>
      <c r="B59" s="35"/>
      <c r="D59" s="35"/>
      <c r="E59" s="187" t="s">
        <v>130</v>
      </c>
      <c r="F59" s="49"/>
      <c r="G59" s="49"/>
      <c r="H59" s="49"/>
      <c r="I59" s="49"/>
      <c r="J59" s="49"/>
      <c r="K59" s="49"/>
      <c r="L59" s="49"/>
      <c r="M59" s="49"/>
      <c r="N59" s="49"/>
      <c r="O59" s="49"/>
      <c r="P59" s="49"/>
      <c r="Q59" s="49"/>
      <c r="R59" s="49"/>
      <c r="S59" s="49"/>
      <c r="T59" s="49"/>
      <c r="U59" s="49"/>
      <c r="V59" s="53"/>
    </row>
    <row r="60">
      <c r="A60" s="185"/>
      <c r="B60" s="35"/>
      <c r="D60" s="35"/>
      <c r="E60" s="187" t="s">
        <v>133</v>
      </c>
      <c r="F60" s="49"/>
      <c r="G60" s="49"/>
      <c r="H60" s="49"/>
      <c r="I60" s="49"/>
      <c r="J60" s="49"/>
      <c r="K60" s="49"/>
      <c r="L60" s="49"/>
      <c r="M60" s="49"/>
      <c r="N60" s="49"/>
      <c r="O60" s="49"/>
      <c r="P60" s="49"/>
      <c r="Q60" s="49"/>
      <c r="R60" s="49"/>
      <c r="S60" s="49"/>
      <c r="T60" s="49"/>
      <c r="U60" s="49"/>
      <c r="V60" s="53"/>
    </row>
    <row r="61">
      <c r="A61" s="185"/>
      <c r="B61" s="35"/>
      <c r="D61" s="35"/>
      <c r="E61" s="201" t="s">
        <v>135</v>
      </c>
      <c r="F61" s="116"/>
      <c r="G61" s="116"/>
      <c r="H61" s="116"/>
      <c r="I61" s="116"/>
      <c r="J61" s="116"/>
      <c r="K61" s="116"/>
      <c r="L61" s="116"/>
      <c r="M61" s="116"/>
      <c r="N61" s="116"/>
      <c r="O61" s="116"/>
      <c r="P61" s="116"/>
      <c r="Q61" s="116"/>
      <c r="R61" s="116"/>
      <c r="S61" s="116"/>
      <c r="T61" s="116"/>
      <c r="U61" s="116"/>
      <c r="V61" s="117"/>
    </row>
    <row r="62">
      <c r="A62" s="185"/>
      <c r="B62" s="35"/>
      <c r="D62" s="35"/>
      <c r="E62" s="202"/>
      <c r="F62" s="35"/>
      <c r="G62" s="35"/>
      <c r="H62" s="35"/>
      <c r="I62" s="35"/>
      <c r="J62" s="35"/>
      <c r="K62" s="35"/>
      <c r="L62" s="35"/>
      <c r="M62" s="35"/>
      <c r="N62" s="35"/>
      <c r="O62" s="35"/>
      <c r="P62" s="35"/>
      <c r="Q62" s="35"/>
      <c r="R62" s="35"/>
      <c r="S62" s="35"/>
      <c r="T62" s="35"/>
      <c r="U62" s="35"/>
      <c r="V62" s="84"/>
    </row>
    <row r="63">
      <c r="A63" s="185"/>
      <c r="B63" s="35"/>
      <c r="C63" s="166" t="s">
        <v>137</v>
      </c>
      <c r="G63" s="35"/>
      <c r="H63" s="35"/>
      <c r="I63" s="35"/>
      <c r="J63" s="35"/>
      <c r="K63" s="35"/>
      <c r="L63" s="35"/>
      <c r="M63" s="35"/>
      <c r="N63" s="35"/>
      <c r="O63" s="35"/>
      <c r="P63" s="35"/>
      <c r="Q63" s="35"/>
      <c r="R63" s="35"/>
      <c r="S63" s="35"/>
      <c r="T63" s="35"/>
      <c r="U63" s="35"/>
      <c r="V63" s="84"/>
    </row>
    <row r="64">
      <c r="A64" s="207"/>
      <c r="B64" s="35"/>
      <c r="D64" s="35"/>
      <c r="E64" s="209" t="s">
        <v>138</v>
      </c>
      <c r="F64" s="49"/>
      <c r="G64" s="49"/>
      <c r="H64" s="49"/>
      <c r="I64" s="49"/>
      <c r="J64" s="49"/>
      <c r="K64" s="49"/>
      <c r="L64" s="49"/>
      <c r="M64" s="49"/>
      <c r="N64" s="49"/>
      <c r="O64" s="49"/>
      <c r="P64" s="49"/>
      <c r="Q64" s="49"/>
      <c r="R64" s="49"/>
      <c r="S64" s="49"/>
      <c r="T64" s="49"/>
      <c r="U64" s="49"/>
      <c r="V64" s="53"/>
    </row>
    <row r="65">
      <c r="A65" s="185"/>
      <c r="B65" s="35"/>
      <c r="D65" s="35"/>
      <c r="E65" s="211" t="s">
        <v>139</v>
      </c>
      <c r="F65" s="58"/>
      <c r="G65" s="58"/>
      <c r="H65" s="58"/>
      <c r="I65" s="214"/>
      <c r="J65" s="214"/>
      <c r="K65" s="214"/>
      <c r="L65" s="214"/>
      <c r="M65" s="214"/>
      <c r="N65" s="214"/>
      <c r="O65" s="214"/>
      <c r="P65" s="214"/>
      <c r="Q65" s="214"/>
      <c r="R65" s="214"/>
      <c r="S65" s="214"/>
      <c r="T65" s="214"/>
      <c r="U65" s="214"/>
      <c r="V65" s="215"/>
    </row>
    <row r="66">
      <c r="A66" s="185"/>
      <c r="B66" s="35"/>
      <c r="D66" s="35"/>
      <c r="E66" s="217" t="s">
        <v>143</v>
      </c>
      <c r="F66" s="58"/>
      <c r="G66" s="58"/>
      <c r="H66" s="58"/>
      <c r="I66" s="58"/>
      <c r="J66" s="58"/>
      <c r="K66" s="58"/>
      <c r="L66" s="58"/>
      <c r="M66" s="58"/>
      <c r="N66" s="58"/>
      <c r="O66" s="58"/>
      <c r="P66" s="58"/>
      <c r="Q66" s="58"/>
      <c r="R66" s="58"/>
      <c r="S66" s="58"/>
      <c r="T66" s="58"/>
      <c r="U66" s="58"/>
      <c r="V66" s="61"/>
    </row>
    <row r="67">
      <c r="A67" s="219"/>
      <c r="B67" s="220"/>
      <c r="C67" s="220"/>
      <c r="D67" s="220"/>
      <c r="E67" s="45" t="s">
        <v>145</v>
      </c>
      <c r="F67" s="221"/>
      <c r="G67" s="220"/>
      <c r="H67" s="220"/>
      <c r="I67" s="220"/>
      <c r="J67" s="220"/>
      <c r="K67" s="220"/>
      <c r="L67" s="220"/>
      <c r="M67" s="220"/>
      <c r="N67" s="220"/>
      <c r="O67" s="220"/>
      <c r="P67" s="220"/>
      <c r="Q67" s="220"/>
      <c r="R67" s="220"/>
      <c r="S67" s="220"/>
      <c r="T67" s="220"/>
      <c r="U67" s="220"/>
      <c r="V67" s="223"/>
    </row>
    <row r="68">
      <c r="A68" s="185"/>
      <c r="B68" s="35"/>
      <c r="C68" s="35"/>
      <c r="D68" s="35"/>
      <c r="E68" s="229" t="s">
        <v>147</v>
      </c>
      <c r="F68" s="214"/>
      <c r="G68" s="214"/>
      <c r="H68" s="214"/>
      <c r="I68" s="214"/>
      <c r="J68" s="214"/>
      <c r="K68" s="214"/>
      <c r="L68" s="214"/>
      <c r="M68" s="214"/>
      <c r="N68" s="214"/>
      <c r="O68" s="214"/>
      <c r="P68" s="214"/>
      <c r="Q68" s="214"/>
      <c r="R68" s="214"/>
      <c r="S68" s="214"/>
      <c r="T68" s="214"/>
      <c r="U68" s="214"/>
      <c r="V68" s="215"/>
    </row>
    <row r="69">
      <c r="A69" s="185"/>
      <c r="B69" s="35"/>
      <c r="C69" s="35"/>
      <c r="D69" s="35"/>
      <c r="E69" s="234" t="s">
        <v>150</v>
      </c>
      <c r="F69" s="76"/>
      <c r="G69" s="76"/>
      <c r="H69" s="76"/>
      <c r="I69" s="76"/>
      <c r="J69" s="76"/>
      <c r="K69" s="76"/>
      <c r="L69" s="76"/>
      <c r="M69" s="76"/>
      <c r="N69" s="76"/>
      <c r="O69" s="76"/>
      <c r="P69" s="76"/>
      <c r="Q69" s="76"/>
      <c r="R69" s="76"/>
      <c r="S69" s="76"/>
      <c r="T69" s="76"/>
      <c r="U69" s="76"/>
      <c r="V69" s="80"/>
    </row>
    <row r="70">
      <c r="A70" s="235"/>
      <c r="B70" s="116"/>
      <c r="C70" s="116"/>
      <c r="D70" s="116"/>
      <c r="E70" s="116"/>
      <c r="F70" s="116"/>
      <c r="G70" s="116"/>
      <c r="H70" s="116"/>
      <c r="I70" s="116"/>
      <c r="J70" s="116"/>
      <c r="K70" s="116"/>
      <c r="L70" s="116"/>
      <c r="M70" s="116"/>
      <c r="N70" s="116"/>
      <c r="O70" s="116"/>
      <c r="P70" s="116"/>
      <c r="Q70" s="116"/>
      <c r="R70" s="116"/>
      <c r="S70" s="116"/>
      <c r="T70" s="116"/>
      <c r="U70" s="116"/>
      <c r="V70" s="117"/>
    </row>
  </sheetData>
  <mergeCells count="24">
    <mergeCell ref="A1:G1"/>
    <mergeCell ref="A2:G2"/>
    <mergeCell ref="A12:G12"/>
    <mergeCell ref="C14:F14"/>
    <mergeCell ref="F15:S15"/>
    <mergeCell ref="F16:S16"/>
    <mergeCell ref="F17:S17"/>
    <mergeCell ref="F18:S18"/>
    <mergeCell ref="F19:S19"/>
    <mergeCell ref="F20:S20"/>
    <mergeCell ref="C22:F22"/>
    <mergeCell ref="F23:S23"/>
    <mergeCell ref="F24:S24"/>
    <mergeCell ref="F25:S25"/>
    <mergeCell ref="A52:G52"/>
    <mergeCell ref="C54:F54"/>
    <mergeCell ref="C63:F63"/>
    <mergeCell ref="F26:S26"/>
    <mergeCell ref="F27:S27"/>
    <mergeCell ref="F28:S28"/>
    <mergeCell ref="F29:S29"/>
    <mergeCell ref="A31:G31"/>
    <mergeCell ref="C33:E33"/>
    <mergeCell ref="C44:E44"/>
  </mergeCells>
  <hyperlinks>
    <hyperlink display="Main CEA" location="'Main CEA'!A1" ref="E4"/>
    <hyperlink display="Counterfactual malaria" location="'Counterfactual malaria'!A1" ref="E5"/>
    <hyperlink display="Leverage/Funging" location="LeverageFunging!A1" ref="E6"/>
    <hyperlink display="Inputs" location="Inputs!A1" ref="E7"/>
    <hyperlink display="GBD estimates" location="'GBD estimates'!A1" ref="E8"/>
    <hyperlink display="Simple CEA" location="'Simple CEA'!A1" ref="E9"/>
    <hyperlink display="Sensitivity analysis" location="'Confidence intervals'!A1" ref="E10"/>
    <hyperlink r:id="rId1" ref="E55"/>
    <hyperlink r:id="rId2" ref="E56"/>
    <hyperlink r:id="rId3" ref="E57"/>
    <hyperlink r:id="rId4" ref="E58"/>
    <hyperlink r:id="rId5" location="gid=0" ref="E59"/>
    <hyperlink r:id="rId6" location="gid=76004464" ref="E60"/>
    <hyperlink r:id="rId7" location="gid=0" ref="E61"/>
    <hyperlink r:id="rId8" location="gid=1087538420" ref="E64"/>
    <hyperlink r:id="rId9" location="gid=0" ref="E65"/>
    <hyperlink r:id="rId10" ref="E66"/>
    <hyperlink r:id="rId11" location="gid=1110574950" ref="E67"/>
    <hyperlink r:id="rId12" ref="E68"/>
    <hyperlink r:id="rId13" ref="E69"/>
  </hyperlinks>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26" width="12.13"/>
    <col customWidth="1" min="27" max="27" width="3.63"/>
  </cols>
  <sheetData>
    <row r="1">
      <c r="A1" s="1"/>
      <c r="B1" s="2"/>
      <c r="C1" s="2"/>
      <c r="D1" s="2"/>
      <c r="E1" s="5"/>
      <c r="F1" s="6"/>
      <c r="G1" s="9"/>
      <c r="H1" s="11"/>
      <c r="I1" s="14" t="s">
        <v>1</v>
      </c>
      <c r="J1" s="15"/>
      <c r="K1" s="15"/>
      <c r="L1" s="15"/>
      <c r="M1" s="15"/>
      <c r="N1" s="15"/>
      <c r="O1" s="15"/>
      <c r="P1" s="15"/>
      <c r="Q1" s="15"/>
      <c r="R1" s="18" t="s">
        <v>1</v>
      </c>
      <c r="S1" s="17"/>
      <c r="T1" s="17"/>
      <c r="U1" s="17"/>
      <c r="V1" s="17"/>
      <c r="W1" s="17"/>
      <c r="X1" s="17"/>
      <c r="Y1" s="17"/>
      <c r="Z1" s="17"/>
      <c r="AA1" s="22"/>
    </row>
    <row r="2">
      <c r="A2" s="21"/>
      <c r="B2" s="23"/>
      <c r="C2" s="23"/>
      <c r="D2" s="23"/>
      <c r="E2" s="25"/>
      <c r="F2" s="26"/>
      <c r="G2" s="27"/>
      <c r="H2" s="30"/>
      <c r="I2" s="32" t="s">
        <v>3</v>
      </c>
      <c r="J2" s="31" t="s">
        <v>4</v>
      </c>
      <c r="K2" s="31" t="s">
        <v>5</v>
      </c>
      <c r="L2" s="31" t="s">
        <v>5</v>
      </c>
      <c r="M2" s="31" t="s">
        <v>5</v>
      </c>
      <c r="N2" s="31" t="s">
        <v>5</v>
      </c>
      <c r="O2" s="31" t="s">
        <v>6</v>
      </c>
      <c r="P2" s="31" t="s">
        <v>7</v>
      </c>
      <c r="Q2" s="31" t="s">
        <v>7</v>
      </c>
      <c r="R2" s="31" t="s">
        <v>7</v>
      </c>
      <c r="S2" s="31" t="s">
        <v>7</v>
      </c>
      <c r="T2" s="31" t="s">
        <v>7</v>
      </c>
      <c r="U2" s="31" t="s">
        <v>7</v>
      </c>
      <c r="V2" s="31" t="s">
        <v>7</v>
      </c>
      <c r="W2" s="31" t="s">
        <v>7</v>
      </c>
      <c r="X2" s="31" t="s">
        <v>7</v>
      </c>
      <c r="Y2" s="31" t="s">
        <v>8</v>
      </c>
      <c r="Z2" s="31" t="s">
        <v>9</v>
      </c>
      <c r="AA2" s="38"/>
    </row>
    <row r="3">
      <c r="A3" s="39" t="s">
        <v>10</v>
      </c>
      <c r="B3" s="15"/>
      <c r="C3" s="15"/>
      <c r="D3" s="15"/>
      <c r="E3" s="15"/>
      <c r="F3" s="40" t="s">
        <v>14</v>
      </c>
      <c r="G3" s="41" t="s">
        <v>15</v>
      </c>
      <c r="H3" s="42" t="s">
        <v>16</v>
      </c>
      <c r="I3" s="14"/>
      <c r="J3" s="44"/>
      <c r="K3" s="44" t="s">
        <v>17</v>
      </c>
      <c r="L3" s="44" t="s">
        <v>18</v>
      </c>
      <c r="M3" s="44" t="s">
        <v>19</v>
      </c>
      <c r="N3" s="44" t="s">
        <v>20</v>
      </c>
      <c r="O3" s="44" t="s">
        <v>21</v>
      </c>
      <c r="P3" s="44" t="s">
        <v>22</v>
      </c>
      <c r="Q3" s="44" t="s">
        <v>23</v>
      </c>
      <c r="R3" s="44" t="s">
        <v>24</v>
      </c>
      <c r="S3" s="44" t="s">
        <v>25</v>
      </c>
      <c r="T3" s="44" t="s">
        <v>26</v>
      </c>
      <c r="U3" s="44" t="s">
        <v>27</v>
      </c>
      <c r="V3" s="44" t="s">
        <v>28</v>
      </c>
      <c r="W3" s="44" t="s">
        <v>29</v>
      </c>
      <c r="X3" s="44" t="s">
        <v>30</v>
      </c>
      <c r="Y3" s="44"/>
      <c r="Z3" s="44" t="s">
        <v>32</v>
      </c>
      <c r="AA3" s="47"/>
    </row>
    <row r="4">
      <c r="A4" s="51"/>
      <c r="B4" s="50"/>
      <c r="C4" s="50"/>
      <c r="D4" s="50"/>
      <c r="E4" s="52" t="s">
        <v>34</v>
      </c>
      <c r="F4" s="57" t="str">
        <f>F191</f>
        <v>xbenchmark</v>
      </c>
      <c r="G4" s="60" t="s">
        <v>38</v>
      </c>
      <c r="H4" s="62" t="str">
        <f t="shared" ref="H4:Z4" si="1">H191</f>
        <v>-</v>
      </c>
      <c r="I4" s="64">
        <f t="shared" si="1"/>
        <v>18.0174674</v>
      </c>
      <c r="J4" s="64">
        <f t="shared" si="1"/>
        <v>8.019128417</v>
      </c>
      <c r="K4" s="64">
        <f t="shared" si="1"/>
        <v>7.852125556</v>
      </c>
      <c r="L4" s="64">
        <f t="shared" si="1"/>
        <v>9.246029712</v>
      </c>
      <c r="M4" s="64">
        <f t="shared" si="1"/>
        <v>9.101271824</v>
      </c>
      <c r="N4" s="64">
        <f t="shared" si="1"/>
        <v>12.5733096</v>
      </c>
      <c r="O4" s="64">
        <f t="shared" si="1"/>
        <v>11.49583583</v>
      </c>
      <c r="P4" s="64">
        <f t="shared" si="1"/>
        <v>21.23317512</v>
      </c>
      <c r="Q4" s="64">
        <f t="shared" si="1"/>
        <v>18.02657078</v>
      </c>
      <c r="R4" s="64">
        <f t="shared" si="1"/>
        <v>16.09673298</v>
      </c>
      <c r="S4" s="64">
        <f t="shared" si="1"/>
        <v>29.42816881</v>
      </c>
      <c r="T4" s="64">
        <f t="shared" si="1"/>
        <v>21.04785894</v>
      </c>
      <c r="U4" s="64">
        <f t="shared" si="1"/>
        <v>22.32938367</v>
      </c>
      <c r="V4" s="64">
        <f t="shared" si="1"/>
        <v>24.33012971</v>
      </c>
      <c r="W4" s="64">
        <f t="shared" si="1"/>
        <v>16.04591397</v>
      </c>
      <c r="X4" s="64">
        <f t="shared" si="1"/>
        <v>29.83296948</v>
      </c>
      <c r="Y4" s="64">
        <f t="shared" si="1"/>
        <v>10.567669</v>
      </c>
      <c r="Z4" s="64">
        <f t="shared" si="1"/>
        <v>10.36078258</v>
      </c>
      <c r="AA4" s="65"/>
    </row>
    <row r="5">
      <c r="A5" s="66" t="s">
        <v>46</v>
      </c>
      <c r="B5" s="17"/>
      <c r="C5" s="17"/>
      <c r="D5" s="17"/>
      <c r="E5" s="17"/>
      <c r="F5" s="17"/>
      <c r="G5" s="17"/>
      <c r="H5" s="67"/>
      <c r="I5" s="68"/>
      <c r="J5" s="68"/>
      <c r="K5" s="68"/>
      <c r="L5" s="68"/>
      <c r="M5" s="68"/>
      <c r="N5" s="68"/>
      <c r="O5" s="68"/>
      <c r="P5" s="68"/>
      <c r="Q5" s="68"/>
      <c r="R5" s="68"/>
      <c r="S5" s="68"/>
      <c r="T5" s="68"/>
      <c r="U5" s="68"/>
      <c r="V5" s="68"/>
      <c r="W5" s="68"/>
      <c r="X5" s="68"/>
      <c r="Y5" s="68"/>
      <c r="Z5" s="68"/>
      <c r="AA5" s="69"/>
    </row>
    <row r="6">
      <c r="A6" s="71"/>
      <c r="B6" s="72"/>
      <c r="C6" s="72"/>
      <c r="D6" s="72"/>
      <c r="E6" s="74"/>
      <c r="F6" s="75"/>
      <c r="G6" s="77"/>
      <c r="H6" s="78"/>
      <c r="I6" s="79"/>
      <c r="J6" s="79"/>
      <c r="K6" s="79"/>
      <c r="L6" s="79"/>
      <c r="M6" s="79"/>
      <c r="N6" s="79"/>
      <c r="O6" s="79"/>
      <c r="P6" s="79"/>
      <c r="Q6" s="79"/>
      <c r="R6" s="79"/>
      <c r="S6" s="79"/>
      <c r="T6" s="79"/>
      <c r="U6" s="79"/>
      <c r="V6" s="79"/>
      <c r="W6" s="79"/>
      <c r="X6" s="79"/>
      <c r="Y6" s="79"/>
      <c r="Z6" s="79"/>
      <c r="AA6" s="81"/>
    </row>
    <row r="7">
      <c r="A7" s="71"/>
      <c r="B7" s="72"/>
      <c r="C7" s="82" t="s">
        <v>50</v>
      </c>
      <c r="F7" s="75"/>
      <c r="G7" s="83"/>
      <c r="H7" s="78"/>
      <c r="I7" s="85"/>
      <c r="J7" s="85"/>
      <c r="K7" s="85"/>
      <c r="L7" s="85"/>
      <c r="M7" s="85"/>
      <c r="N7" s="85"/>
      <c r="O7" s="85"/>
      <c r="P7" s="85"/>
      <c r="Q7" s="85"/>
      <c r="R7" s="85"/>
      <c r="S7" s="85"/>
      <c r="T7" s="85"/>
      <c r="U7" s="85"/>
      <c r="V7" s="85"/>
      <c r="W7" s="85"/>
      <c r="X7" s="85"/>
      <c r="Y7" s="85"/>
      <c r="Z7" s="85"/>
      <c r="AA7" s="81"/>
    </row>
    <row r="8">
      <c r="A8" s="71"/>
      <c r="B8" s="72"/>
      <c r="C8" s="72"/>
      <c r="D8" s="72"/>
      <c r="E8" s="93" t="s">
        <v>52</v>
      </c>
      <c r="F8" s="96" t="str">
        <f>Inputs!F8</f>
        <v>$</v>
      </c>
      <c r="G8" s="101" t="str">
        <f>Inputs!G8</f>
        <v>input</v>
      </c>
      <c r="H8" s="102">
        <f>Inputs!H8</f>
        <v>1000000</v>
      </c>
      <c r="I8" s="103" t="str">
        <f>Inputs!I8</f>
        <v>-</v>
      </c>
      <c r="J8" s="103" t="str">
        <f>Inputs!J8</f>
        <v>-</v>
      </c>
      <c r="K8" s="103" t="str">
        <f>Inputs!K8</f>
        <v>-</v>
      </c>
      <c r="L8" s="103" t="str">
        <f>Inputs!L8</f>
        <v>-</v>
      </c>
      <c r="M8" s="103" t="str">
        <f>Inputs!M8</f>
        <v>-</v>
      </c>
      <c r="N8" s="103" t="str">
        <f>Inputs!N8</f>
        <v>-</v>
      </c>
      <c r="O8" s="103" t="str">
        <f>Inputs!O8</f>
        <v>-</v>
      </c>
      <c r="P8" s="103" t="str">
        <f>Inputs!P8</f>
        <v>-</v>
      </c>
      <c r="Q8" s="103" t="str">
        <f>Inputs!Q8</f>
        <v>-</v>
      </c>
      <c r="R8" s="103" t="str">
        <f>Inputs!R8</f>
        <v>-</v>
      </c>
      <c r="S8" s="103" t="str">
        <f>Inputs!S8</f>
        <v>-</v>
      </c>
      <c r="T8" s="103" t="str">
        <f>Inputs!T8</f>
        <v>-</v>
      </c>
      <c r="U8" s="103" t="str">
        <f>Inputs!U8</f>
        <v>-</v>
      </c>
      <c r="V8" s="103" t="str">
        <f>Inputs!V8</f>
        <v>-</v>
      </c>
      <c r="W8" s="103" t="str">
        <f>Inputs!W8</f>
        <v>-</v>
      </c>
      <c r="X8" s="103" t="str">
        <f>Inputs!X8</f>
        <v>-</v>
      </c>
      <c r="Y8" s="103" t="str">
        <f>Inputs!Y8</f>
        <v>-</v>
      </c>
      <c r="Z8" s="103" t="str">
        <f>Inputs!Z8</f>
        <v>-</v>
      </c>
      <c r="AA8" s="118"/>
    </row>
    <row r="9">
      <c r="A9" s="71"/>
      <c r="B9" s="72"/>
      <c r="C9" s="72"/>
      <c r="D9" s="72"/>
      <c r="E9" s="119"/>
      <c r="F9" s="120"/>
      <c r="G9" s="122"/>
      <c r="H9" s="78"/>
      <c r="I9" s="85"/>
      <c r="J9" s="85"/>
      <c r="K9" s="85"/>
      <c r="L9" s="85"/>
      <c r="M9" s="85"/>
      <c r="N9" s="85"/>
      <c r="O9" s="85"/>
      <c r="P9" s="85"/>
      <c r="Q9" s="85"/>
      <c r="R9" s="85"/>
      <c r="S9" s="85"/>
      <c r="T9" s="85"/>
      <c r="U9" s="85"/>
      <c r="V9" s="85"/>
      <c r="W9" s="85"/>
      <c r="X9" s="85"/>
      <c r="Y9" s="85"/>
      <c r="Z9" s="85"/>
      <c r="AA9" s="81"/>
    </row>
    <row r="10">
      <c r="A10" s="71"/>
      <c r="B10" s="72"/>
      <c r="C10" s="124" t="s">
        <v>71</v>
      </c>
      <c r="F10" s="125"/>
      <c r="G10" s="126"/>
      <c r="H10" s="78"/>
      <c r="I10" s="85"/>
      <c r="J10" s="85"/>
      <c r="K10" s="85"/>
      <c r="L10" s="85"/>
      <c r="M10" s="85"/>
      <c r="N10" s="85"/>
      <c r="O10" s="85"/>
      <c r="P10" s="85"/>
      <c r="Q10" s="85"/>
      <c r="R10" s="85"/>
      <c r="S10" s="85"/>
      <c r="T10" s="85"/>
      <c r="U10" s="85"/>
      <c r="V10" s="85"/>
      <c r="W10" s="85"/>
      <c r="X10" s="85"/>
      <c r="Y10" s="85"/>
      <c r="Z10" s="85"/>
      <c r="AA10" s="81"/>
    </row>
    <row r="11">
      <c r="A11" s="71"/>
      <c r="B11" s="72"/>
      <c r="C11" s="35"/>
      <c r="D11" s="35"/>
      <c r="E11" s="127" t="s">
        <v>74</v>
      </c>
      <c r="F11" s="128" t="str">
        <f>Inputs!F11</f>
        <v>%</v>
      </c>
      <c r="G11" s="130" t="str">
        <f>Inputs!G11</f>
        <v>input</v>
      </c>
      <c r="H11" s="131" t="str">
        <f>Inputs!H11</f>
        <v>-</v>
      </c>
      <c r="I11" s="132">
        <f>Inputs!I11</f>
        <v>0.8872139</v>
      </c>
      <c r="J11" s="132">
        <f>Inputs!J11</f>
        <v>0.8943595</v>
      </c>
      <c r="K11" s="132">
        <f>Inputs!K11</f>
        <v>0.8943595</v>
      </c>
      <c r="L11" s="132">
        <f>Inputs!L11</f>
        <v>0.8943595</v>
      </c>
      <c r="M11" s="132">
        <f>Inputs!M11</f>
        <v>0.8943595</v>
      </c>
      <c r="N11" s="132">
        <f>Inputs!N11</f>
        <v>0.8943595</v>
      </c>
      <c r="O11" s="132">
        <f>Inputs!O11</f>
        <v>0.8943595</v>
      </c>
      <c r="P11" s="132">
        <f>Inputs!P11</f>
        <v>0.8604484</v>
      </c>
      <c r="Q11" s="132">
        <f>Inputs!Q11</f>
        <v>0.8604484</v>
      </c>
      <c r="R11" s="132">
        <f>Inputs!R11</f>
        <v>0.8604484</v>
      </c>
      <c r="S11" s="132">
        <f>Inputs!S11</f>
        <v>0.8604484</v>
      </c>
      <c r="T11" s="132">
        <f>Inputs!T11</f>
        <v>0.8604484</v>
      </c>
      <c r="U11" s="132">
        <f>Inputs!U11</f>
        <v>0.8604484</v>
      </c>
      <c r="V11" s="132">
        <f>Inputs!V11</f>
        <v>0.8604484</v>
      </c>
      <c r="W11" s="132">
        <f>Inputs!W11</f>
        <v>0.8604484</v>
      </c>
      <c r="X11" s="132">
        <f>Inputs!X11</f>
        <v>0.8604484</v>
      </c>
      <c r="Y11" s="132">
        <f>Inputs!Y11</f>
        <v>0.874083</v>
      </c>
      <c r="Z11" s="132">
        <f>Inputs!Z11</f>
        <v>0.8943595</v>
      </c>
      <c r="AA11" s="140"/>
    </row>
    <row r="12">
      <c r="A12" s="71"/>
      <c r="B12" s="72"/>
      <c r="C12" s="35"/>
      <c r="D12" s="35"/>
      <c r="E12" s="144" t="s">
        <v>91</v>
      </c>
      <c r="F12" s="146" t="str">
        <f>Inputs!F12</f>
        <v>%</v>
      </c>
      <c r="G12" s="147" t="str">
        <f>Inputs!G12</f>
        <v>input</v>
      </c>
      <c r="H12" s="149" t="str">
        <f>Inputs!H12</f>
        <v>-</v>
      </c>
      <c r="I12" s="150">
        <f>Inputs!I12</f>
        <v>0.0081278</v>
      </c>
      <c r="J12" s="150">
        <f>Inputs!J12</f>
        <v>0</v>
      </c>
      <c r="K12" s="150">
        <f>Inputs!K12</f>
        <v>0</v>
      </c>
      <c r="L12" s="150">
        <f>Inputs!L12</f>
        <v>0</v>
      </c>
      <c r="M12" s="150">
        <f>Inputs!M12</f>
        <v>0</v>
      </c>
      <c r="N12" s="150">
        <f>Inputs!N12</f>
        <v>0</v>
      </c>
      <c r="O12" s="150">
        <f>Inputs!O12</f>
        <v>0</v>
      </c>
      <c r="P12" s="150">
        <f>Inputs!P12</f>
        <v>0.0384031</v>
      </c>
      <c r="Q12" s="150">
        <f>Inputs!Q12</f>
        <v>0.0384031</v>
      </c>
      <c r="R12" s="150">
        <f>Inputs!R12</f>
        <v>0.0384031</v>
      </c>
      <c r="S12" s="150">
        <f>Inputs!S12</f>
        <v>0.0384031</v>
      </c>
      <c r="T12" s="150">
        <f>Inputs!T12</f>
        <v>0.0384031</v>
      </c>
      <c r="U12" s="150">
        <f>Inputs!U12</f>
        <v>0.0384031</v>
      </c>
      <c r="V12" s="150">
        <f>Inputs!V12</f>
        <v>0.0384031</v>
      </c>
      <c r="W12" s="150">
        <f>Inputs!W12</f>
        <v>0.0384031</v>
      </c>
      <c r="X12" s="150">
        <f>Inputs!X12</f>
        <v>0.0384031</v>
      </c>
      <c r="Y12" s="150">
        <f>Inputs!Y12</f>
        <v>0.0244652</v>
      </c>
      <c r="Z12" s="150">
        <f>Inputs!Z12</f>
        <v>0</v>
      </c>
      <c r="AA12" s="154"/>
    </row>
    <row r="13">
      <c r="A13" s="71"/>
      <c r="B13" s="72"/>
      <c r="C13" s="35"/>
      <c r="D13" s="35"/>
      <c r="E13" s="156" t="s">
        <v>109</v>
      </c>
      <c r="F13" s="157" t="str">
        <f>Inputs!F13</f>
        <v>%</v>
      </c>
      <c r="G13" s="159" t="str">
        <f>Inputs!G13</f>
        <v>input</v>
      </c>
      <c r="H13" s="160" t="str">
        <f>Inputs!H13</f>
        <v>-</v>
      </c>
      <c r="I13" s="162">
        <f>Inputs!I13</f>
        <v>0.1046583</v>
      </c>
      <c r="J13" s="162">
        <f>Inputs!J13</f>
        <v>0.1056405</v>
      </c>
      <c r="K13" s="162">
        <f>Inputs!K13</f>
        <v>0.1056405</v>
      </c>
      <c r="L13" s="162">
        <f>Inputs!L13</f>
        <v>0.1056405</v>
      </c>
      <c r="M13" s="162">
        <f>Inputs!M13</f>
        <v>0.1056405</v>
      </c>
      <c r="N13" s="162">
        <f>Inputs!N13</f>
        <v>0.1056405</v>
      </c>
      <c r="O13" s="162">
        <f>Inputs!O13</f>
        <v>0.1056405</v>
      </c>
      <c r="P13" s="162">
        <f>Inputs!P13</f>
        <v>0.1011485</v>
      </c>
      <c r="Q13" s="162">
        <f>Inputs!Q13</f>
        <v>0.1011485</v>
      </c>
      <c r="R13" s="162">
        <f>Inputs!R13</f>
        <v>0.1011485</v>
      </c>
      <c r="S13" s="162">
        <f>Inputs!S13</f>
        <v>0.1011485</v>
      </c>
      <c r="T13" s="162">
        <f>Inputs!T13</f>
        <v>0.1011485</v>
      </c>
      <c r="U13" s="162">
        <f>Inputs!U13</f>
        <v>0.1011485</v>
      </c>
      <c r="V13" s="162">
        <f>Inputs!V13</f>
        <v>0.1011485</v>
      </c>
      <c r="W13" s="162">
        <f>Inputs!W13</f>
        <v>0.1011485</v>
      </c>
      <c r="X13" s="162">
        <f>Inputs!X13</f>
        <v>0.1011485</v>
      </c>
      <c r="Y13" s="162">
        <f>Inputs!Y13</f>
        <v>0.1014518</v>
      </c>
      <c r="Z13" s="162">
        <f>Inputs!Z13</f>
        <v>0.1056405</v>
      </c>
      <c r="AA13" s="167"/>
    </row>
    <row r="14">
      <c r="A14" s="71"/>
      <c r="B14" s="72"/>
      <c r="C14" s="107"/>
      <c r="D14" s="72"/>
      <c r="E14" s="119"/>
      <c r="F14" s="120"/>
      <c r="G14" s="168"/>
      <c r="H14" s="78"/>
      <c r="I14" s="85"/>
      <c r="J14" s="85"/>
      <c r="K14" s="85"/>
      <c r="L14" s="85"/>
      <c r="M14" s="85"/>
      <c r="N14" s="85"/>
      <c r="O14" s="85"/>
      <c r="P14" s="85"/>
      <c r="Q14" s="85"/>
      <c r="R14" s="85"/>
      <c r="S14" s="85"/>
      <c r="T14" s="85"/>
      <c r="U14" s="85"/>
      <c r="V14" s="85"/>
      <c r="W14" s="85"/>
      <c r="X14" s="85"/>
      <c r="Y14" s="85"/>
      <c r="Z14" s="85"/>
      <c r="AA14" s="81"/>
    </row>
    <row r="15">
      <c r="A15" s="71"/>
      <c r="B15" s="72"/>
      <c r="C15" s="107" t="s">
        <v>122</v>
      </c>
      <c r="F15" s="120"/>
      <c r="G15" s="168"/>
      <c r="H15" s="78"/>
      <c r="I15" s="85"/>
      <c r="J15" s="85"/>
      <c r="K15" s="85"/>
      <c r="L15" s="85"/>
      <c r="M15" s="85"/>
      <c r="N15" s="85"/>
      <c r="O15" s="85"/>
      <c r="P15" s="85"/>
      <c r="Q15" s="85"/>
      <c r="R15" s="85"/>
      <c r="S15" s="85"/>
      <c r="T15" s="85"/>
      <c r="U15" s="85"/>
      <c r="V15" s="85"/>
      <c r="W15" s="85"/>
      <c r="X15" s="85"/>
      <c r="Y15" s="85"/>
      <c r="Z15" s="85"/>
      <c r="AA15" s="81"/>
    </row>
    <row r="16">
      <c r="A16" s="71"/>
      <c r="B16" s="72"/>
      <c r="C16" s="107"/>
      <c r="D16" s="72"/>
      <c r="E16" s="93" t="s">
        <v>123</v>
      </c>
      <c r="F16" s="96" t="s">
        <v>95</v>
      </c>
      <c r="G16" s="176" t="s">
        <v>112</v>
      </c>
      <c r="H16" s="177" t="s">
        <v>124</v>
      </c>
      <c r="I16" s="112">
        <f t="shared" ref="I16:Z16" si="2">IF(I8="-",$H8/I11,I8/I11)</f>
        <v>1127123.91</v>
      </c>
      <c r="J16" s="112">
        <f t="shared" si="2"/>
        <v>1118118.609</v>
      </c>
      <c r="K16" s="112">
        <f t="shared" si="2"/>
        <v>1118118.609</v>
      </c>
      <c r="L16" s="112">
        <f t="shared" si="2"/>
        <v>1118118.609</v>
      </c>
      <c r="M16" s="112">
        <f t="shared" si="2"/>
        <v>1118118.609</v>
      </c>
      <c r="N16" s="112">
        <f t="shared" si="2"/>
        <v>1118118.609</v>
      </c>
      <c r="O16" s="112">
        <f t="shared" si="2"/>
        <v>1118118.609</v>
      </c>
      <c r="P16" s="112">
        <f t="shared" si="2"/>
        <v>1162184.74</v>
      </c>
      <c r="Q16" s="112">
        <f t="shared" si="2"/>
        <v>1162184.74</v>
      </c>
      <c r="R16" s="112">
        <f t="shared" si="2"/>
        <v>1162184.74</v>
      </c>
      <c r="S16" s="112">
        <f t="shared" si="2"/>
        <v>1162184.74</v>
      </c>
      <c r="T16" s="112">
        <f t="shared" si="2"/>
        <v>1162184.74</v>
      </c>
      <c r="U16" s="112">
        <f t="shared" si="2"/>
        <v>1162184.74</v>
      </c>
      <c r="V16" s="112">
        <f t="shared" si="2"/>
        <v>1162184.74</v>
      </c>
      <c r="W16" s="112">
        <f t="shared" si="2"/>
        <v>1162184.74</v>
      </c>
      <c r="X16" s="112">
        <f t="shared" si="2"/>
        <v>1162184.74</v>
      </c>
      <c r="Y16" s="112">
        <f t="shared" si="2"/>
        <v>1144056.114</v>
      </c>
      <c r="Z16" s="112">
        <f t="shared" si="2"/>
        <v>1118118.609</v>
      </c>
      <c r="AA16" s="118"/>
    </row>
    <row r="17">
      <c r="A17" s="71"/>
      <c r="B17" s="72"/>
      <c r="C17" s="107"/>
      <c r="D17" s="72"/>
      <c r="E17" s="119"/>
      <c r="F17" s="120"/>
      <c r="G17" s="168"/>
      <c r="H17" s="78"/>
      <c r="I17" s="85"/>
      <c r="J17" s="85"/>
      <c r="K17" s="85"/>
      <c r="L17" s="85"/>
      <c r="M17" s="85"/>
      <c r="N17" s="85"/>
      <c r="O17" s="85"/>
      <c r="P17" s="85"/>
      <c r="Q17" s="85"/>
      <c r="R17" s="85"/>
      <c r="S17" s="85"/>
      <c r="T17" s="85"/>
      <c r="U17" s="85"/>
      <c r="V17" s="85"/>
      <c r="W17" s="85"/>
      <c r="X17" s="85"/>
      <c r="Y17" s="85"/>
      <c r="Z17" s="85"/>
      <c r="AA17" s="81"/>
    </row>
    <row r="18">
      <c r="A18" s="71"/>
      <c r="B18" s="72"/>
      <c r="C18" s="188" t="s">
        <v>127</v>
      </c>
      <c r="F18" s="75"/>
      <c r="G18" s="83"/>
      <c r="H18" s="78"/>
      <c r="I18" s="85"/>
      <c r="J18" s="85"/>
      <c r="K18" s="85"/>
      <c r="L18" s="85"/>
      <c r="M18" s="85"/>
      <c r="N18" s="85"/>
      <c r="O18" s="85"/>
      <c r="P18" s="85"/>
      <c r="Q18" s="85"/>
      <c r="R18" s="85"/>
      <c r="S18" s="85"/>
      <c r="T18" s="85"/>
      <c r="U18" s="85"/>
      <c r="V18" s="85"/>
      <c r="W18" s="85"/>
      <c r="X18" s="85"/>
      <c r="Y18" s="85"/>
      <c r="Z18" s="85"/>
      <c r="AA18" s="81"/>
    </row>
    <row r="19">
      <c r="A19" s="71"/>
      <c r="B19" s="72"/>
      <c r="C19" s="72"/>
      <c r="D19" s="72"/>
      <c r="E19" s="189" t="s">
        <v>129</v>
      </c>
      <c r="F19" s="115" t="s">
        <v>95</v>
      </c>
      <c r="G19" s="190" t="s">
        <v>112</v>
      </c>
      <c r="H19" s="191" t="s">
        <v>124</v>
      </c>
      <c r="I19" s="193">
        <f t="shared" ref="I19:Z19" si="3">I$16*I11</f>
        <v>1000000</v>
      </c>
      <c r="J19" s="193">
        <f t="shared" si="3"/>
        <v>1000000</v>
      </c>
      <c r="K19" s="193">
        <f t="shared" si="3"/>
        <v>1000000</v>
      </c>
      <c r="L19" s="193">
        <f t="shared" si="3"/>
        <v>1000000</v>
      </c>
      <c r="M19" s="193">
        <f t="shared" si="3"/>
        <v>1000000</v>
      </c>
      <c r="N19" s="193">
        <f t="shared" si="3"/>
        <v>1000000</v>
      </c>
      <c r="O19" s="193">
        <f t="shared" si="3"/>
        <v>1000000</v>
      </c>
      <c r="P19" s="193">
        <f t="shared" si="3"/>
        <v>1000000</v>
      </c>
      <c r="Q19" s="193">
        <f t="shared" si="3"/>
        <v>1000000</v>
      </c>
      <c r="R19" s="193">
        <f t="shared" si="3"/>
        <v>1000000</v>
      </c>
      <c r="S19" s="193">
        <f t="shared" si="3"/>
        <v>1000000</v>
      </c>
      <c r="T19" s="193">
        <f t="shared" si="3"/>
        <v>1000000</v>
      </c>
      <c r="U19" s="193">
        <f t="shared" si="3"/>
        <v>1000000</v>
      </c>
      <c r="V19" s="193">
        <f t="shared" si="3"/>
        <v>1000000</v>
      </c>
      <c r="W19" s="193">
        <f t="shared" si="3"/>
        <v>1000000</v>
      </c>
      <c r="X19" s="193">
        <f t="shared" si="3"/>
        <v>1000000</v>
      </c>
      <c r="Y19" s="193">
        <f t="shared" si="3"/>
        <v>1000000</v>
      </c>
      <c r="Z19" s="193">
        <f t="shared" si="3"/>
        <v>1000000</v>
      </c>
      <c r="AA19" s="53"/>
    </row>
    <row r="20">
      <c r="A20" s="71"/>
      <c r="B20" s="72"/>
      <c r="C20" s="188"/>
      <c r="D20" s="72"/>
      <c r="E20" s="194" t="s">
        <v>132</v>
      </c>
      <c r="F20" s="139" t="s">
        <v>95</v>
      </c>
      <c r="G20" s="195" t="s">
        <v>112</v>
      </c>
      <c r="H20" s="196" t="s">
        <v>124</v>
      </c>
      <c r="I20" s="198">
        <f t="shared" ref="I20:Z20" si="4">I$16*I12</f>
        <v>9161.037716</v>
      </c>
      <c r="J20" s="198">
        <f t="shared" si="4"/>
        <v>0</v>
      </c>
      <c r="K20" s="198">
        <f t="shared" si="4"/>
        <v>0</v>
      </c>
      <c r="L20" s="198">
        <f t="shared" si="4"/>
        <v>0</v>
      </c>
      <c r="M20" s="198">
        <f t="shared" si="4"/>
        <v>0</v>
      </c>
      <c r="N20" s="198">
        <f t="shared" si="4"/>
        <v>0</v>
      </c>
      <c r="O20" s="198">
        <f t="shared" si="4"/>
        <v>0</v>
      </c>
      <c r="P20" s="198">
        <f t="shared" si="4"/>
        <v>44631.49679</v>
      </c>
      <c r="Q20" s="198">
        <f t="shared" si="4"/>
        <v>44631.49679</v>
      </c>
      <c r="R20" s="198">
        <f t="shared" si="4"/>
        <v>44631.49679</v>
      </c>
      <c r="S20" s="198">
        <f t="shared" si="4"/>
        <v>44631.49679</v>
      </c>
      <c r="T20" s="198">
        <f t="shared" si="4"/>
        <v>44631.49679</v>
      </c>
      <c r="U20" s="198">
        <f t="shared" si="4"/>
        <v>44631.49679</v>
      </c>
      <c r="V20" s="198">
        <f t="shared" si="4"/>
        <v>44631.49679</v>
      </c>
      <c r="W20" s="198">
        <f t="shared" si="4"/>
        <v>44631.49679</v>
      </c>
      <c r="X20" s="198">
        <f t="shared" si="4"/>
        <v>44631.49679</v>
      </c>
      <c r="Y20" s="198">
        <f t="shared" si="4"/>
        <v>27989.56163</v>
      </c>
      <c r="Z20" s="198">
        <f t="shared" si="4"/>
        <v>0</v>
      </c>
      <c r="AA20" s="61"/>
    </row>
    <row r="21">
      <c r="A21" s="71"/>
      <c r="B21" s="72"/>
      <c r="C21" s="188"/>
      <c r="D21" s="72"/>
      <c r="E21" s="203" t="s">
        <v>136</v>
      </c>
      <c r="F21" s="204" t="s">
        <v>95</v>
      </c>
      <c r="G21" s="205" t="s">
        <v>112</v>
      </c>
      <c r="H21" s="206" t="s">
        <v>124</v>
      </c>
      <c r="I21" s="208">
        <f t="shared" ref="I21:Z21" si="5">I$16*I13</f>
        <v>117962.8723</v>
      </c>
      <c r="J21" s="208">
        <f t="shared" si="5"/>
        <v>118118.6089</v>
      </c>
      <c r="K21" s="208">
        <f t="shared" si="5"/>
        <v>118118.6089</v>
      </c>
      <c r="L21" s="208">
        <f t="shared" si="5"/>
        <v>118118.6089</v>
      </c>
      <c r="M21" s="208">
        <f t="shared" si="5"/>
        <v>118118.6089</v>
      </c>
      <c r="N21" s="208">
        <f t="shared" si="5"/>
        <v>118118.6089</v>
      </c>
      <c r="O21" s="208">
        <f t="shared" si="5"/>
        <v>118118.6089</v>
      </c>
      <c r="P21" s="208">
        <f t="shared" si="5"/>
        <v>117553.2432</v>
      </c>
      <c r="Q21" s="208">
        <f t="shared" si="5"/>
        <v>117553.2432</v>
      </c>
      <c r="R21" s="208">
        <f t="shared" si="5"/>
        <v>117553.2432</v>
      </c>
      <c r="S21" s="208">
        <f t="shared" si="5"/>
        <v>117553.2432</v>
      </c>
      <c r="T21" s="208">
        <f t="shared" si="5"/>
        <v>117553.2432</v>
      </c>
      <c r="U21" s="208">
        <f t="shared" si="5"/>
        <v>117553.2432</v>
      </c>
      <c r="V21" s="208">
        <f t="shared" si="5"/>
        <v>117553.2432</v>
      </c>
      <c r="W21" s="208">
        <f t="shared" si="5"/>
        <v>117553.2432</v>
      </c>
      <c r="X21" s="208">
        <f t="shared" si="5"/>
        <v>117553.2432</v>
      </c>
      <c r="Y21" s="208">
        <f t="shared" si="5"/>
        <v>116066.552</v>
      </c>
      <c r="Z21" s="208">
        <f t="shared" si="5"/>
        <v>118118.6089</v>
      </c>
      <c r="AA21" s="80"/>
    </row>
    <row r="22">
      <c r="A22" s="71"/>
      <c r="B22" s="72"/>
      <c r="C22" s="188"/>
      <c r="D22" s="188"/>
      <c r="E22" s="169"/>
      <c r="F22" s="120"/>
      <c r="G22" s="170"/>
      <c r="H22" s="78"/>
      <c r="I22" s="85"/>
      <c r="J22" s="85"/>
      <c r="K22" s="85"/>
      <c r="L22" s="85"/>
      <c r="M22" s="85"/>
      <c r="N22" s="85"/>
      <c r="O22" s="85"/>
      <c r="P22" s="85"/>
      <c r="Q22" s="85"/>
      <c r="R22" s="85"/>
      <c r="S22" s="85"/>
      <c r="T22" s="85"/>
      <c r="U22" s="85"/>
      <c r="V22" s="85"/>
      <c r="W22" s="85"/>
      <c r="X22" s="85"/>
      <c r="Y22" s="85"/>
      <c r="Z22" s="85"/>
      <c r="AA22" s="81"/>
    </row>
    <row r="23">
      <c r="A23" s="71"/>
      <c r="B23" s="72"/>
      <c r="C23" s="188" t="s">
        <v>140</v>
      </c>
      <c r="F23" s="120"/>
      <c r="G23" s="170"/>
      <c r="H23" s="78"/>
      <c r="I23" s="85"/>
      <c r="J23" s="85"/>
      <c r="K23" s="85"/>
      <c r="L23" s="85"/>
      <c r="M23" s="85"/>
      <c r="N23" s="85"/>
      <c r="O23" s="85"/>
      <c r="P23" s="85"/>
      <c r="Q23" s="85"/>
      <c r="R23" s="85"/>
      <c r="S23" s="85"/>
      <c r="T23" s="85"/>
      <c r="U23" s="85"/>
      <c r="V23" s="85"/>
      <c r="W23" s="85"/>
      <c r="X23" s="85"/>
      <c r="Y23" s="85"/>
      <c r="Z23" s="85"/>
      <c r="AA23" s="81"/>
    </row>
    <row r="24">
      <c r="A24" s="71"/>
      <c r="B24" s="72"/>
      <c r="C24" s="72"/>
      <c r="D24" s="72"/>
      <c r="E24" s="189" t="s">
        <v>142</v>
      </c>
      <c r="F24" s="115" t="s">
        <v>95</v>
      </c>
      <c r="G24" s="212" t="s">
        <v>112</v>
      </c>
      <c r="H24" s="213" t="s">
        <v>124</v>
      </c>
      <c r="I24" s="193">
        <f t="shared" ref="I24:Z24" si="6">SUM(I19:I20)</f>
        <v>1009161.038</v>
      </c>
      <c r="J24" s="193">
        <f t="shared" si="6"/>
        <v>1000000</v>
      </c>
      <c r="K24" s="193">
        <f t="shared" si="6"/>
        <v>1000000</v>
      </c>
      <c r="L24" s="193">
        <f t="shared" si="6"/>
        <v>1000000</v>
      </c>
      <c r="M24" s="193">
        <f t="shared" si="6"/>
        <v>1000000</v>
      </c>
      <c r="N24" s="193">
        <f t="shared" si="6"/>
        <v>1000000</v>
      </c>
      <c r="O24" s="193">
        <f t="shared" si="6"/>
        <v>1000000</v>
      </c>
      <c r="P24" s="193">
        <f t="shared" si="6"/>
        <v>1044631.497</v>
      </c>
      <c r="Q24" s="193">
        <f t="shared" si="6"/>
        <v>1044631.497</v>
      </c>
      <c r="R24" s="193">
        <f t="shared" si="6"/>
        <v>1044631.497</v>
      </c>
      <c r="S24" s="193">
        <f t="shared" si="6"/>
        <v>1044631.497</v>
      </c>
      <c r="T24" s="193">
        <f t="shared" si="6"/>
        <v>1044631.497</v>
      </c>
      <c r="U24" s="193">
        <f t="shared" si="6"/>
        <v>1044631.497</v>
      </c>
      <c r="V24" s="193">
        <f t="shared" si="6"/>
        <v>1044631.497</v>
      </c>
      <c r="W24" s="193">
        <f t="shared" si="6"/>
        <v>1044631.497</v>
      </c>
      <c r="X24" s="193">
        <f t="shared" si="6"/>
        <v>1044631.497</v>
      </c>
      <c r="Y24" s="193">
        <f t="shared" si="6"/>
        <v>1027989.562</v>
      </c>
      <c r="Z24" s="193">
        <f t="shared" si="6"/>
        <v>1000000</v>
      </c>
      <c r="AA24" s="53"/>
    </row>
    <row r="25">
      <c r="A25" s="71"/>
      <c r="B25" s="72"/>
      <c r="C25" s="72"/>
      <c r="D25" s="72"/>
      <c r="E25" s="183" t="s">
        <v>144</v>
      </c>
      <c r="F25" s="96" t="s">
        <v>95</v>
      </c>
      <c r="G25" s="218" t="s">
        <v>112</v>
      </c>
      <c r="H25" s="102" t="s">
        <v>124</v>
      </c>
      <c r="I25" s="103">
        <f t="shared" ref="I25:Z25" si="7">I21</f>
        <v>117962.8723</v>
      </c>
      <c r="J25" s="103">
        <f t="shared" si="7"/>
        <v>118118.6089</v>
      </c>
      <c r="K25" s="103">
        <f t="shared" si="7"/>
        <v>118118.6089</v>
      </c>
      <c r="L25" s="103">
        <f t="shared" si="7"/>
        <v>118118.6089</v>
      </c>
      <c r="M25" s="103">
        <f t="shared" si="7"/>
        <v>118118.6089</v>
      </c>
      <c r="N25" s="103">
        <f t="shared" si="7"/>
        <v>118118.6089</v>
      </c>
      <c r="O25" s="103">
        <f t="shared" si="7"/>
        <v>118118.6089</v>
      </c>
      <c r="P25" s="103">
        <f t="shared" si="7"/>
        <v>117553.2432</v>
      </c>
      <c r="Q25" s="103">
        <f t="shared" si="7"/>
        <v>117553.2432</v>
      </c>
      <c r="R25" s="103">
        <f t="shared" si="7"/>
        <v>117553.2432</v>
      </c>
      <c r="S25" s="103">
        <f t="shared" si="7"/>
        <v>117553.2432</v>
      </c>
      <c r="T25" s="103">
        <f t="shared" si="7"/>
        <v>117553.2432</v>
      </c>
      <c r="U25" s="103">
        <f t="shared" si="7"/>
        <v>117553.2432</v>
      </c>
      <c r="V25" s="103">
        <f t="shared" si="7"/>
        <v>117553.2432</v>
      </c>
      <c r="W25" s="103">
        <f t="shared" si="7"/>
        <v>117553.2432</v>
      </c>
      <c r="X25" s="103">
        <f t="shared" si="7"/>
        <v>117553.2432</v>
      </c>
      <c r="Y25" s="103">
        <f t="shared" si="7"/>
        <v>116066.552</v>
      </c>
      <c r="Z25" s="103">
        <f t="shared" si="7"/>
        <v>118118.6089</v>
      </c>
      <c r="AA25" s="117"/>
    </row>
    <row r="26">
      <c r="A26" s="71"/>
      <c r="B26" s="72"/>
      <c r="C26" s="107"/>
      <c r="D26" s="72"/>
      <c r="E26" s="119"/>
      <c r="F26" s="120"/>
      <c r="G26" s="168"/>
      <c r="H26" s="78"/>
      <c r="I26" s="85"/>
      <c r="J26" s="85"/>
      <c r="K26" s="85"/>
      <c r="L26" s="85"/>
      <c r="M26" s="85"/>
      <c r="N26" s="85"/>
      <c r="O26" s="85"/>
      <c r="P26" s="85"/>
      <c r="Q26" s="85"/>
      <c r="R26" s="85"/>
      <c r="S26" s="85"/>
      <c r="T26" s="85"/>
      <c r="U26" s="85"/>
      <c r="V26" s="85"/>
      <c r="W26" s="85"/>
      <c r="X26" s="85"/>
      <c r="Y26" s="85"/>
      <c r="Z26" s="85"/>
      <c r="AA26" s="81"/>
    </row>
    <row r="27">
      <c r="A27" s="71"/>
      <c r="B27" s="72"/>
      <c r="C27" s="107" t="s">
        <v>146</v>
      </c>
      <c r="F27" s="224"/>
      <c r="G27" s="225"/>
      <c r="H27" s="78"/>
      <c r="I27" s="85"/>
      <c r="J27" s="85"/>
      <c r="K27" s="85"/>
      <c r="L27" s="85"/>
      <c r="M27" s="85"/>
      <c r="N27" s="85"/>
      <c r="O27" s="85"/>
      <c r="P27" s="85"/>
      <c r="Q27" s="85"/>
      <c r="R27" s="85"/>
      <c r="S27" s="85"/>
      <c r="T27" s="85"/>
      <c r="U27" s="85"/>
      <c r="V27" s="85"/>
      <c r="W27" s="85"/>
      <c r="X27" s="85"/>
      <c r="Y27" s="85"/>
      <c r="Z27" s="85"/>
      <c r="AA27" s="81"/>
    </row>
    <row r="28">
      <c r="A28" s="71"/>
      <c r="B28" s="72"/>
      <c r="C28" s="226"/>
      <c r="D28" s="227"/>
      <c r="E28" s="113" t="s">
        <v>149</v>
      </c>
      <c r="F28" s="115" t="str">
        <f>Inputs!F16</f>
        <v>$</v>
      </c>
      <c r="G28" s="231" t="str">
        <f>Inputs!G16</f>
        <v>input</v>
      </c>
      <c r="H28" s="131" t="str">
        <f>Inputs!H16</f>
        <v>-</v>
      </c>
      <c r="I28" s="232">
        <f>Inputs!I16</f>
        <v>1.47763</v>
      </c>
      <c r="J28" s="232">
        <f>Inputs!J16</f>
        <v>1.81008</v>
      </c>
      <c r="K28" s="232">
        <f>Inputs!K16</f>
        <v>1.81008</v>
      </c>
      <c r="L28" s="232">
        <f>Inputs!L16</f>
        <v>1.81008</v>
      </c>
      <c r="M28" s="232">
        <f>Inputs!M16</f>
        <v>1.81008</v>
      </c>
      <c r="N28" s="232">
        <f>Inputs!N16</f>
        <v>1.81008</v>
      </c>
      <c r="O28" s="232">
        <f>Inputs!O16</f>
        <v>1.81008</v>
      </c>
      <c r="P28" s="232">
        <f>Inputs!P16</f>
        <v>1.40255</v>
      </c>
      <c r="Q28" s="232">
        <f>Inputs!Q16</f>
        <v>1.40255</v>
      </c>
      <c r="R28" s="232">
        <f>Inputs!R16</f>
        <v>1.40255</v>
      </c>
      <c r="S28" s="232">
        <f>Inputs!S16</f>
        <v>1.40255</v>
      </c>
      <c r="T28" s="232">
        <f>Inputs!T16</f>
        <v>1.40255</v>
      </c>
      <c r="U28" s="232">
        <f>Inputs!U16</f>
        <v>1.40255</v>
      </c>
      <c r="V28" s="232">
        <f>Inputs!V16</f>
        <v>1.40255</v>
      </c>
      <c r="W28" s="232">
        <f>Inputs!W16</f>
        <v>1.40255</v>
      </c>
      <c r="X28" s="232">
        <f>Inputs!X16</f>
        <v>1.40255</v>
      </c>
      <c r="Y28" s="232">
        <f>Inputs!Y16</f>
        <v>1.49507</v>
      </c>
      <c r="Z28" s="232">
        <f>Inputs!Z16</f>
        <v>1.81008</v>
      </c>
      <c r="AA28" s="140"/>
    </row>
    <row r="29">
      <c r="A29" s="71"/>
      <c r="B29" s="72"/>
      <c r="C29" s="226"/>
      <c r="D29" s="227"/>
      <c r="E29" s="113" t="s">
        <v>153</v>
      </c>
      <c r="F29" s="115" t="str">
        <f>Inputs!F17</f>
        <v>#</v>
      </c>
      <c r="G29" s="231" t="str">
        <f>Inputs!G17</f>
        <v>input</v>
      </c>
      <c r="H29" s="131" t="str">
        <f>Inputs!H17</f>
        <v>-</v>
      </c>
      <c r="I29" s="239">
        <f>Inputs!I17</f>
        <v>4.3</v>
      </c>
      <c r="J29" s="239">
        <f>Inputs!J17</f>
        <v>4</v>
      </c>
      <c r="K29" s="239">
        <f>Inputs!K17</f>
        <v>4</v>
      </c>
      <c r="L29" s="239">
        <f>Inputs!L17</f>
        <v>4</v>
      </c>
      <c r="M29" s="239">
        <f>Inputs!M17</f>
        <v>4</v>
      </c>
      <c r="N29" s="239">
        <f>Inputs!N17</f>
        <v>4</v>
      </c>
      <c r="O29" s="239">
        <f>Inputs!O17</f>
        <v>4</v>
      </c>
      <c r="P29" s="239">
        <f>Inputs!P17</f>
        <v>4</v>
      </c>
      <c r="Q29" s="239">
        <f>Inputs!Q17</f>
        <v>4</v>
      </c>
      <c r="R29" s="239">
        <f>Inputs!R17</f>
        <v>5</v>
      </c>
      <c r="S29" s="239">
        <f>Inputs!S17</f>
        <v>4</v>
      </c>
      <c r="T29" s="239">
        <f>Inputs!T17</f>
        <v>5</v>
      </c>
      <c r="U29" s="239">
        <f>Inputs!U17</f>
        <v>5</v>
      </c>
      <c r="V29" s="239">
        <f>Inputs!V17</f>
        <v>5</v>
      </c>
      <c r="W29" s="239">
        <f>Inputs!W17</f>
        <v>5</v>
      </c>
      <c r="X29" s="239">
        <f>Inputs!X17</f>
        <v>4</v>
      </c>
      <c r="Y29" s="239">
        <f>Inputs!Y17</f>
        <v>4</v>
      </c>
      <c r="Z29" s="239">
        <f>Inputs!Z17</f>
        <v>5</v>
      </c>
      <c r="AA29" s="140"/>
    </row>
    <row r="30">
      <c r="A30" s="71"/>
      <c r="B30" s="72"/>
      <c r="C30" s="226"/>
      <c r="D30" s="227"/>
      <c r="E30" s="113" t="s">
        <v>155</v>
      </c>
      <c r="F30" s="115" t="s">
        <v>95</v>
      </c>
      <c r="G30" s="231" t="s">
        <v>112</v>
      </c>
      <c r="H30" s="191" t="s">
        <v>124</v>
      </c>
      <c r="I30" s="232">
        <f t="shared" ref="I30:Z30" si="8">I28*I29</f>
        <v>6.353809</v>
      </c>
      <c r="J30" s="232">
        <f t="shared" si="8"/>
        <v>7.24032</v>
      </c>
      <c r="K30" s="232">
        <f t="shared" si="8"/>
        <v>7.24032</v>
      </c>
      <c r="L30" s="232">
        <f t="shared" si="8"/>
        <v>7.24032</v>
      </c>
      <c r="M30" s="232">
        <f t="shared" si="8"/>
        <v>7.24032</v>
      </c>
      <c r="N30" s="232">
        <f t="shared" si="8"/>
        <v>7.24032</v>
      </c>
      <c r="O30" s="232">
        <f t="shared" si="8"/>
        <v>7.24032</v>
      </c>
      <c r="P30" s="232">
        <f t="shared" si="8"/>
        <v>5.6102</v>
      </c>
      <c r="Q30" s="232">
        <f t="shared" si="8"/>
        <v>5.6102</v>
      </c>
      <c r="R30" s="232">
        <f t="shared" si="8"/>
        <v>7.01275</v>
      </c>
      <c r="S30" s="232">
        <f t="shared" si="8"/>
        <v>5.6102</v>
      </c>
      <c r="T30" s="232">
        <f t="shared" si="8"/>
        <v>7.01275</v>
      </c>
      <c r="U30" s="232">
        <f t="shared" si="8"/>
        <v>7.01275</v>
      </c>
      <c r="V30" s="232">
        <f t="shared" si="8"/>
        <v>7.01275</v>
      </c>
      <c r="W30" s="232">
        <f t="shared" si="8"/>
        <v>7.01275</v>
      </c>
      <c r="X30" s="232">
        <f t="shared" si="8"/>
        <v>5.6102</v>
      </c>
      <c r="Y30" s="232">
        <f t="shared" si="8"/>
        <v>5.98028</v>
      </c>
      <c r="Z30" s="232">
        <f t="shared" si="8"/>
        <v>9.0504</v>
      </c>
      <c r="AA30" s="140"/>
    </row>
    <row r="31">
      <c r="A31" s="71"/>
      <c r="B31" s="72"/>
      <c r="C31" s="226"/>
      <c r="D31" s="227"/>
      <c r="E31" s="93" t="s">
        <v>157</v>
      </c>
      <c r="F31" s="96" t="s">
        <v>95</v>
      </c>
      <c r="G31" s="176" t="s">
        <v>112</v>
      </c>
      <c r="H31" s="177" t="s">
        <v>124</v>
      </c>
      <c r="I31" s="254">
        <f t="shared" ref="I31:Z31" si="9">(I24/I16)*I30</f>
        <v>5.688830152</v>
      </c>
      <c r="J31" s="254">
        <f t="shared" si="9"/>
        <v>6.475448975</v>
      </c>
      <c r="K31" s="254">
        <f t="shared" si="9"/>
        <v>6.475448975</v>
      </c>
      <c r="L31" s="254">
        <f t="shared" si="9"/>
        <v>6.475448975</v>
      </c>
      <c r="M31" s="254">
        <f t="shared" si="9"/>
        <v>6.475448975</v>
      </c>
      <c r="N31" s="254">
        <f t="shared" si="9"/>
        <v>6.475448975</v>
      </c>
      <c r="O31" s="254">
        <f t="shared" si="9"/>
        <v>6.475448975</v>
      </c>
      <c r="P31" s="254">
        <f t="shared" si="9"/>
        <v>5.042736685</v>
      </c>
      <c r="Q31" s="254">
        <f t="shared" si="9"/>
        <v>5.042736685</v>
      </c>
      <c r="R31" s="254">
        <f t="shared" si="9"/>
        <v>6.303420857</v>
      </c>
      <c r="S31" s="254">
        <f t="shared" si="9"/>
        <v>5.042736685</v>
      </c>
      <c r="T31" s="254">
        <f t="shared" si="9"/>
        <v>6.303420857</v>
      </c>
      <c r="U31" s="254">
        <f t="shared" si="9"/>
        <v>6.303420857</v>
      </c>
      <c r="V31" s="254">
        <f t="shared" si="9"/>
        <v>6.303420857</v>
      </c>
      <c r="W31" s="254">
        <f t="shared" si="9"/>
        <v>6.303420857</v>
      </c>
      <c r="X31" s="254">
        <f t="shared" si="9"/>
        <v>5.042736685</v>
      </c>
      <c r="Y31" s="254">
        <f t="shared" si="9"/>
        <v>5.373569829</v>
      </c>
      <c r="Z31" s="254">
        <f t="shared" si="9"/>
        <v>8.094311219</v>
      </c>
      <c r="AA31" s="118"/>
    </row>
    <row r="32">
      <c r="A32" s="71"/>
      <c r="B32" s="72"/>
      <c r="C32" s="107"/>
      <c r="D32" s="72"/>
      <c r="E32" s="119"/>
      <c r="F32" s="120"/>
      <c r="G32" s="168"/>
      <c r="H32" s="78"/>
      <c r="I32" s="85"/>
      <c r="J32" s="85"/>
      <c r="K32" s="85"/>
      <c r="L32" s="85"/>
      <c r="M32" s="85"/>
      <c r="N32" s="85"/>
      <c r="O32" s="85"/>
      <c r="P32" s="85"/>
      <c r="Q32" s="85"/>
      <c r="R32" s="85"/>
      <c r="S32" s="85"/>
      <c r="T32" s="85"/>
      <c r="U32" s="85"/>
      <c r="V32" s="85"/>
      <c r="W32" s="85"/>
      <c r="X32" s="85"/>
      <c r="Y32" s="85"/>
      <c r="Z32" s="85"/>
      <c r="AA32" s="81"/>
    </row>
    <row r="33">
      <c r="A33" s="66" t="s">
        <v>162</v>
      </c>
      <c r="B33" s="17"/>
      <c r="C33" s="17"/>
      <c r="D33" s="17"/>
      <c r="E33" s="17"/>
      <c r="F33" s="17"/>
      <c r="G33" s="17"/>
      <c r="H33" s="264"/>
      <c r="I33" s="263"/>
      <c r="J33" s="263"/>
      <c r="K33" s="263"/>
      <c r="L33" s="263"/>
      <c r="M33" s="263"/>
      <c r="N33" s="263"/>
      <c r="O33" s="263"/>
      <c r="P33" s="263"/>
      <c r="Q33" s="263"/>
      <c r="R33" s="263"/>
      <c r="S33" s="263"/>
      <c r="T33" s="263"/>
      <c r="U33" s="263"/>
      <c r="V33" s="263"/>
      <c r="W33" s="263"/>
      <c r="X33" s="263"/>
      <c r="Y33" s="263"/>
      <c r="Z33" s="263"/>
      <c r="AA33" s="267"/>
    </row>
    <row r="34">
      <c r="A34" s="71"/>
      <c r="B34" s="72"/>
      <c r="C34" s="72"/>
      <c r="D34" s="72"/>
      <c r="E34" s="74"/>
      <c r="F34" s="75"/>
      <c r="G34" s="268"/>
      <c r="H34" s="78"/>
      <c r="I34" s="269"/>
      <c r="J34" s="269"/>
      <c r="K34" s="269"/>
      <c r="L34" s="269"/>
      <c r="M34" s="269"/>
      <c r="N34" s="269"/>
      <c r="O34" s="269"/>
      <c r="P34" s="269"/>
      <c r="Q34" s="269"/>
      <c r="R34" s="269"/>
      <c r="S34" s="269"/>
      <c r="T34" s="269"/>
      <c r="U34" s="269"/>
      <c r="V34" s="269"/>
      <c r="W34" s="269"/>
      <c r="X34" s="269"/>
      <c r="Y34" s="269"/>
      <c r="Z34" s="269"/>
      <c r="AA34" s="81"/>
    </row>
    <row r="35">
      <c r="A35" s="71"/>
      <c r="B35" s="72"/>
      <c r="C35" s="82" t="s">
        <v>164</v>
      </c>
      <c r="F35" s="120"/>
      <c r="G35" s="170"/>
      <c r="H35" s="271"/>
      <c r="I35" s="272"/>
      <c r="J35" s="272"/>
      <c r="K35" s="272"/>
      <c r="L35" s="272"/>
      <c r="M35" s="272"/>
      <c r="N35" s="272"/>
      <c r="O35" s="272"/>
      <c r="P35" s="272"/>
      <c r="Q35" s="272"/>
      <c r="R35" s="272"/>
      <c r="S35" s="272"/>
      <c r="T35" s="272"/>
      <c r="U35" s="272"/>
      <c r="V35" s="272"/>
      <c r="W35" s="272"/>
      <c r="X35" s="272"/>
      <c r="Y35" s="272"/>
      <c r="Z35" s="272"/>
      <c r="AA35" s="81"/>
    </row>
    <row r="36">
      <c r="A36" s="71"/>
      <c r="B36" s="72"/>
      <c r="C36" s="273"/>
      <c r="D36" s="72"/>
      <c r="E36" s="93" t="s">
        <v>166</v>
      </c>
      <c r="F36" s="96" t="s">
        <v>88</v>
      </c>
      <c r="G36" s="274" t="s">
        <v>112</v>
      </c>
      <c r="H36" s="177" t="s">
        <v>124</v>
      </c>
      <c r="I36" s="275">
        <f t="shared" ref="I36:Z36" si="10">I19/I31</f>
        <v>175783.0649</v>
      </c>
      <c r="J36" s="275">
        <f t="shared" si="10"/>
        <v>154429.4463</v>
      </c>
      <c r="K36" s="275">
        <f t="shared" si="10"/>
        <v>154429.4463</v>
      </c>
      <c r="L36" s="275">
        <f t="shared" si="10"/>
        <v>154429.4463</v>
      </c>
      <c r="M36" s="275">
        <f t="shared" si="10"/>
        <v>154429.4463</v>
      </c>
      <c r="N36" s="275">
        <f t="shared" si="10"/>
        <v>154429.4463</v>
      </c>
      <c r="O36" s="275">
        <f t="shared" si="10"/>
        <v>154429.4463</v>
      </c>
      <c r="P36" s="275">
        <f t="shared" si="10"/>
        <v>198305.0202</v>
      </c>
      <c r="Q36" s="275">
        <f t="shared" si="10"/>
        <v>198305.0202</v>
      </c>
      <c r="R36" s="275">
        <f t="shared" si="10"/>
        <v>158644.0161</v>
      </c>
      <c r="S36" s="275">
        <f t="shared" si="10"/>
        <v>198305.0202</v>
      </c>
      <c r="T36" s="275">
        <f t="shared" si="10"/>
        <v>158644.0161</v>
      </c>
      <c r="U36" s="275">
        <f t="shared" si="10"/>
        <v>158644.0161</v>
      </c>
      <c r="V36" s="275">
        <f t="shared" si="10"/>
        <v>158644.0161</v>
      </c>
      <c r="W36" s="275">
        <f t="shared" si="10"/>
        <v>158644.0161</v>
      </c>
      <c r="X36" s="275">
        <f t="shared" si="10"/>
        <v>198305.0202</v>
      </c>
      <c r="Y36" s="275">
        <f t="shared" si="10"/>
        <v>186096.0277</v>
      </c>
      <c r="Z36" s="275">
        <f t="shared" si="10"/>
        <v>123543.5571</v>
      </c>
      <c r="AA36" s="118"/>
    </row>
    <row r="37">
      <c r="A37" s="71"/>
      <c r="B37" s="72"/>
      <c r="C37" s="72"/>
      <c r="D37" s="72"/>
      <c r="E37" s="74"/>
      <c r="F37" s="75"/>
      <c r="G37" s="83"/>
      <c r="H37" s="78"/>
      <c r="I37" s="85"/>
      <c r="J37" s="85"/>
      <c r="K37" s="85"/>
      <c r="L37" s="85"/>
      <c r="M37" s="85"/>
      <c r="N37" s="85"/>
      <c r="O37" s="85"/>
      <c r="P37" s="85"/>
      <c r="Q37" s="85"/>
      <c r="R37" s="85"/>
      <c r="S37" s="85"/>
      <c r="T37" s="85"/>
      <c r="U37" s="85"/>
      <c r="V37" s="85"/>
      <c r="W37" s="85"/>
      <c r="X37" s="85"/>
      <c r="Y37" s="85"/>
      <c r="Z37" s="85"/>
      <c r="AA37" s="81"/>
    </row>
    <row r="38">
      <c r="A38" s="66" t="s">
        <v>167</v>
      </c>
      <c r="B38" s="17"/>
      <c r="C38" s="17"/>
      <c r="D38" s="17"/>
      <c r="E38" s="17"/>
      <c r="F38" s="17"/>
      <c r="G38" s="17"/>
      <c r="H38" s="264"/>
      <c r="I38" s="263"/>
      <c r="J38" s="263"/>
      <c r="K38" s="263"/>
      <c r="L38" s="263"/>
      <c r="M38" s="263"/>
      <c r="N38" s="263"/>
      <c r="O38" s="263"/>
      <c r="P38" s="263"/>
      <c r="Q38" s="263"/>
      <c r="R38" s="263"/>
      <c r="S38" s="263"/>
      <c r="T38" s="263"/>
      <c r="U38" s="263"/>
      <c r="V38" s="263"/>
      <c r="W38" s="263"/>
      <c r="X38" s="263"/>
      <c r="Y38" s="263"/>
      <c r="Z38" s="263"/>
      <c r="AA38" s="267"/>
    </row>
    <row r="39">
      <c r="A39" s="71"/>
      <c r="B39" s="72"/>
      <c r="C39" s="266"/>
      <c r="D39" s="72"/>
      <c r="E39" s="74"/>
      <c r="F39" s="75"/>
      <c r="G39" s="77"/>
      <c r="H39" s="78"/>
      <c r="I39" s="85"/>
      <c r="J39" s="85"/>
      <c r="K39" s="85"/>
      <c r="L39" s="85"/>
      <c r="M39" s="85"/>
      <c r="N39" s="85"/>
      <c r="O39" s="85"/>
      <c r="P39" s="85"/>
      <c r="Q39" s="85"/>
      <c r="R39" s="85"/>
      <c r="S39" s="85"/>
      <c r="T39" s="85"/>
      <c r="U39" s="85"/>
      <c r="V39" s="85"/>
      <c r="W39" s="85"/>
      <c r="X39" s="85"/>
      <c r="Y39" s="85"/>
      <c r="Z39" s="85"/>
      <c r="AA39" s="81"/>
    </row>
    <row r="40">
      <c r="A40" s="71"/>
      <c r="B40" s="72"/>
      <c r="C40" s="278" t="s">
        <v>169</v>
      </c>
      <c r="F40" s="75"/>
      <c r="G40" s="77"/>
      <c r="H40" s="78"/>
      <c r="I40" s="85"/>
      <c r="J40" s="85"/>
      <c r="K40" s="85"/>
      <c r="L40" s="85"/>
      <c r="M40" s="85"/>
      <c r="N40" s="85"/>
      <c r="O40" s="85"/>
      <c r="P40" s="85"/>
      <c r="Q40" s="85"/>
      <c r="R40" s="85"/>
      <c r="S40" s="85"/>
      <c r="T40" s="85"/>
      <c r="U40" s="85"/>
      <c r="V40" s="85"/>
      <c r="W40" s="85"/>
      <c r="X40" s="85"/>
      <c r="Y40" s="85"/>
      <c r="Z40" s="85"/>
      <c r="AA40" s="81"/>
    </row>
    <row r="41">
      <c r="A41" s="71"/>
      <c r="B41" s="72"/>
      <c r="C41" s="278"/>
      <c r="D41" s="278"/>
      <c r="E41" s="113" t="s">
        <v>171</v>
      </c>
      <c r="F41" s="115" t="str">
        <f>Inputs!F45</f>
        <v>%</v>
      </c>
      <c r="G41" s="231" t="str">
        <f>Inputs!G45</f>
        <v>input</v>
      </c>
      <c r="H41" s="279">
        <f>Inputs!H45</f>
        <v>0.75</v>
      </c>
      <c r="I41" s="280" t="str">
        <f>Inputs!I45</f>
        <v>-</v>
      </c>
      <c r="J41" s="280" t="str">
        <f>Inputs!J45</f>
        <v>-</v>
      </c>
      <c r="K41" s="280" t="str">
        <f>Inputs!K45</f>
        <v>-</v>
      </c>
      <c r="L41" s="280" t="str">
        <f>Inputs!L45</f>
        <v>-</v>
      </c>
      <c r="M41" s="280" t="str">
        <f>Inputs!M45</f>
        <v>-</v>
      </c>
      <c r="N41" s="280" t="str">
        <f>Inputs!N45</f>
        <v>-</v>
      </c>
      <c r="O41" s="280" t="str">
        <f>Inputs!O45</f>
        <v>-</v>
      </c>
      <c r="P41" s="280" t="str">
        <f>Inputs!P45</f>
        <v>-</v>
      </c>
      <c r="Q41" s="280" t="str">
        <f>Inputs!Q45</f>
        <v>-</v>
      </c>
      <c r="R41" s="280" t="str">
        <f>Inputs!R45</f>
        <v>-</v>
      </c>
      <c r="S41" s="280" t="str">
        <f>Inputs!S45</f>
        <v>-</v>
      </c>
      <c r="T41" s="280" t="str">
        <f>Inputs!T45</f>
        <v>-</v>
      </c>
      <c r="U41" s="280" t="str">
        <f>Inputs!U45</f>
        <v>-</v>
      </c>
      <c r="V41" s="280" t="str">
        <f>Inputs!V45</f>
        <v>-</v>
      </c>
      <c r="W41" s="280" t="str">
        <f>Inputs!W45</f>
        <v>-</v>
      </c>
      <c r="X41" s="280" t="str">
        <f>Inputs!X45</f>
        <v>-</v>
      </c>
      <c r="Y41" s="280" t="str">
        <f>Inputs!Y45</f>
        <v>-</v>
      </c>
      <c r="Z41" s="280" t="str">
        <f>Inputs!Z45</f>
        <v>-</v>
      </c>
      <c r="AA41" s="140"/>
    </row>
    <row r="42">
      <c r="A42" s="71"/>
      <c r="B42" s="72"/>
      <c r="C42" s="278"/>
      <c r="D42" s="278"/>
      <c r="E42" s="113" t="s">
        <v>174</v>
      </c>
      <c r="F42" s="115" t="str">
        <f>Inputs!F46</f>
        <v>%</v>
      </c>
      <c r="G42" s="231" t="str">
        <f>Inputs!G46</f>
        <v>input</v>
      </c>
      <c r="H42" s="296">
        <f>Inputs!H46</f>
        <v>0.8977</v>
      </c>
      <c r="I42" s="297" t="s">
        <v>124</v>
      </c>
      <c r="J42" s="297" t="s">
        <v>124</v>
      </c>
      <c r="K42" s="297" t="s">
        <v>124</v>
      </c>
      <c r="L42" s="297" t="s">
        <v>124</v>
      </c>
      <c r="M42" s="297" t="s">
        <v>124</v>
      </c>
      <c r="N42" s="297" t="s">
        <v>124</v>
      </c>
      <c r="O42" s="297" t="s">
        <v>124</v>
      </c>
      <c r="P42" s="297" t="s">
        <v>124</v>
      </c>
      <c r="Q42" s="297" t="s">
        <v>124</v>
      </c>
      <c r="R42" s="297" t="s">
        <v>124</v>
      </c>
      <c r="S42" s="297" t="s">
        <v>124</v>
      </c>
      <c r="T42" s="297" t="s">
        <v>124</v>
      </c>
      <c r="U42" s="297" t="s">
        <v>124</v>
      </c>
      <c r="V42" s="297" t="s">
        <v>124</v>
      </c>
      <c r="W42" s="297" t="s">
        <v>124</v>
      </c>
      <c r="X42" s="297" t="s">
        <v>124</v>
      </c>
      <c r="Y42" s="297" t="s">
        <v>124</v>
      </c>
      <c r="Z42" s="297" t="s">
        <v>124</v>
      </c>
      <c r="AA42" s="140"/>
    </row>
    <row r="43">
      <c r="A43" s="71"/>
      <c r="B43" s="72"/>
      <c r="C43" s="278"/>
      <c r="D43" s="278"/>
      <c r="E43" s="113" t="s">
        <v>175</v>
      </c>
      <c r="F43" s="115" t="s">
        <v>99</v>
      </c>
      <c r="G43" s="231" t="s">
        <v>112</v>
      </c>
      <c r="H43" s="296">
        <f>H41/H42</f>
        <v>0.8354684193</v>
      </c>
      <c r="I43" s="297" t="s">
        <v>124</v>
      </c>
      <c r="J43" s="297" t="s">
        <v>124</v>
      </c>
      <c r="K43" s="297" t="s">
        <v>124</v>
      </c>
      <c r="L43" s="297" t="s">
        <v>124</v>
      </c>
      <c r="M43" s="297" t="s">
        <v>124</v>
      </c>
      <c r="N43" s="297" t="s">
        <v>124</v>
      </c>
      <c r="O43" s="297" t="s">
        <v>124</v>
      </c>
      <c r="P43" s="297" t="s">
        <v>124</v>
      </c>
      <c r="Q43" s="297" t="s">
        <v>124</v>
      </c>
      <c r="R43" s="297" t="s">
        <v>124</v>
      </c>
      <c r="S43" s="297" t="s">
        <v>124</v>
      </c>
      <c r="T43" s="297" t="s">
        <v>124</v>
      </c>
      <c r="U43" s="297" t="s">
        <v>124</v>
      </c>
      <c r="V43" s="297" t="s">
        <v>124</v>
      </c>
      <c r="W43" s="297" t="s">
        <v>124</v>
      </c>
      <c r="X43" s="297" t="s">
        <v>124</v>
      </c>
      <c r="Y43" s="297" t="s">
        <v>124</v>
      </c>
      <c r="Z43" s="297" t="s">
        <v>124</v>
      </c>
      <c r="AA43" s="140"/>
    </row>
    <row r="44">
      <c r="A44" s="71"/>
      <c r="B44" s="72"/>
      <c r="C44" s="278"/>
      <c r="D44" s="278"/>
      <c r="E44" s="113" t="s">
        <v>176</v>
      </c>
      <c r="F44" s="139" t="str">
        <f>Inputs!F47</f>
        <v>%</v>
      </c>
      <c r="G44" s="168" t="str">
        <f>Inputs!G47</f>
        <v>input</v>
      </c>
      <c r="H44" s="302">
        <f>Inputs!H47</f>
        <v>-0.05</v>
      </c>
      <c r="I44" s="85" t="str">
        <f>Inputs!I47</f>
        <v>-</v>
      </c>
      <c r="J44" s="85" t="str">
        <f>Inputs!J47</f>
        <v>-</v>
      </c>
      <c r="K44" s="85" t="str">
        <f>Inputs!K47</f>
        <v>-</v>
      </c>
      <c r="L44" s="85" t="str">
        <f>Inputs!L47</f>
        <v>-</v>
      </c>
      <c r="M44" s="85" t="str">
        <f>Inputs!M47</f>
        <v>-</v>
      </c>
      <c r="N44" s="85" t="str">
        <f>Inputs!N47</f>
        <v>-</v>
      </c>
      <c r="O44" s="85" t="str">
        <f>Inputs!O47</f>
        <v>-</v>
      </c>
      <c r="P44" s="85" t="str">
        <f>Inputs!P47</f>
        <v>-</v>
      </c>
      <c r="Q44" s="85" t="str">
        <f>Inputs!Q47</f>
        <v>-</v>
      </c>
      <c r="R44" s="85" t="str">
        <f>Inputs!R47</f>
        <v>-</v>
      </c>
      <c r="S44" s="85" t="str">
        <f>Inputs!S47</f>
        <v>-</v>
      </c>
      <c r="T44" s="85" t="str">
        <f>Inputs!T47</f>
        <v>-</v>
      </c>
      <c r="U44" s="85" t="str">
        <f>Inputs!U47</f>
        <v>-</v>
      </c>
      <c r="V44" s="85" t="str">
        <f>Inputs!V47</f>
        <v>-</v>
      </c>
      <c r="W44" s="85" t="str">
        <f>Inputs!W47</f>
        <v>-</v>
      </c>
      <c r="X44" s="85" t="str">
        <f>Inputs!X47</f>
        <v>-</v>
      </c>
      <c r="Y44" s="85" t="str">
        <f>Inputs!Y47</f>
        <v>-</v>
      </c>
      <c r="Z44" s="85" t="str">
        <f>Inputs!Z47</f>
        <v>-</v>
      </c>
      <c r="AA44" s="310"/>
    </row>
    <row r="45">
      <c r="A45" s="71"/>
      <c r="B45" s="72"/>
      <c r="C45" s="72"/>
      <c r="D45" s="72"/>
      <c r="E45" s="136" t="s">
        <v>180</v>
      </c>
      <c r="F45" s="139" t="str">
        <f>Inputs!F48</f>
        <v>%</v>
      </c>
      <c r="G45" s="313" t="str">
        <f>Inputs!G48</f>
        <v>input</v>
      </c>
      <c r="H45" s="228">
        <f>Inputs!H48</f>
        <v>0</v>
      </c>
      <c r="I45" s="150" t="str">
        <f>Inputs!I48</f>
        <v>-</v>
      </c>
      <c r="J45" s="150" t="str">
        <f>Inputs!J48</f>
        <v>-</v>
      </c>
      <c r="K45" s="150" t="str">
        <f>Inputs!K48</f>
        <v>-</v>
      </c>
      <c r="L45" s="150" t="str">
        <f>Inputs!L48</f>
        <v>-</v>
      </c>
      <c r="M45" s="150" t="str">
        <f>Inputs!M48</f>
        <v>-</v>
      </c>
      <c r="N45" s="150" t="str">
        <f>Inputs!N48</f>
        <v>-</v>
      </c>
      <c r="O45" s="150" t="str">
        <f>Inputs!O48</f>
        <v>-</v>
      </c>
      <c r="P45" s="150" t="str">
        <f>Inputs!P48</f>
        <v>-</v>
      </c>
      <c r="Q45" s="150" t="str">
        <f>Inputs!Q48</f>
        <v>-</v>
      </c>
      <c r="R45" s="150" t="str">
        <f>Inputs!R48</f>
        <v>-</v>
      </c>
      <c r="S45" s="150" t="str">
        <f>Inputs!S48</f>
        <v>-</v>
      </c>
      <c r="T45" s="150" t="str">
        <f>Inputs!T48</f>
        <v>-</v>
      </c>
      <c r="U45" s="150" t="str">
        <f>Inputs!U48</f>
        <v>-</v>
      </c>
      <c r="V45" s="150" t="str">
        <f>Inputs!V48</f>
        <v>-</v>
      </c>
      <c r="W45" s="150" t="str">
        <f>Inputs!W48</f>
        <v>-</v>
      </c>
      <c r="X45" s="150" t="str">
        <f>Inputs!X48</f>
        <v>-</v>
      </c>
      <c r="Y45" s="150" t="str">
        <f>Inputs!Y48</f>
        <v>-</v>
      </c>
      <c r="Z45" s="150" t="str">
        <f>Inputs!Z48</f>
        <v>-</v>
      </c>
      <c r="AA45" s="154"/>
    </row>
    <row r="46">
      <c r="A46" s="71"/>
      <c r="B46" s="72"/>
      <c r="C46" s="278"/>
      <c r="D46" s="278"/>
      <c r="E46" s="113" t="s">
        <v>185</v>
      </c>
      <c r="F46" s="115" t="str">
        <f>Inputs!F49</f>
        <v>%</v>
      </c>
      <c r="G46" s="231" t="str">
        <f>Inputs!G49</f>
        <v>input</v>
      </c>
      <c r="H46" s="191" t="str">
        <f>Inputs!H49</f>
        <v>-</v>
      </c>
      <c r="I46" s="135">
        <f>Inputs!I49</f>
        <v>0</v>
      </c>
      <c r="J46" s="135">
        <f>Inputs!J49</f>
        <v>0</v>
      </c>
      <c r="K46" s="135">
        <f>Inputs!K49</f>
        <v>-0.1955888</v>
      </c>
      <c r="L46" s="135">
        <f>Inputs!L49</f>
        <v>-0.1955888</v>
      </c>
      <c r="M46" s="135">
        <f>Inputs!M49</f>
        <v>-0.1955888</v>
      </c>
      <c r="N46" s="135">
        <f>Inputs!N49</f>
        <v>-0.1955888</v>
      </c>
      <c r="O46" s="135">
        <f>Inputs!O49</f>
        <v>-0.1955888</v>
      </c>
      <c r="P46" s="135">
        <f>Inputs!P49</f>
        <v>0</v>
      </c>
      <c r="Q46" s="135">
        <f>Inputs!Q49</f>
        <v>0</v>
      </c>
      <c r="R46" s="135">
        <f>Inputs!R49</f>
        <v>0</v>
      </c>
      <c r="S46" s="135">
        <f>Inputs!S49</f>
        <v>0</v>
      </c>
      <c r="T46" s="135">
        <f>Inputs!T49</f>
        <v>0</v>
      </c>
      <c r="U46" s="135">
        <f>Inputs!U49</f>
        <v>0</v>
      </c>
      <c r="V46" s="135">
        <f>Inputs!V49</f>
        <v>0</v>
      </c>
      <c r="W46" s="135">
        <f>Inputs!W49</f>
        <v>0</v>
      </c>
      <c r="X46" s="135">
        <f>Inputs!X49</f>
        <v>0</v>
      </c>
      <c r="Y46" s="135">
        <f>Inputs!Y49</f>
        <v>0</v>
      </c>
      <c r="Z46" s="135">
        <f>Inputs!Z49</f>
        <v>-0.1955888</v>
      </c>
      <c r="AA46" s="332"/>
    </row>
    <row r="47">
      <c r="A47" s="71"/>
      <c r="B47" s="72"/>
      <c r="C47" s="278"/>
      <c r="D47" s="278"/>
      <c r="E47" s="113" t="s">
        <v>187</v>
      </c>
      <c r="F47" s="115" t="s">
        <v>99</v>
      </c>
      <c r="G47" s="231" t="s">
        <v>112</v>
      </c>
      <c r="H47" s="191" t="s">
        <v>124</v>
      </c>
      <c r="I47" s="135">
        <f t="shared" ref="I47:Z47" si="11">$H43*(1+$H44)*(1+$H45)*(1+I46)</f>
        <v>0.7936949983</v>
      </c>
      <c r="J47" s="135">
        <f t="shared" si="11"/>
        <v>0.7936949983</v>
      </c>
      <c r="K47" s="135">
        <f t="shared" si="11"/>
        <v>0.638457146</v>
      </c>
      <c r="L47" s="135">
        <f t="shared" si="11"/>
        <v>0.638457146</v>
      </c>
      <c r="M47" s="135">
        <f t="shared" si="11"/>
        <v>0.638457146</v>
      </c>
      <c r="N47" s="135">
        <f t="shared" si="11"/>
        <v>0.638457146</v>
      </c>
      <c r="O47" s="135">
        <f t="shared" si="11"/>
        <v>0.638457146</v>
      </c>
      <c r="P47" s="135">
        <f t="shared" si="11"/>
        <v>0.7936949983</v>
      </c>
      <c r="Q47" s="135">
        <f t="shared" si="11"/>
        <v>0.7936949983</v>
      </c>
      <c r="R47" s="135">
        <f t="shared" si="11"/>
        <v>0.7936949983</v>
      </c>
      <c r="S47" s="135">
        <f t="shared" si="11"/>
        <v>0.7936949983</v>
      </c>
      <c r="T47" s="135">
        <f t="shared" si="11"/>
        <v>0.7936949983</v>
      </c>
      <c r="U47" s="135">
        <f t="shared" si="11"/>
        <v>0.7936949983</v>
      </c>
      <c r="V47" s="135">
        <f t="shared" si="11"/>
        <v>0.7936949983</v>
      </c>
      <c r="W47" s="135">
        <f t="shared" si="11"/>
        <v>0.7936949983</v>
      </c>
      <c r="X47" s="135">
        <f t="shared" si="11"/>
        <v>0.7936949983</v>
      </c>
      <c r="Y47" s="135">
        <f t="shared" si="11"/>
        <v>0.7936949983</v>
      </c>
      <c r="Z47" s="135">
        <f t="shared" si="11"/>
        <v>0.638457146</v>
      </c>
      <c r="AA47" s="332"/>
    </row>
    <row r="48">
      <c r="A48" s="71"/>
      <c r="B48" s="72"/>
      <c r="C48" s="278"/>
      <c r="D48" s="278"/>
      <c r="E48" s="113" t="s">
        <v>189</v>
      </c>
      <c r="F48" s="115" t="str">
        <f>Inputs!F50</f>
        <v>%</v>
      </c>
      <c r="G48" s="231" t="str">
        <f>Inputs!G50</f>
        <v>input</v>
      </c>
      <c r="H48" s="279">
        <f>Inputs!H50</f>
        <v>1</v>
      </c>
      <c r="I48" s="297" t="str">
        <f>Inputs!I50</f>
        <v>-</v>
      </c>
      <c r="J48" s="297" t="str">
        <f>Inputs!J50</f>
        <v>-</v>
      </c>
      <c r="K48" s="297" t="str">
        <f>Inputs!K50</f>
        <v>-</v>
      </c>
      <c r="L48" s="297" t="str">
        <f>Inputs!L50</f>
        <v>-</v>
      </c>
      <c r="M48" s="297" t="str">
        <f>Inputs!M50</f>
        <v>-</v>
      </c>
      <c r="N48" s="297" t="str">
        <f>Inputs!N50</f>
        <v>-</v>
      </c>
      <c r="O48" s="297" t="str">
        <f>Inputs!O50</f>
        <v>-</v>
      </c>
      <c r="P48" s="297" t="str">
        <f>Inputs!P50</f>
        <v>-</v>
      </c>
      <c r="Q48" s="297" t="str">
        <f>Inputs!Q50</f>
        <v>-</v>
      </c>
      <c r="R48" s="297" t="str">
        <f>Inputs!R50</f>
        <v>-</v>
      </c>
      <c r="S48" s="297" t="str">
        <f>Inputs!S50</f>
        <v>-</v>
      </c>
      <c r="T48" s="297" t="str">
        <f>Inputs!T50</f>
        <v>-</v>
      </c>
      <c r="U48" s="297" t="str">
        <f>Inputs!U50</f>
        <v>-</v>
      </c>
      <c r="V48" s="297" t="str">
        <f>Inputs!V50</f>
        <v>-</v>
      </c>
      <c r="W48" s="297" t="str">
        <f>Inputs!W50</f>
        <v>-</v>
      </c>
      <c r="X48" s="297" t="str">
        <f>Inputs!X50</f>
        <v>-</v>
      </c>
      <c r="Y48" s="297" t="str">
        <f>Inputs!Y50</f>
        <v>-</v>
      </c>
      <c r="Z48" s="297" t="str">
        <f>Inputs!Z50</f>
        <v>-</v>
      </c>
      <c r="AA48" s="332"/>
    </row>
    <row r="49">
      <c r="A49" s="71"/>
      <c r="B49" s="72"/>
      <c r="C49" s="278"/>
      <c r="D49" s="278"/>
      <c r="E49" s="113" t="s">
        <v>192</v>
      </c>
      <c r="F49" s="115" t="s">
        <v>99</v>
      </c>
      <c r="G49" s="231" t="s">
        <v>112</v>
      </c>
      <c r="H49" s="191" t="s">
        <v>124</v>
      </c>
      <c r="I49" s="337">
        <f t="shared" ref="I49:Z49" si="12">I47*$H48</f>
        <v>0.7936949983</v>
      </c>
      <c r="J49" s="337">
        <f t="shared" si="12"/>
        <v>0.7936949983</v>
      </c>
      <c r="K49" s="337">
        <f t="shared" si="12"/>
        <v>0.638457146</v>
      </c>
      <c r="L49" s="337">
        <f t="shared" si="12"/>
        <v>0.638457146</v>
      </c>
      <c r="M49" s="337">
        <f t="shared" si="12"/>
        <v>0.638457146</v>
      </c>
      <c r="N49" s="337">
        <f t="shared" si="12"/>
        <v>0.638457146</v>
      </c>
      <c r="O49" s="337">
        <f t="shared" si="12"/>
        <v>0.638457146</v>
      </c>
      <c r="P49" s="337">
        <f t="shared" si="12"/>
        <v>0.7936949983</v>
      </c>
      <c r="Q49" s="337">
        <f t="shared" si="12"/>
        <v>0.7936949983</v>
      </c>
      <c r="R49" s="337">
        <f t="shared" si="12"/>
        <v>0.7936949983</v>
      </c>
      <c r="S49" s="337">
        <f t="shared" si="12"/>
        <v>0.7936949983</v>
      </c>
      <c r="T49" s="337">
        <f t="shared" si="12"/>
        <v>0.7936949983</v>
      </c>
      <c r="U49" s="337">
        <f t="shared" si="12"/>
        <v>0.7936949983</v>
      </c>
      <c r="V49" s="337">
        <f t="shared" si="12"/>
        <v>0.7936949983</v>
      </c>
      <c r="W49" s="337">
        <f t="shared" si="12"/>
        <v>0.7936949983</v>
      </c>
      <c r="X49" s="337">
        <f t="shared" si="12"/>
        <v>0.7936949983</v>
      </c>
      <c r="Y49" s="337">
        <f t="shared" si="12"/>
        <v>0.7936949983</v>
      </c>
      <c r="Z49" s="337">
        <f t="shared" si="12"/>
        <v>0.638457146</v>
      </c>
      <c r="AA49" s="140"/>
    </row>
    <row r="50">
      <c r="A50" s="71"/>
      <c r="B50" s="72"/>
      <c r="C50" s="278"/>
      <c r="D50" s="278"/>
      <c r="E50" s="113" t="s">
        <v>190</v>
      </c>
      <c r="F50" s="115" t="str">
        <f>'Counterfactual malaria'!F30</f>
        <v>%</v>
      </c>
      <c r="G50" s="231" t="s">
        <v>114</v>
      </c>
      <c r="H50" s="191" t="str">
        <f>'Counterfactual malaria'!H30</f>
        <v>-</v>
      </c>
      <c r="I50" s="373">
        <f>'Counterfactual malaria'!I30</f>
        <v>0.003845882582</v>
      </c>
      <c r="J50" s="373">
        <f>'Counterfactual malaria'!J30</f>
        <v>0.001283230903</v>
      </c>
      <c r="K50" s="373">
        <f>'Counterfactual malaria'!K30</f>
        <v>0.001839785021</v>
      </c>
      <c r="L50" s="373">
        <f>'Counterfactual malaria'!L30</f>
        <v>0.002178215374</v>
      </c>
      <c r="M50" s="373">
        <f>'Counterfactual malaria'!M30</f>
        <v>0.002163167287</v>
      </c>
      <c r="N50" s="373">
        <f>'Counterfactual malaria'!N30</f>
        <v>0.003252598731</v>
      </c>
      <c r="O50" s="373">
        <f>'Counterfactual malaria'!O30</f>
        <v>0.002775899074</v>
      </c>
      <c r="P50" s="373">
        <f>'Counterfactual malaria'!P30</f>
        <v>0.002434872822</v>
      </c>
      <c r="Q50" s="373">
        <f>'Counterfactual malaria'!Q30</f>
        <v>0.001642610743</v>
      </c>
      <c r="R50" s="373">
        <f>'Counterfactual malaria'!R30</f>
        <v>0.001738516111</v>
      </c>
      <c r="S50" s="373">
        <f>'Counterfactual malaria'!S30</f>
        <v>0.00313015187</v>
      </c>
      <c r="T50" s="373">
        <f>'Counterfactual malaria'!T30</f>
        <v>0.00211605307</v>
      </c>
      <c r="U50" s="373">
        <f>'Counterfactual malaria'!U30</f>
        <v>0.002716600747</v>
      </c>
      <c r="V50" s="373">
        <f>'Counterfactual malaria'!V30</f>
        <v>0.0022301902</v>
      </c>
      <c r="W50" s="373">
        <f>'Counterfactual malaria'!W30</f>
        <v>0.001885488333</v>
      </c>
      <c r="X50" s="373">
        <f>'Counterfactual malaria'!X30</f>
        <v>0.00343439301</v>
      </c>
      <c r="Y50" s="373">
        <f>'Counterfactual malaria'!Y30</f>
        <v>0.001599172302</v>
      </c>
      <c r="Z50" s="373">
        <f>'Counterfactual malaria'!Z30</f>
        <v>0.003089129587</v>
      </c>
      <c r="AA50" s="140"/>
    </row>
    <row r="51">
      <c r="A51" s="71"/>
      <c r="B51" s="72"/>
      <c r="C51" s="278"/>
      <c r="D51" s="278"/>
      <c r="E51" s="113" t="s">
        <v>199</v>
      </c>
      <c r="F51" s="115" t="str">
        <f>Inputs!F51</f>
        <v>#</v>
      </c>
      <c r="G51" s="231" t="str">
        <f>Inputs!G51</f>
        <v>input</v>
      </c>
      <c r="H51" s="191">
        <f>Inputs!H51</f>
        <v>0.75</v>
      </c>
      <c r="I51" s="318" t="str">
        <f>Inputs!I51</f>
        <v>-</v>
      </c>
      <c r="J51" s="318" t="str">
        <f>Inputs!J51</f>
        <v>-</v>
      </c>
      <c r="K51" s="318" t="str">
        <f>Inputs!K51</f>
        <v>-</v>
      </c>
      <c r="L51" s="318" t="str">
        <f>Inputs!L51</f>
        <v>-</v>
      </c>
      <c r="M51" s="318" t="str">
        <f>Inputs!M51</f>
        <v>-</v>
      </c>
      <c r="N51" s="318" t="str">
        <f>Inputs!N51</f>
        <v>-</v>
      </c>
      <c r="O51" s="318" t="str">
        <f>Inputs!O51</f>
        <v>-</v>
      </c>
      <c r="P51" s="318" t="str">
        <f>Inputs!P51</f>
        <v>-</v>
      </c>
      <c r="Q51" s="318" t="str">
        <f>Inputs!Q51</f>
        <v>-</v>
      </c>
      <c r="R51" s="318" t="str">
        <f>Inputs!R51</f>
        <v>-</v>
      </c>
      <c r="S51" s="318" t="str">
        <f>Inputs!S51</f>
        <v>-</v>
      </c>
      <c r="T51" s="318" t="str">
        <f>Inputs!T51</f>
        <v>-</v>
      </c>
      <c r="U51" s="318" t="str">
        <f>Inputs!U51</f>
        <v>-</v>
      </c>
      <c r="V51" s="318" t="str">
        <f>Inputs!V51</f>
        <v>-</v>
      </c>
      <c r="W51" s="318" t="str">
        <f>Inputs!W51</f>
        <v>-</v>
      </c>
      <c r="X51" s="318" t="str">
        <f>Inputs!X51</f>
        <v>-</v>
      </c>
      <c r="Y51" s="318" t="str">
        <f>Inputs!Y51</f>
        <v>-</v>
      </c>
      <c r="Z51" s="318" t="str">
        <f>Inputs!Z51</f>
        <v>-</v>
      </c>
      <c r="AA51" s="140"/>
    </row>
    <row r="52">
      <c r="A52" s="71"/>
      <c r="B52" s="72"/>
      <c r="C52" s="278"/>
      <c r="D52" s="278"/>
      <c r="E52" s="113" t="s">
        <v>203</v>
      </c>
      <c r="F52" s="115" t="s">
        <v>99</v>
      </c>
      <c r="G52" s="231" t="s">
        <v>112</v>
      </c>
      <c r="H52" s="191" t="s">
        <v>124</v>
      </c>
      <c r="I52" s="373">
        <f t="shared" ref="I52:Z52" si="13">I50*(1+$H51)</f>
        <v>0.006730294518</v>
      </c>
      <c r="J52" s="373">
        <f t="shared" si="13"/>
        <v>0.002245654081</v>
      </c>
      <c r="K52" s="373">
        <f t="shared" si="13"/>
        <v>0.003219623787</v>
      </c>
      <c r="L52" s="373">
        <f t="shared" si="13"/>
        <v>0.003811876904</v>
      </c>
      <c r="M52" s="373">
        <f t="shared" si="13"/>
        <v>0.003785542753</v>
      </c>
      <c r="N52" s="373">
        <f t="shared" si="13"/>
        <v>0.005692047779</v>
      </c>
      <c r="O52" s="373">
        <f t="shared" si="13"/>
        <v>0.00485782338</v>
      </c>
      <c r="P52" s="373">
        <f t="shared" si="13"/>
        <v>0.004261027438</v>
      </c>
      <c r="Q52" s="373">
        <f t="shared" si="13"/>
        <v>0.002874568801</v>
      </c>
      <c r="R52" s="373">
        <f t="shared" si="13"/>
        <v>0.003042403195</v>
      </c>
      <c r="S52" s="373">
        <f t="shared" si="13"/>
        <v>0.005477765772</v>
      </c>
      <c r="T52" s="373">
        <f t="shared" si="13"/>
        <v>0.003703092873</v>
      </c>
      <c r="U52" s="373">
        <f t="shared" si="13"/>
        <v>0.004754051306</v>
      </c>
      <c r="V52" s="373">
        <f t="shared" si="13"/>
        <v>0.00390283285</v>
      </c>
      <c r="W52" s="373">
        <f t="shared" si="13"/>
        <v>0.003299604583</v>
      </c>
      <c r="X52" s="373">
        <f t="shared" si="13"/>
        <v>0.006010187767</v>
      </c>
      <c r="Y52" s="373">
        <f t="shared" si="13"/>
        <v>0.002798551529</v>
      </c>
      <c r="Z52" s="373">
        <f t="shared" si="13"/>
        <v>0.005405976778</v>
      </c>
      <c r="AA52" s="140"/>
    </row>
    <row r="53">
      <c r="A53" s="71"/>
      <c r="B53" s="72"/>
      <c r="C53" s="278"/>
      <c r="D53" s="278"/>
      <c r="E53" s="113" t="s">
        <v>205</v>
      </c>
      <c r="F53" s="115" t="s">
        <v>88</v>
      </c>
      <c r="G53" s="231" t="s">
        <v>112</v>
      </c>
      <c r="H53" s="191" t="s">
        <v>124</v>
      </c>
      <c r="I53" s="230">
        <f t="shared" ref="I53:Z53" si="14">I36*I52</f>
        <v>1183.071798</v>
      </c>
      <c r="J53" s="230">
        <f t="shared" si="14"/>
        <v>346.7951164</v>
      </c>
      <c r="K53" s="230">
        <f t="shared" si="14"/>
        <v>497.2047188</v>
      </c>
      <c r="L53" s="230">
        <f t="shared" si="14"/>
        <v>588.6660398</v>
      </c>
      <c r="M53" s="230">
        <f t="shared" si="14"/>
        <v>584.5992714</v>
      </c>
      <c r="N53" s="230">
        <f t="shared" si="14"/>
        <v>879.019787</v>
      </c>
      <c r="O53" s="230">
        <f t="shared" si="14"/>
        <v>750.190975</v>
      </c>
      <c r="P53" s="230">
        <f t="shared" si="14"/>
        <v>844.9831319</v>
      </c>
      <c r="Q53" s="230">
        <f t="shared" si="14"/>
        <v>570.041424</v>
      </c>
      <c r="R53" s="230">
        <f t="shared" si="14"/>
        <v>482.6590615</v>
      </c>
      <c r="S53" s="230">
        <f t="shared" si="14"/>
        <v>1086.268452</v>
      </c>
      <c r="T53" s="230">
        <f t="shared" si="14"/>
        <v>587.4735255</v>
      </c>
      <c r="U53" s="230">
        <f t="shared" si="14"/>
        <v>754.2017921</v>
      </c>
      <c r="V53" s="230">
        <f t="shared" si="14"/>
        <v>619.1610776</v>
      </c>
      <c r="W53" s="230">
        <f t="shared" si="14"/>
        <v>523.4625227</v>
      </c>
      <c r="X53" s="230">
        <f t="shared" si="14"/>
        <v>1191.850406</v>
      </c>
      <c r="Y53" s="230">
        <f t="shared" si="14"/>
        <v>520.7993229</v>
      </c>
      <c r="Z53" s="230">
        <f t="shared" si="14"/>
        <v>667.8736006</v>
      </c>
      <c r="AA53" s="140"/>
    </row>
    <row r="54">
      <c r="A54" s="71"/>
      <c r="B54" s="72"/>
      <c r="C54" s="278"/>
      <c r="D54" s="278"/>
      <c r="E54" s="113" t="s">
        <v>207</v>
      </c>
      <c r="F54" s="115" t="str">
        <f>Inputs!F52</f>
        <v>%</v>
      </c>
      <c r="G54" s="231" t="str">
        <f>Inputs!G52</f>
        <v>input</v>
      </c>
      <c r="H54" s="191" t="str">
        <f>Inputs!H52</f>
        <v>-</v>
      </c>
      <c r="I54" s="337">
        <f>Inputs!I52</f>
        <v>0.7</v>
      </c>
      <c r="J54" s="337">
        <f>Inputs!J52</f>
        <v>0.7</v>
      </c>
      <c r="K54" s="337">
        <f>Inputs!K52</f>
        <v>0.515</v>
      </c>
      <c r="L54" s="337">
        <f>Inputs!L52</f>
        <v>0.515</v>
      </c>
      <c r="M54" s="337">
        <f>Inputs!M52</f>
        <v>0.515</v>
      </c>
      <c r="N54" s="337">
        <f>Inputs!N52</f>
        <v>0.515</v>
      </c>
      <c r="O54" s="337">
        <f>Inputs!O52</f>
        <v>0.515</v>
      </c>
      <c r="P54" s="337">
        <f>Inputs!P52</f>
        <v>0.7</v>
      </c>
      <c r="Q54" s="337">
        <f>Inputs!Q52</f>
        <v>0.7</v>
      </c>
      <c r="R54" s="337">
        <f>Inputs!R52</f>
        <v>0.7</v>
      </c>
      <c r="S54" s="337">
        <f>Inputs!S52</f>
        <v>0.7</v>
      </c>
      <c r="T54" s="337">
        <f>Inputs!T52</f>
        <v>0.7</v>
      </c>
      <c r="U54" s="337">
        <f>Inputs!U52</f>
        <v>0.7</v>
      </c>
      <c r="V54" s="337">
        <f>Inputs!V52</f>
        <v>0.7</v>
      </c>
      <c r="W54" s="337">
        <f>Inputs!W52</f>
        <v>0.7</v>
      </c>
      <c r="X54" s="337">
        <f>Inputs!X52</f>
        <v>0.7</v>
      </c>
      <c r="Y54" s="337">
        <f>Inputs!Y52</f>
        <v>0.7</v>
      </c>
      <c r="Z54" s="337">
        <f>Inputs!Z52</f>
        <v>0.62</v>
      </c>
      <c r="AA54" s="140"/>
    </row>
    <row r="55">
      <c r="A55" s="71"/>
      <c r="B55" s="72"/>
      <c r="C55" s="278"/>
      <c r="D55" s="278"/>
      <c r="E55" s="113" t="s">
        <v>213</v>
      </c>
      <c r="F55" s="115" t="s">
        <v>88</v>
      </c>
      <c r="G55" s="231" t="s">
        <v>112</v>
      </c>
      <c r="H55" s="191" t="s">
        <v>124</v>
      </c>
      <c r="I55" s="230">
        <f t="shared" ref="I55:Z55" si="15">I53*I54</f>
        <v>828.1502589</v>
      </c>
      <c r="J55" s="230">
        <f t="shared" si="15"/>
        <v>242.7565814</v>
      </c>
      <c r="K55" s="230">
        <f t="shared" si="15"/>
        <v>256.0604302</v>
      </c>
      <c r="L55" s="230">
        <f t="shared" si="15"/>
        <v>303.1630105</v>
      </c>
      <c r="M55" s="230">
        <f t="shared" si="15"/>
        <v>301.0686248</v>
      </c>
      <c r="N55" s="230">
        <f t="shared" si="15"/>
        <v>452.6951903</v>
      </c>
      <c r="O55" s="230">
        <f t="shared" si="15"/>
        <v>386.3483521</v>
      </c>
      <c r="P55" s="230">
        <f t="shared" si="15"/>
        <v>591.4881923</v>
      </c>
      <c r="Q55" s="230">
        <f t="shared" si="15"/>
        <v>399.0289968</v>
      </c>
      <c r="R55" s="230">
        <f t="shared" si="15"/>
        <v>337.8613431</v>
      </c>
      <c r="S55" s="230">
        <f t="shared" si="15"/>
        <v>760.3879163</v>
      </c>
      <c r="T55" s="230">
        <f t="shared" si="15"/>
        <v>411.2314678</v>
      </c>
      <c r="U55" s="230">
        <f t="shared" si="15"/>
        <v>527.9412545</v>
      </c>
      <c r="V55" s="230">
        <f t="shared" si="15"/>
        <v>433.4127544</v>
      </c>
      <c r="W55" s="230">
        <f t="shared" si="15"/>
        <v>366.4237659</v>
      </c>
      <c r="X55" s="230">
        <f t="shared" si="15"/>
        <v>834.2952843</v>
      </c>
      <c r="Y55" s="230">
        <f t="shared" si="15"/>
        <v>364.559526</v>
      </c>
      <c r="Z55" s="230">
        <f t="shared" si="15"/>
        <v>414.0816324</v>
      </c>
      <c r="AA55" s="140"/>
    </row>
    <row r="56">
      <c r="A56" s="71"/>
      <c r="B56" s="72"/>
      <c r="C56" s="278"/>
      <c r="D56" s="278"/>
      <c r="E56" s="93" t="s">
        <v>214</v>
      </c>
      <c r="F56" s="96" t="s">
        <v>88</v>
      </c>
      <c r="G56" s="176" t="s">
        <v>112</v>
      </c>
      <c r="H56" s="177" t="s">
        <v>124</v>
      </c>
      <c r="I56" s="404">
        <f t="shared" ref="I56:Z56" si="16">I49*I55</f>
        <v>657.2987183</v>
      </c>
      <c r="J56" s="404">
        <f t="shared" si="16"/>
        <v>192.6746845</v>
      </c>
      <c r="K56" s="404">
        <f t="shared" si="16"/>
        <v>163.4836115</v>
      </c>
      <c r="L56" s="404">
        <f t="shared" si="16"/>
        <v>193.5565905</v>
      </c>
      <c r="M56" s="404">
        <f t="shared" si="16"/>
        <v>192.2194149</v>
      </c>
      <c r="N56" s="404">
        <f t="shared" si="16"/>
        <v>289.0264792</v>
      </c>
      <c r="O56" s="404">
        <f t="shared" si="16"/>
        <v>246.6668663</v>
      </c>
      <c r="P56" s="404">
        <f t="shared" si="16"/>
        <v>469.4612198</v>
      </c>
      <c r="Q56" s="404">
        <f t="shared" si="16"/>
        <v>316.7073189</v>
      </c>
      <c r="R56" s="404">
        <f t="shared" si="16"/>
        <v>268.1588581</v>
      </c>
      <c r="S56" s="404">
        <f t="shared" si="16"/>
        <v>603.516086</v>
      </c>
      <c r="T56" s="404">
        <f t="shared" si="16"/>
        <v>326.3923592</v>
      </c>
      <c r="U56" s="404">
        <f t="shared" si="16"/>
        <v>419.0243331</v>
      </c>
      <c r="V56" s="404">
        <f t="shared" si="16"/>
        <v>343.9975353</v>
      </c>
      <c r="W56" s="404">
        <f t="shared" si="16"/>
        <v>290.8287103</v>
      </c>
      <c r="X56" s="404">
        <f t="shared" si="16"/>
        <v>662.1759943</v>
      </c>
      <c r="Y56" s="404">
        <f t="shared" si="16"/>
        <v>289.3490724</v>
      </c>
      <c r="Z56" s="404">
        <f t="shared" si="16"/>
        <v>264.3733772</v>
      </c>
      <c r="AA56" s="118"/>
    </row>
    <row r="57">
      <c r="A57" s="71"/>
      <c r="B57" s="72"/>
      <c r="C57" s="278"/>
      <c r="D57" s="278"/>
      <c r="E57" s="119"/>
      <c r="F57" s="75"/>
      <c r="G57" s="77"/>
      <c r="H57" s="78"/>
      <c r="I57" s="85"/>
      <c r="J57" s="85"/>
      <c r="K57" s="85"/>
      <c r="L57" s="85"/>
      <c r="M57" s="85"/>
      <c r="N57" s="85"/>
      <c r="O57" s="85"/>
      <c r="P57" s="85"/>
      <c r="Q57" s="85"/>
      <c r="R57" s="85"/>
      <c r="S57" s="85"/>
      <c r="T57" s="85"/>
      <c r="U57" s="85"/>
      <c r="V57" s="85"/>
      <c r="W57" s="85"/>
      <c r="X57" s="85"/>
      <c r="Y57" s="85"/>
      <c r="Z57" s="85"/>
      <c r="AA57" s="81"/>
    </row>
    <row r="58">
      <c r="A58" s="71"/>
      <c r="B58" s="72"/>
      <c r="C58" s="278" t="s">
        <v>216</v>
      </c>
      <c r="F58" s="120"/>
      <c r="G58" s="168"/>
      <c r="H58" s="302"/>
      <c r="I58" s="85"/>
      <c r="J58" s="85"/>
      <c r="K58" s="85"/>
      <c r="L58" s="85"/>
      <c r="M58" s="85"/>
      <c r="N58" s="85"/>
      <c r="O58" s="85"/>
      <c r="P58" s="85"/>
      <c r="Q58" s="85"/>
      <c r="R58" s="85"/>
      <c r="S58" s="85"/>
      <c r="T58" s="85"/>
      <c r="U58" s="85"/>
      <c r="V58" s="85"/>
      <c r="W58" s="85"/>
      <c r="X58" s="85"/>
      <c r="Y58" s="85"/>
      <c r="Z58" s="85"/>
      <c r="AA58" s="81"/>
    </row>
    <row r="59">
      <c r="A59" s="71"/>
      <c r="B59" s="72"/>
      <c r="C59" s="82"/>
      <c r="D59" s="82"/>
      <c r="E59" s="189" t="s">
        <v>217</v>
      </c>
      <c r="F59" s="115" t="str">
        <f>Inputs!F55</f>
        <v>%</v>
      </c>
      <c r="G59" s="231" t="str">
        <f>Inputs!G55</f>
        <v>input</v>
      </c>
      <c r="H59" s="296">
        <f>Inputs!H55</f>
        <v>0.6</v>
      </c>
      <c r="I59" s="280" t="str">
        <f>Inputs!I55</f>
        <v>-</v>
      </c>
      <c r="J59" s="280" t="str">
        <f>Inputs!J55</f>
        <v>-</v>
      </c>
      <c r="K59" s="280" t="str">
        <f>Inputs!K55</f>
        <v>-</v>
      </c>
      <c r="L59" s="280" t="str">
        <f>Inputs!L55</f>
        <v>-</v>
      </c>
      <c r="M59" s="280" t="str">
        <f>Inputs!M55</f>
        <v>-</v>
      </c>
      <c r="N59" s="280" t="str">
        <f>Inputs!N55</f>
        <v>-</v>
      </c>
      <c r="O59" s="280" t="str">
        <f>Inputs!O55</f>
        <v>-</v>
      </c>
      <c r="P59" s="280" t="str">
        <f>Inputs!P55</f>
        <v>-</v>
      </c>
      <c r="Q59" s="280" t="str">
        <f>Inputs!Q55</f>
        <v>-</v>
      </c>
      <c r="R59" s="280" t="str">
        <f>Inputs!R55</f>
        <v>-</v>
      </c>
      <c r="S59" s="280" t="str">
        <f>Inputs!S55</f>
        <v>-</v>
      </c>
      <c r="T59" s="280" t="str">
        <f>Inputs!T55</f>
        <v>-</v>
      </c>
      <c r="U59" s="280" t="str">
        <f>Inputs!U55</f>
        <v>-</v>
      </c>
      <c r="V59" s="280" t="str">
        <f>Inputs!V55</f>
        <v>-</v>
      </c>
      <c r="W59" s="280" t="str">
        <f>Inputs!W55</f>
        <v>-</v>
      </c>
      <c r="X59" s="280" t="str">
        <f>Inputs!X55</f>
        <v>-</v>
      </c>
      <c r="Y59" s="280" t="str">
        <f>Inputs!Y55</f>
        <v>-</v>
      </c>
      <c r="Z59" s="280" t="str">
        <f>Inputs!Z55</f>
        <v>-</v>
      </c>
      <c r="AA59" s="408"/>
    </row>
    <row r="60">
      <c r="A60" s="71"/>
      <c r="B60" s="72"/>
      <c r="C60" s="82"/>
      <c r="D60" s="82"/>
      <c r="E60" s="194" t="s">
        <v>219</v>
      </c>
      <c r="F60" s="139" t="str">
        <f>Inputs!F56</f>
        <v>%</v>
      </c>
      <c r="G60" s="377" t="str">
        <f>Inputs!G56</f>
        <v>input</v>
      </c>
      <c r="H60" s="414">
        <f>Inputs!H56</f>
        <v>0.26</v>
      </c>
      <c r="I60" s="327" t="str">
        <f>Inputs!I56</f>
        <v>-</v>
      </c>
      <c r="J60" s="327" t="str">
        <f>Inputs!J56</f>
        <v>-</v>
      </c>
      <c r="K60" s="327" t="str">
        <f>Inputs!K56</f>
        <v>-</v>
      </c>
      <c r="L60" s="327" t="str">
        <f>Inputs!L56</f>
        <v>-</v>
      </c>
      <c r="M60" s="327" t="str">
        <f>Inputs!M56</f>
        <v>-</v>
      </c>
      <c r="N60" s="327" t="str">
        <f>Inputs!N56</f>
        <v>-</v>
      </c>
      <c r="O60" s="327" t="str">
        <f>Inputs!O56</f>
        <v>-</v>
      </c>
      <c r="P60" s="327" t="str">
        <f>Inputs!P56</f>
        <v>-</v>
      </c>
      <c r="Q60" s="327" t="str">
        <f>Inputs!Q56</f>
        <v>-</v>
      </c>
      <c r="R60" s="327" t="str">
        <f>Inputs!R56</f>
        <v>-</v>
      </c>
      <c r="S60" s="327" t="str">
        <f>Inputs!S56</f>
        <v>-</v>
      </c>
      <c r="T60" s="327" t="str">
        <f>Inputs!T56</f>
        <v>-</v>
      </c>
      <c r="U60" s="327" t="str">
        <f>Inputs!U56</f>
        <v>-</v>
      </c>
      <c r="V60" s="327" t="str">
        <f>Inputs!V56</f>
        <v>-</v>
      </c>
      <c r="W60" s="327" t="str">
        <f>Inputs!W56</f>
        <v>-</v>
      </c>
      <c r="X60" s="327" t="str">
        <f>Inputs!X56</f>
        <v>-</v>
      </c>
      <c r="Y60" s="327" t="str">
        <f>Inputs!Y56</f>
        <v>-</v>
      </c>
      <c r="Z60" s="327" t="str">
        <f>Inputs!Z56</f>
        <v>-</v>
      </c>
      <c r="AA60" s="426"/>
    </row>
    <row r="61">
      <c r="A61" s="71"/>
      <c r="B61" s="72"/>
      <c r="C61" s="82"/>
      <c r="D61" s="82"/>
      <c r="E61" s="194" t="s">
        <v>222</v>
      </c>
      <c r="F61" s="139" t="s">
        <v>99</v>
      </c>
      <c r="G61" s="377" t="s">
        <v>112</v>
      </c>
      <c r="H61" s="414">
        <f>H60/H59</f>
        <v>0.4333333333</v>
      </c>
      <c r="I61" s="318" t="s">
        <v>124</v>
      </c>
      <c r="J61" s="318" t="s">
        <v>124</v>
      </c>
      <c r="K61" s="318" t="s">
        <v>124</v>
      </c>
      <c r="L61" s="318" t="s">
        <v>124</v>
      </c>
      <c r="M61" s="318" t="s">
        <v>124</v>
      </c>
      <c r="N61" s="318" t="s">
        <v>124</v>
      </c>
      <c r="O61" s="318" t="s">
        <v>124</v>
      </c>
      <c r="P61" s="318" t="s">
        <v>124</v>
      </c>
      <c r="Q61" s="318" t="s">
        <v>124</v>
      </c>
      <c r="R61" s="318" t="s">
        <v>124</v>
      </c>
      <c r="S61" s="318" t="s">
        <v>124</v>
      </c>
      <c r="T61" s="318" t="s">
        <v>124</v>
      </c>
      <c r="U61" s="318" t="s">
        <v>124</v>
      </c>
      <c r="V61" s="318" t="s">
        <v>124</v>
      </c>
      <c r="W61" s="318" t="s">
        <v>124</v>
      </c>
      <c r="X61" s="318" t="s">
        <v>124</v>
      </c>
      <c r="Y61" s="318" t="s">
        <v>124</v>
      </c>
      <c r="Z61" s="318" t="s">
        <v>124</v>
      </c>
      <c r="AA61" s="426"/>
    </row>
    <row r="62">
      <c r="A62" s="71"/>
      <c r="B62" s="72"/>
      <c r="C62" s="82"/>
      <c r="D62" s="82"/>
      <c r="E62" s="194" t="s">
        <v>224</v>
      </c>
      <c r="F62" s="139" t="str">
        <f>Inputs!F57</f>
        <v>%</v>
      </c>
      <c r="G62" s="377" t="str">
        <f>Inputs!G57</f>
        <v>input</v>
      </c>
      <c r="H62" s="228">
        <f>Inputs!H57</f>
        <v>-0.6912579</v>
      </c>
      <c r="I62" s="327" t="str">
        <f>Inputs!I57</f>
        <v>-</v>
      </c>
      <c r="J62" s="327" t="str">
        <f>Inputs!J57</f>
        <v>-</v>
      </c>
      <c r="K62" s="327" t="str">
        <f>Inputs!K57</f>
        <v>-</v>
      </c>
      <c r="L62" s="327" t="str">
        <f>Inputs!L57</f>
        <v>-</v>
      </c>
      <c r="M62" s="327" t="str">
        <f>Inputs!M57</f>
        <v>-</v>
      </c>
      <c r="N62" s="327" t="str">
        <f>Inputs!N57</f>
        <v>-</v>
      </c>
      <c r="O62" s="327" t="str">
        <f>Inputs!O57</f>
        <v>-</v>
      </c>
      <c r="P62" s="327" t="str">
        <f>Inputs!P57</f>
        <v>-</v>
      </c>
      <c r="Q62" s="327" t="str">
        <f>Inputs!Q57</f>
        <v>-</v>
      </c>
      <c r="R62" s="327" t="str">
        <f>Inputs!R57</f>
        <v>-</v>
      </c>
      <c r="S62" s="327" t="str">
        <f>Inputs!S57</f>
        <v>-</v>
      </c>
      <c r="T62" s="327" t="str">
        <f>Inputs!T57</f>
        <v>-</v>
      </c>
      <c r="U62" s="327" t="str">
        <f>Inputs!U57</f>
        <v>-</v>
      </c>
      <c r="V62" s="327" t="str">
        <f>Inputs!V57</f>
        <v>-</v>
      </c>
      <c r="W62" s="327" t="str">
        <f>Inputs!W57</f>
        <v>-</v>
      </c>
      <c r="X62" s="327" t="str">
        <f>Inputs!X57</f>
        <v>-</v>
      </c>
      <c r="Y62" s="327" t="str">
        <f>Inputs!Y57</f>
        <v>-</v>
      </c>
      <c r="Z62" s="327" t="str">
        <f>Inputs!Z57</f>
        <v>-</v>
      </c>
      <c r="AA62" s="426"/>
    </row>
    <row r="63">
      <c r="A63" s="71"/>
      <c r="B63" s="72"/>
      <c r="C63" s="82"/>
      <c r="D63" s="82"/>
      <c r="E63" s="194" t="s">
        <v>228</v>
      </c>
      <c r="F63" s="139" t="s">
        <v>99</v>
      </c>
      <c r="G63" s="377" t="s">
        <v>112</v>
      </c>
      <c r="H63" s="228">
        <f>H61*(1+H62)</f>
        <v>0.1337882433</v>
      </c>
      <c r="I63" s="318" t="s">
        <v>124</v>
      </c>
      <c r="J63" s="318" t="s">
        <v>124</v>
      </c>
      <c r="K63" s="318" t="s">
        <v>124</v>
      </c>
      <c r="L63" s="318" t="s">
        <v>124</v>
      </c>
      <c r="M63" s="318" t="s">
        <v>124</v>
      </c>
      <c r="N63" s="318" t="s">
        <v>124</v>
      </c>
      <c r="O63" s="318" t="s">
        <v>124</v>
      </c>
      <c r="P63" s="318" t="s">
        <v>124</v>
      </c>
      <c r="Q63" s="318" t="s">
        <v>124</v>
      </c>
      <c r="R63" s="318" t="s">
        <v>124</v>
      </c>
      <c r="S63" s="318" t="s">
        <v>124</v>
      </c>
      <c r="T63" s="318" t="s">
        <v>124</v>
      </c>
      <c r="U63" s="318" t="s">
        <v>124</v>
      </c>
      <c r="V63" s="318" t="s">
        <v>124</v>
      </c>
      <c r="W63" s="318" t="s">
        <v>124</v>
      </c>
      <c r="X63" s="318" t="s">
        <v>124</v>
      </c>
      <c r="Y63" s="318" t="s">
        <v>124</v>
      </c>
      <c r="Z63" s="318" t="s">
        <v>124</v>
      </c>
      <c r="AA63" s="426"/>
    </row>
    <row r="64">
      <c r="A64" s="71"/>
      <c r="B64" s="72"/>
      <c r="C64" s="82"/>
      <c r="D64" s="82"/>
      <c r="E64" s="194" t="s">
        <v>231</v>
      </c>
      <c r="F64" s="139" t="s">
        <v>99</v>
      </c>
      <c r="G64" s="377" t="s">
        <v>112</v>
      </c>
      <c r="H64" s="233" t="s">
        <v>124</v>
      </c>
      <c r="I64" s="337">
        <f t="shared" ref="I64:Z64" si="17">I49*$H63</f>
        <v>0.1061870596</v>
      </c>
      <c r="J64" s="337">
        <f t="shared" si="17"/>
        <v>0.1061870596</v>
      </c>
      <c r="K64" s="337">
        <f t="shared" si="17"/>
        <v>0.08541806001</v>
      </c>
      <c r="L64" s="337">
        <f t="shared" si="17"/>
        <v>0.08541806001</v>
      </c>
      <c r="M64" s="337">
        <f t="shared" si="17"/>
        <v>0.08541806001</v>
      </c>
      <c r="N64" s="337">
        <f t="shared" si="17"/>
        <v>0.08541806001</v>
      </c>
      <c r="O64" s="337">
        <f t="shared" si="17"/>
        <v>0.08541806001</v>
      </c>
      <c r="P64" s="337">
        <f t="shared" si="17"/>
        <v>0.1061870596</v>
      </c>
      <c r="Q64" s="337">
        <f t="shared" si="17"/>
        <v>0.1061870596</v>
      </c>
      <c r="R64" s="337">
        <f t="shared" si="17"/>
        <v>0.1061870596</v>
      </c>
      <c r="S64" s="337">
        <f t="shared" si="17"/>
        <v>0.1061870596</v>
      </c>
      <c r="T64" s="337">
        <f t="shared" si="17"/>
        <v>0.1061870596</v>
      </c>
      <c r="U64" s="337">
        <f t="shared" si="17"/>
        <v>0.1061870596</v>
      </c>
      <c r="V64" s="337">
        <f t="shared" si="17"/>
        <v>0.1061870596</v>
      </c>
      <c r="W64" s="337">
        <f t="shared" si="17"/>
        <v>0.1061870596</v>
      </c>
      <c r="X64" s="337">
        <f t="shared" si="17"/>
        <v>0.1061870596</v>
      </c>
      <c r="Y64" s="337">
        <f t="shared" si="17"/>
        <v>0.1061870596</v>
      </c>
      <c r="Z64" s="337">
        <f t="shared" si="17"/>
        <v>0.08541806001</v>
      </c>
      <c r="AA64" s="426"/>
    </row>
    <row r="65">
      <c r="A65" s="71"/>
      <c r="B65" s="72"/>
      <c r="C65" s="82"/>
      <c r="D65" s="82"/>
      <c r="E65" s="194" t="s">
        <v>189</v>
      </c>
      <c r="F65" s="139" t="str">
        <f>F48</f>
        <v>%</v>
      </c>
      <c r="G65" s="377" t="s">
        <v>38</v>
      </c>
      <c r="H65" s="414">
        <f t="shared" ref="H65:Z65" si="18">H48</f>
        <v>1</v>
      </c>
      <c r="I65" s="318" t="str">
        <f t="shared" si="18"/>
        <v>-</v>
      </c>
      <c r="J65" s="318" t="str">
        <f t="shared" si="18"/>
        <v>-</v>
      </c>
      <c r="K65" s="318" t="str">
        <f t="shared" si="18"/>
        <v>-</v>
      </c>
      <c r="L65" s="318" t="str">
        <f t="shared" si="18"/>
        <v>-</v>
      </c>
      <c r="M65" s="318" t="str">
        <f t="shared" si="18"/>
        <v>-</v>
      </c>
      <c r="N65" s="318" t="str">
        <f t="shared" si="18"/>
        <v>-</v>
      </c>
      <c r="O65" s="318" t="str">
        <f t="shared" si="18"/>
        <v>-</v>
      </c>
      <c r="P65" s="318" t="str">
        <f t="shared" si="18"/>
        <v>-</v>
      </c>
      <c r="Q65" s="318" t="str">
        <f t="shared" si="18"/>
        <v>-</v>
      </c>
      <c r="R65" s="318" t="str">
        <f t="shared" si="18"/>
        <v>-</v>
      </c>
      <c r="S65" s="318" t="str">
        <f t="shared" si="18"/>
        <v>-</v>
      </c>
      <c r="T65" s="318" t="str">
        <f t="shared" si="18"/>
        <v>-</v>
      </c>
      <c r="U65" s="318" t="str">
        <f t="shared" si="18"/>
        <v>-</v>
      </c>
      <c r="V65" s="318" t="str">
        <f t="shared" si="18"/>
        <v>-</v>
      </c>
      <c r="W65" s="318" t="str">
        <f t="shared" si="18"/>
        <v>-</v>
      </c>
      <c r="X65" s="318" t="str">
        <f t="shared" si="18"/>
        <v>-</v>
      </c>
      <c r="Y65" s="318" t="str">
        <f t="shared" si="18"/>
        <v>-</v>
      </c>
      <c r="Z65" s="318" t="str">
        <f t="shared" si="18"/>
        <v>-</v>
      </c>
      <c r="AA65" s="426"/>
    </row>
    <row r="66">
      <c r="A66" s="71"/>
      <c r="B66" s="72"/>
      <c r="C66" s="82"/>
      <c r="D66" s="82"/>
      <c r="E66" s="194" t="s">
        <v>233</v>
      </c>
      <c r="F66" s="139" t="s">
        <v>99</v>
      </c>
      <c r="G66" s="377" t="s">
        <v>112</v>
      </c>
      <c r="H66" s="233" t="s">
        <v>124</v>
      </c>
      <c r="I66" s="337">
        <f t="shared" ref="I66:Z66" si="19">I64*$H65</f>
        <v>0.1061870596</v>
      </c>
      <c r="J66" s="337">
        <f t="shared" si="19"/>
        <v>0.1061870596</v>
      </c>
      <c r="K66" s="337">
        <f t="shared" si="19"/>
        <v>0.08541806001</v>
      </c>
      <c r="L66" s="337">
        <f t="shared" si="19"/>
        <v>0.08541806001</v>
      </c>
      <c r="M66" s="337">
        <f t="shared" si="19"/>
        <v>0.08541806001</v>
      </c>
      <c r="N66" s="337">
        <f t="shared" si="19"/>
        <v>0.08541806001</v>
      </c>
      <c r="O66" s="337">
        <f t="shared" si="19"/>
        <v>0.08541806001</v>
      </c>
      <c r="P66" s="337">
        <f t="shared" si="19"/>
        <v>0.1061870596</v>
      </c>
      <c r="Q66" s="337">
        <f t="shared" si="19"/>
        <v>0.1061870596</v>
      </c>
      <c r="R66" s="337">
        <f t="shared" si="19"/>
        <v>0.1061870596</v>
      </c>
      <c r="S66" s="337">
        <f t="shared" si="19"/>
        <v>0.1061870596</v>
      </c>
      <c r="T66" s="337">
        <f t="shared" si="19"/>
        <v>0.1061870596</v>
      </c>
      <c r="U66" s="337">
        <f t="shared" si="19"/>
        <v>0.1061870596</v>
      </c>
      <c r="V66" s="337">
        <f t="shared" si="19"/>
        <v>0.1061870596</v>
      </c>
      <c r="W66" s="337">
        <f t="shared" si="19"/>
        <v>0.1061870596</v>
      </c>
      <c r="X66" s="337">
        <f t="shared" si="19"/>
        <v>0.1061870596</v>
      </c>
      <c r="Y66" s="337">
        <f t="shared" si="19"/>
        <v>0.1061870596</v>
      </c>
      <c r="Z66" s="337">
        <f t="shared" si="19"/>
        <v>0.08541806001</v>
      </c>
      <c r="AA66" s="426"/>
    </row>
    <row r="67">
      <c r="A67" s="71"/>
      <c r="B67" s="72"/>
      <c r="C67" s="82"/>
      <c r="D67" s="82"/>
      <c r="E67" s="194" t="s">
        <v>204</v>
      </c>
      <c r="F67" s="139" t="str">
        <f>'Counterfactual malaria'!F35</f>
        <v>#</v>
      </c>
      <c r="G67" s="377" t="s">
        <v>114</v>
      </c>
      <c r="H67" s="233" t="str">
        <f>'Counterfactual malaria'!H35</f>
        <v>-</v>
      </c>
      <c r="I67" s="459">
        <f>'Counterfactual malaria'!I35</f>
        <v>0.6705216366</v>
      </c>
      <c r="J67" s="459">
        <f>'Counterfactual malaria'!J35</f>
        <v>0.6568127222</v>
      </c>
      <c r="K67" s="459">
        <f>'Counterfactual malaria'!K35</f>
        <v>0.3460824726</v>
      </c>
      <c r="L67" s="459">
        <f>'Counterfactual malaria'!L35</f>
        <v>0.3460824716</v>
      </c>
      <c r="M67" s="459">
        <f>'Counterfactual malaria'!M35</f>
        <v>0.3460824712</v>
      </c>
      <c r="N67" s="459">
        <f>'Counterfactual malaria'!N35</f>
        <v>0.3460824727</v>
      </c>
      <c r="O67" s="459">
        <f>'Counterfactual malaria'!O35</f>
        <v>1.492391445</v>
      </c>
      <c r="P67" s="459">
        <f>'Counterfactual malaria'!P35</f>
        <v>0.2780192248</v>
      </c>
      <c r="Q67" s="459">
        <f>'Counterfactual malaria'!Q35</f>
        <v>0.8801180673</v>
      </c>
      <c r="R67" s="459">
        <f>'Counterfactual malaria'!R35</f>
        <v>1.525862462</v>
      </c>
      <c r="S67" s="459">
        <f>'Counterfactual malaria'!S35</f>
        <v>0.494511006</v>
      </c>
      <c r="T67" s="459">
        <f>'Counterfactual malaria'!T35</f>
        <v>2.365255888</v>
      </c>
      <c r="U67" s="459">
        <f>'Counterfactual malaria'!U35</f>
        <v>1.0668013</v>
      </c>
      <c r="V67" s="459">
        <f>'Counterfactual malaria'!V35</f>
        <v>3.268097528</v>
      </c>
      <c r="W67" s="459">
        <f>'Counterfactual malaria'!W35</f>
        <v>1.300463773</v>
      </c>
      <c r="X67" s="459">
        <f>'Counterfactual malaria'!X35</f>
        <v>0.2839494226</v>
      </c>
      <c r="Y67" s="459">
        <f>'Counterfactual malaria'!Y35</f>
        <v>2.099411354</v>
      </c>
      <c r="Z67" s="459">
        <f>'Counterfactual malaria'!Z35</f>
        <v>0.3460014359</v>
      </c>
      <c r="AA67" s="426"/>
    </row>
    <row r="68">
      <c r="A68" s="71"/>
      <c r="B68" s="72"/>
      <c r="C68" s="82"/>
      <c r="D68" s="82"/>
      <c r="E68" s="194" t="s">
        <v>213</v>
      </c>
      <c r="F68" s="139" t="s">
        <v>88</v>
      </c>
      <c r="G68" s="377" t="s">
        <v>112</v>
      </c>
      <c r="H68" s="233" t="s">
        <v>124</v>
      </c>
      <c r="I68" s="145">
        <f t="shared" ref="I68:Z68" si="20">I55*I67</f>
        <v>555.2926669</v>
      </c>
      <c r="J68" s="145">
        <f t="shared" si="20"/>
        <v>159.4456111</v>
      </c>
      <c r="K68" s="145">
        <f t="shared" si="20"/>
        <v>88.61802682</v>
      </c>
      <c r="L68" s="145">
        <f t="shared" si="20"/>
        <v>104.919404</v>
      </c>
      <c r="M68" s="145">
        <f t="shared" si="20"/>
        <v>104.1945737</v>
      </c>
      <c r="N68" s="145">
        <f t="shared" si="20"/>
        <v>156.6698709</v>
      </c>
      <c r="O68" s="145">
        <f t="shared" si="20"/>
        <v>576.5829756</v>
      </c>
      <c r="P68" s="145">
        <f t="shared" si="20"/>
        <v>164.4450887</v>
      </c>
      <c r="Q68" s="145">
        <f t="shared" si="20"/>
        <v>351.1926294</v>
      </c>
      <c r="R68" s="145">
        <f t="shared" si="20"/>
        <v>515.5299406</v>
      </c>
      <c r="S68" s="145">
        <f t="shared" si="20"/>
        <v>376.0201934</v>
      </c>
      <c r="T68" s="145">
        <f t="shared" si="20"/>
        <v>972.6676506</v>
      </c>
      <c r="U68" s="145">
        <f t="shared" si="20"/>
        <v>563.2084168</v>
      </c>
      <c r="V68" s="145">
        <f t="shared" si="20"/>
        <v>1416.435151</v>
      </c>
      <c r="W68" s="145">
        <f t="shared" si="20"/>
        <v>476.520833</v>
      </c>
      <c r="X68" s="145">
        <f t="shared" si="20"/>
        <v>236.8976643</v>
      </c>
      <c r="Y68" s="145">
        <f t="shared" si="20"/>
        <v>765.3604083</v>
      </c>
      <c r="Z68" s="145">
        <f t="shared" si="20"/>
        <v>143.2728394</v>
      </c>
      <c r="AA68" s="426"/>
    </row>
    <row r="69">
      <c r="A69" s="71"/>
      <c r="B69" s="72"/>
      <c r="C69" s="82"/>
      <c r="D69" s="82"/>
      <c r="E69" s="203" t="s">
        <v>240</v>
      </c>
      <c r="F69" s="204" t="s">
        <v>88</v>
      </c>
      <c r="G69" s="303" t="s">
        <v>112</v>
      </c>
      <c r="H69" s="242" t="s">
        <v>124</v>
      </c>
      <c r="I69" s="182">
        <f t="shared" ref="I69:Z69" si="21">I66*I68</f>
        <v>58.9648955</v>
      </c>
      <c r="J69" s="182">
        <f t="shared" si="21"/>
        <v>16.9310606</v>
      </c>
      <c r="K69" s="182">
        <f t="shared" si="21"/>
        <v>7.569579933</v>
      </c>
      <c r="L69" s="182">
        <f t="shared" si="21"/>
        <v>8.962011944</v>
      </c>
      <c r="M69" s="182">
        <f t="shared" si="21"/>
        <v>8.900098345</v>
      </c>
      <c r="N69" s="182">
        <f t="shared" si="21"/>
        <v>13.38243643</v>
      </c>
      <c r="O69" s="182">
        <f t="shared" si="21"/>
        <v>49.25059921</v>
      </c>
      <c r="P69" s="182">
        <f t="shared" si="21"/>
        <v>17.46194043</v>
      </c>
      <c r="Q69" s="182">
        <f t="shared" si="21"/>
        <v>37.29211266</v>
      </c>
      <c r="R69" s="182">
        <f t="shared" si="21"/>
        <v>54.74260851</v>
      </c>
      <c r="S69" s="182">
        <f t="shared" si="21"/>
        <v>39.92847868</v>
      </c>
      <c r="T69" s="182">
        <f t="shared" si="21"/>
        <v>103.2847178</v>
      </c>
      <c r="U69" s="182">
        <f t="shared" si="21"/>
        <v>59.80544571</v>
      </c>
      <c r="V69" s="182">
        <f t="shared" si="21"/>
        <v>150.4070838</v>
      </c>
      <c r="W69" s="182">
        <f t="shared" si="21"/>
        <v>50.60034608</v>
      </c>
      <c r="X69" s="182">
        <f t="shared" si="21"/>
        <v>25.15546639</v>
      </c>
      <c r="Y69" s="182">
        <f t="shared" si="21"/>
        <v>81.27137126</v>
      </c>
      <c r="Z69" s="182">
        <f t="shared" si="21"/>
        <v>12.23808799</v>
      </c>
      <c r="AA69" s="468"/>
    </row>
    <row r="70">
      <c r="A70" s="71"/>
      <c r="B70" s="72"/>
      <c r="C70" s="82"/>
      <c r="D70" s="82"/>
      <c r="E70" s="470"/>
      <c r="F70" s="120"/>
      <c r="G70" s="168"/>
      <c r="H70" s="78"/>
      <c r="I70" s="85"/>
      <c r="J70" s="85"/>
      <c r="K70" s="85"/>
      <c r="L70" s="85"/>
      <c r="M70" s="85"/>
      <c r="N70" s="85"/>
      <c r="O70" s="85"/>
      <c r="P70" s="85"/>
      <c r="Q70" s="85"/>
      <c r="R70" s="85"/>
      <c r="S70" s="85"/>
      <c r="T70" s="85"/>
      <c r="U70" s="85"/>
      <c r="V70" s="85"/>
      <c r="W70" s="85"/>
      <c r="X70" s="85"/>
      <c r="Y70" s="85"/>
      <c r="Z70" s="85"/>
      <c r="AA70" s="81"/>
    </row>
    <row r="71">
      <c r="A71" s="71"/>
      <c r="B71" s="72"/>
      <c r="C71" s="82" t="s">
        <v>243</v>
      </c>
      <c r="F71" s="120"/>
      <c r="G71" s="168"/>
      <c r="H71" s="78"/>
      <c r="I71" s="85"/>
      <c r="J71" s="85"/>
      <c r="K71" s="85"/>
      <c r="L71" s="85"/>
      <c r="M71" s="85"/>
      <c r="N71" s="85"/>
      <c r="O71" s="85"/>
      <c r="P71" s="85"/>
      <c r="Q71" s="85"/>
      <c r="R71" s="85"/>
      <c r="S71" s="85"/>
      <c r="T71" s="85"/>
      <c r="U71" s="85"/>
      <c r="V71" s="85"/>
      <c r="W71" s="85"/>
      <c r="X71" s="85"/>
      <c r="Y71" s="85"/>
      <c r="Z71" s="85"/>
      <c r="AA71" s="81"/>
    </row>
    <row r="72">
      <c r="A72" s="71"/>
      <c r="B72" s="72"/>
      <c r="C72" s="474"/>
      <c r="D72" s="72"/>
      <c r="E72" s="113" t="s">
        <v>226</v>
      </c>
      <c r="F72" s="115" t="str">
        <f>'Counterfactual malaria'!F43</f>
        <v>%</v>
      </c>
      <c r="G72" s="231" t="s">
        <v>114</v>
      </c>
      <c r="H72" s="476" t="str">
        <f>'Counterfactual malaria'!H43</f>
        <v>-</v>
      </c>
      <c r="I72" s="132">
        <f>'Counterfactual malaria'!I43</f>
        <v>0.6006098378</v>
      </c>
      <c r="J72" s="132">
        <f>'Counterfactual malaria'!J43</f>
        <v>0.3742326557</v>
      </c>
      <c r="K72" s="132">
        <f>'Counterfactual malaria'!K43</f>
        <v>0.3073136</v>
      </c>
      <c r="L72" s="132">
        <f>'Counterfactual malaria'!L43</f>
        <v>0.374479</v>
      </c>
      <c r="M72" s="132">
        <f>'Counterfactual malaria'!M43</f>
        <v>0.3536466</v>
      </c>
      <c r="N72" s="132">
        <f>'Counterfactual malaria'!N43</f>
        <v>0.3510289</v>
      </c>
      <c r="O72" s="132">
        <f>'Counterfactual malaria'!O43</f>
        <v>0.3632733</v>
      </c>
      <c r="P72" s="132">
        <f>'Counterfactual malaria'!P43</f>
        <v>0.4527881093</v>
      </c>
      <c r="Q72" s="132">
        <f>'Counterfactual malaria'!Q43</f>
        <v>0.4674592072</v>
      </c>
      <c r="R72" s="132">
        <f>'Counterfactual malaria'!R43</f>
        <v>0.528961104</v>
      </c>
      <c r="S72" s="132">
        <f>'Counterfactual malaria'!S43</f>
        <v>0.8157557485</v>
      </c>
      <c r="T72" s="132">
        <f>'Counterfactual malaria'!T43</f>
        <v>0.7237381858</v>
      </c>
      <c r="U72" s="132">
        <f>'Counterfactual malaria'!U43</f>
        <v>0.8530870117</v>
      </c>
      <c r="V72" s="132">
        <f>'Counterfactual malaria'!V43</f>
        <v>1.237740389</v>
      </c>
      <c r="W72" s="132">
        <f>'Counterfactual malaria'!W43</f>
        <v>0.6047253034</v>
      </c>
      <c r="X72" s="132">
        <f>'Counterfactual malaria'!X43</f>
        <v>0.6610169432</v>
      </c>
      <c r="Y72" s="132">
        <f>'Counterfactual malaria'!Y43</f>
        <v>0.7910601535</v>
      </c>
      <c r="Z72" s="132">
        <f>'Counterfactual malaria'!Z43</f>
        <v>0.3452223</v>
      </c>
      <c r="AA72" s="140"/>
    </row>
    <row r="73">
      <c r="A73" s="71"/>
      <c r="B73" s="72"/>
      <c r="C73" s="474"/>
      <c r="D73" s="72"/>
      <c r="E73" s="113" t="s">
        <v>230</v>
      </c>
      <c r="F73" s="139" t="str">
        <f>'Counterfactual malaria'!F44</f>
        <v>%</v>
      </c>
      <c r="G73" s="377" t="s">
        <v>114</v>
      </c>
      <c r="H73" s="490" t="str">
        <f>'Counterfactual malaria'!H44</f>
        <v>-</v>
      </c>
      <c r="I73" s="150">
        <f>'Counterfactual malaria'!I44</f>
        <v>0.2469360871</v>
      </c>
      <c r="J73" s="150">
        <f>'Counterfactual malaria'!J44</f>
        <v>0.162226214</v>
      </c>
      <c r="K73" s="150">
        <f>'Counterfactual malaria'!K44</f>
        <v>0.3073136</v>
      </c>
      <c r="L73" s="150">
        <f>'Counterfactual malaria'!L44</f>
        <v>0.374479</v>
      </c>
      <c r="M73" s="150">
        <f>'Counterfactual malaria'!M44</f>
        <v>0.3536466</v>
      </c>
      <c r="N73" s="150">
        <f>'Counterfactual malaria'!N44</f>
        <v>0.3510289</v>
      </c>
      <c r="O73" s="150">
        <f>'Counterfactual malaria'!O44</f>
        <v>0.3632733</v>
      </c>
      <c r="P73" s="150">
        <f>'Counterfactual malaria'!P44</f>
        <v>0.1861349076</v>
      </c>
      <c r="Q73" s="150">
        <f>'Counterfactual malaria'!Q44</f>
        <v>0.1974461118</v>
      </c>
      <c r="R73" s="150">
        <f>'Counterfactual malaria'!R44</f>
        <v>0.2024878825</v>
      </c>
      <c r="S73" s="150">
        <f>'Counterfactual malaria'!S44</f>
        <v>0.3210584764</v>
      </c>
      <c r="T73" s="150">
        <f>'Counterfactual malaria'!T44</f>
        <v>0.2832143658</v>
      </c>
      <c r="U73" s="150">
        <f>'Counterfactual malaria'!U44</f>
        <v>0.318519161</v>
      </c>
      <c r="V73" s="150">
        <f>'Counterfactual malaria'!V44</f>
        <v>0.4625273302</v>
      </c>
      <c r="W73" s="150">
        <f>'Counterfactual malaria'!W44</f>
        <v>0.2390864559</v>
      </c>
      <c r="X73" s="150">
        <f>'Counterfactual malaria'!X44</f>
        <v>0.2724633648</v>
      </c>
      <c r="Y73" s="150">
        <f>'Counterfactual malaria'!Y44</f>
        <v>0.308450741</v>
      </c>
      <c r="Z73" s="150">
        <f>'Counterfactual malaria'!Z44</f>
        <v>0.3452223</v>
      </c>
      <c r="AA73" s="154"/>
    </row>
    <row r="74">
      <c r="A74" s="71"/>
      <c r="B74" s="72"/>
      <c r="C74" s="474"/>
      <c r="D74" s="72"/>
      <c r="E74" s="496" t="s">
        <v>256</v>
      </c>
      <c r="F74" s="497" t="s">
        <v>101</v>
      </c>
      <c r="G74" s="498" t="s">
        <v>112</v>
      </c>
      <c r="H74" s="499" t="s">
        <v>124</v>
      </c>
      <c r="I74" s="503">
        <f t="shared" ref="I74:Z74" si="22">I47*I54*I72</f>
        <v>0.3336907169</v>
      </c>
      <c r="J74" s="503">
        <f t="shared" si="22"/>
        <v>0.2079186109</v>
      </c>
      <c r="K74" s="503">
        <f t="shared" si="22"/>
        <v>0.1010463805</v>
      </c>
      <c r="L74" s="503">
        <f t="shared" si="22"/>
        <v>0.1231307287</v>
      </c>
      <c r="M74" s="503">
        <f t="shared" si="22"/>
        <v>0.1162809225</v>
      </c>
      <c r="N74" s="503">
        <f t="shared" si="22"/>
        <v>0.1154202085</v>
      </c>
      <c r="O74" s="503">
        <f t="shared" si="22"/>
        <v>0.1194462337</v>
      </c>
      <c r="P74" s="503">
        <f t="shared" si="22"/>
        <v>0.2515629603</v>
      </c>
      <c r="Q74" s="503">
        <f t="shared" si="22"/>
        <v>0.2597140243</v>
      </c>
      <c r="R74" s="503">
        <f t="shared" si="22"/>
        <v>0.2938836478</v>
      </c>
      <c r="S74" s="503">
        <f t="shared" si="22"/>
        <v>0.4532228802</v>
      </c>
      <c r="T74" s="503">
        <f t="shared" si="22"/>
        <v>0.4020991647</v>
      </c>
      <c r="U74" s="503">
        <f t="shared" si="22"/>
        <v>0.473963626</v>
      </c>
      <c r="V74" s="503">
        <f t="shared" si="22"/>
        <v>0.6876718492</v>
      </c>
      <c r="W74" s="503">
        <f t="shared" si="22"/>
        <v>0.335977214</v>
      </c>
      <c r="X74" s="503">
        <f t="shared" si="22"/>
        <v>0.3672520891</v>
      </c>
      <c r="Y74" s="503">
        <f t="shared" si="22"/>
        <v>0.439502341</v>
      </c>
      <c r="Z74" s="503">
        <f t="shared" si="22"/>
        <v>0.1366539795</v>
      </c>
      <c r="AA74" s="507"/>
    </row>
    <row r="75">
      <c r="A75" s="71"/>
      <c r="B75" s="72"/>
      <c r="C75" s="474"/>
      <c r="D75" s="72"/>
      <c r="E75" s="496" t="s">
        <v>262</v>
      </c>
      <c r="F75" s="497" t="s">
        <v>101</v>
      </c>
      <c r="G75" s="498" t="s">
        <v>112</v>
      </c>
      <c r="H75" s="510" t="s">
        <v>124</v>
      </c>
      <c r="I75" s="503">
        <f t="shared" ref="I75:Z75" si="23">I64*I54*I73</f>
        <v>0.01835499189</v>
      </c>
      <c r="J75" s="503">
        <f t="shared" si="23"/>
        <v>0.01205842725</v>
      </c>
      <c r="K75" s="503">
        <f t="shared" si="23"/>
        <v>0.01351881774</v>
      </c>
      <c r="L75" s="503">
        <f t="shared" si="23"/>
        <v>0.01647344389</v>
      </c>
      <c r="M75" s="503">
        <f t="shared" si="23"/>
        <v>0.01555702035</v>
      </c>
      <c r="N75" s="503">
        <f t="shared" si="23"/>
        <v>0.01544186694</v>
      </c>
      <c r="O75" s="503">
        <f t="shared" si="23"/>
        <v>0.01598050178</v>
      </c>
      <c r="P75" s="503">
        <f t="shared" si="23"/>
        <v>0.01383558297</v>
      </c>
      <c r="Q75" s="503">
        <f t="shared" si="23"/>
        <v>0.01467635542</v>
      </c>
      <c r="R75" s="503">
        <f t="shared" si="23"/>
        <v>0.01505111499</v>
      </c>
      <c r="S75" s="503">
        <f t="shared" si="23"/>
        <v>0.02386457889</v>
      </c>
      <c r="T75" s="503">
        <f t="shared" si="23"/>
        <v>0.02105159051</v>
      </c>
      <c r="U75" s="503">
        <f t="shared" si="23"/>
        <v>0.02367582919</v>
      </c>
      <c r="V75" s="503">
        <f t="shared" si="23"/>
        <v>0.03438009202</v>
      </c>
      <c r="W75" s="503">
        <f t="shared" si="23"/>
        <v>0.01777152142</v>
      </c>
      <c r="X75" s="503">
        <f t="shared" si="23"/>
        <v>0.02025245848</v>
      </c>
      <c r="Y75" s="503">
        <f t="shared" si="23"/>
        <v>0.02292743405</v>
      </c>
      <c r="Z75" s="503">
        <f t="shared" si="23"/>
        <v>0.01828269587</v>
      </c>
      <c r="AA75" s="507"/>
    </row>
    <row r="76">
      <c r="A76" s="71"/>
      <c r="B76" s="72"/>
      <c r="C76" s="474"/>
      <c r="D76" s="72"/>
      <c r="E76" s="496" t="s">
        <v>280</v>
      </c>
      <c r="F76" s="497" t="str">
        <f>Inputs!F60</f>
        <v>#</v>
      </c>
      <c r="G76" s="498" t="str">
        <f>Inputs!G60</f>
        <v>input</v>
      </c>
      <c r="H76" s="524" t="str">
        <f>Inputs!H60</f>
        <v>-</v>
      </c>
      <c r="I76" s="528">
        <f>Inputs!I60</f>
        <v>3159819.734</v>
      </c>
      <c r="J76" s="528">
        <f>Inputs!J60</f>
        <v>2593740.178</v>
      </c>
      <c r="K76" s="528">
        <f>Inputs!K60</f>
        <v>10821148.61</v>
      </c>
      <c r="L76" s="528">
        <f>Inputs!L60</f>
        <v>10821148.61</v>
      </c>
      <c r="M76" s="528">
        <f>Inputs!M60</f>
        <v>10821148.61</v>
      </c>
      <c r="N76" s="528">
        <f>Inputs!N60</f>
        <v>10821148.61</v>
      </c>
      <c r="O76" s="528">
        <f>Inputs!O60</f>
        <v>4037237.425</v>
      </c>
      <c r="P76" s="528">
        <f>Inputs!P60</f>
        <v>26401071.4</v>
      </c>
      <c r="Q76" s="528">
        <f>Inputs!Q60</f>
        <v>26401071.4</v>
      </c>
      <c r="R76" s="528">
        <f>Inputs!R60</f>
        <v>26401071.4</v>
      </c>
      <c r="S76" s="528">
        <f>Inputs!S60</f>
        <v>26401071.4</v>
      </c>
      <c r="T76" s="528">
        <f>Inputs!T60</f>
        <v>26401071.4</v>
      </c>
      <c r="U76" s="528">
        <f>Inputs!U60</f>
        <v>26401071.4</v>
      </c>
      <c r="V76" s="528">
        <f>Inputs!V60</f>
        <v>26401071.4</v>
      </c>
      <c r="W76" s="528">
        <f>Inputs!W60</f>
        <v>26401071.4</v>
      </c>
      <c r="X76" s="528">
        <f>Inputs!X60</f>
        <v>26401071.4</v>
      </c>
      <c r="Y76" s="528">
        <f>Inputs!Y60</f>
        <v>887125.4327</v>
      </c>
      <c r="Z76" s="528">
        <f>Inputs!Z60</f>
        <v>5581405.246</v>
      </c>
      <c r="AA76" s="507"/>
    </row>
    <row r="77">
      <c r="A77" s="71"/>
      <c r="B77" s="72"/>
      <c r="C77" s="474"/>
      <c r="D77" s="72"/>
      <c r="E77" s="496" t="s">
        <v>308</v>
      </c>
      <c r="F77" s="497" t="str">
        <f>Inputs!F61</f>
        <v>#</v>
      </c>
      <c r="G77" s="498" t="str">
        <f>Inputs!G61</f>
        <v>input</v>
      </c>
      <c r="H77" s="524" t="str">
        <f>Inputs!H61</f>
        <v>-</v>
      </c>
      <c r="I77" s="528">
        <f>Inputs!I61</f>
        <v>6348445.622</v>
      </c>
      <c r="J77" s="528">
        <f>Inputs!J61</f>
        <v>4977421.002</v>
      </c>
      <c r="K77" s="528">
        <f>Inputs!K61</f>
        <v>24065680.16</v>
      </c>
      <c r="L77" s="528">
        <f>Inputs!L61</f>
        <v>24065680.16</v>
      </c>
      <c r="M77" s="528">
        <f>Inputs!M61</f>
        <v>24065680.16</v>
      </c>
      <c r="N77" s="528">
        <f>Inputs!N61</f>
        <v>24065680.16</v>
      </c>
      <c r="O77" s="528">
        <f>Inputs!O61</f>
        <v>8658112.544</v>
      </c>
      <c r="P77" s="528">
        <f>Inputs!P61</f>
        <v>60226436.53</v>
      </c>
      <c r="Q77" s="528">
        <f>Inputs!Q61</f>
        <v>60226436.53</v>
      </c>
      <c r="R77" s="528">
        <f>Inputs!R61</f>
        <v>60226436.53</v>
      </c>
      <c r="S77" s="528">
        <f>Inputs!S61</f>
        <v>60226436.53</v>
      </c>
      <c r="T77" s="528">
        <f>Inputs!T61</f>
        <v>60226436.53</v>
      </c>
      <c r="U77" s="528">
        <f>Inputs!U61</f>
        <v>60226436.53</v>
      </c>
      <c r="V77" s="528">
        <f>Inputs!V61</f>
        <v>60226436.53</v>
      </c>
      <c r="W77" s="528">
        <f>Inputs!W61</f>
        <v>60226436.53</v>
      </c>
      <c r="X77" s="528">
        <f>Inputs!X61</f>
        <v>60226436.53</v>
      </c>
      <c r="Y77" s="528">
        <f>Inputs!Y61</f>
        <v>2032780.787</v>
      </c>
      <c r="Z77" s="528">
        <f>Inputs!Z61</f>
        <v>11987722.12</v>
      </c>
      <c r="AA77" s="507"/>
    </row>
    <row r="78">
      <c r="A78" s="71"/>
      <c r="B78" s="72"/>
      <c r="C78" s="474"/>
      <c r="D78" s="72"/>
      <c r="E78" s="496" t="s">
        <v>322</v>
      </c>
      <c r="F78" s="497" t="s">
        <v>88</v>
      </c>
      <c r="G78" s="498" t="s">
        <v>112</v>
      </c>
      <c r="H78" s="510" t="s">
        <v>124</v>
      </c>
      <c r="I78" s="554">
        <f t="shared" ref="I78:Z78" si="24">I77/I76</f>
        <v>2.009116392</v>
      </c>
      <c r="J78" s="554">
        <f t="shared" si="24"/>
        <v>1.919012954</v>
      </c>
      <c r="K78" s="554">
        <f t="shared" si="24"/>
        <v>2.223948772</v>
      </c>
      <c r="L78" s="554">
        <f t="shared" si="24"/>
        <v>2.223948772</v>
      </c>
      <c r="M78" s="554">
        <f t="shared" si="24"/>
        <v>2.223948772</v>
      </c>
      <c r="N78" s="554">
        <f t="shared" si="24"/>
        <v>2.223948772</v>
      </c>
      <c r="O78" s="554">
        <f t="shared" si="24"/>
        <v>2.144563629</v>
      </c>
      <c r="P78" s="554">
        <f t="shared" si="24"/>
        <v>2.281211835</v>
      </c>
      <c r="Q78" s="554">
        <f t="shared" si="24"/>
        <v>2.281211835</v>
      </c>
      <c r="R78" s="554">
        <f t="shared" si="24"/>
        <v>2.281211835</v>
      </c>
      <c r="S78" s="554">
        <f t="shared" si="24"/>
        <v>2.281211835</v>
      </c>
      <c r="T78" s="554">
        <f t="shared" si="24"/>
        <v>2.281211835</v>
      </c>
      <c r="U78" s="554">
        <f t="shared" si="24"/>
        <v>2.281211835</v>
      </c>
      <c r="V78" s="554">
        <f t="shared" si="24"/>
        <v>2.281211835</v>
      </c>
      <c r="W78" s="554">
        <f t="shared" si="24"/>
        <v>2.281211835</v>
      </c>
      <c r="X78" s="554">
        <f t="shared" si="24"/>
        <v>2.281211835</v>
      </c>
      <c r="Y78" s="554">
        <f t="shared" si="24"/>
        <v>2.291424315</v>
      </c>
      <c r="Z78" s="554">
        <f t="shared" si="24"/>
        <v>2.147796405</v>
      </c>
      <c r="AA78" s="507"/>
    </row>
    <row r="79">
      <c r="A79" s="71"/>
      <c r="B79" s="72"/>
      <c r="C79" s="474"/>
      <c r="D79" s="72"/>
      <c r="E79" s="496" t="s">
        <v>329</v>
      </c>
      <c r="F79" s="497" t="s">
        <v>88</v>
      </c>
      <c r="G79" s="498" t="s">
        <v>112</v>
      </c>
      <c r="H79" s="510" t="s">
        <v>124</v>
      </c>
      <c r="I79" s="528">
        <f t="shared" ref="I79:Z79" si="25">I36*I78</f>
        <v>353168.6371</v>
      </c>
      <c r="J79" s="528">
        <f t="shared" si="25"/>
        <v>296352.1081</v>
      </c>
      <c r="K79" s="528">
        <f t="shared" si="25"/>
        <v>343443.1775</v>
      </c>
      <c r="L79" s="528">
        <f t="shared" si="25"/>
        <v>343443.1775</v>
      </c>
      <c r="M79" s="528">
        <f t="shared" si="25"/>
        <v>343443.1775</v>
      </c>
      <c r="N79" s="528">
        <f t="shared" si="25"/>
        <v>343443.1775</v>
      </c>
      <c r="O79" s="528">
        <f t="shared" si="25"/>
        <v>331183.7739</v>
      </c>
      <c r="P79" s="528">
        <f t="shared" si="25"/>
        <v>452375.7589</v>
      </c>
      <c r="Q79" s="528">
        <f t="shared" si="25"/>
        <v>452375.7589</v>
      </c>
      <c r="R79" s="528">
        <f t="shared" si="25"/>
        <v>361900.6071</v>
      </c>
      <c r="S79" s="528">
        <f t="shared" si="25"/>
        <v>452375.7589</v>
      </c>
      <c r="T79" s="528">
        <f t="shared" si="25"/>
        <v>361900.6071</v>
      </c>
      <c r="U79" s="528">
        <f t="shared" si="25"/>
        <v>361900.6071</v>
      </c>
      <c r="V79" s="528">
        <f t="shared" si="25"/>
        <v>361900.6071</v>
      </c>
      <c r="W79" s="528">
        <f t="shared" si="25"/>
        <v>361900.6071</v>
      </c>
      <c r="X79" s="528">
        <f t="shared" si="25"/>
        <v>452375.7589</v>
      </c>
      <c r="Y79" s="528">
        <f t="shared" si="25"/>
        <v>426424.9629</v>
      </c>
      <c r="Z79" s="528">
        <f t="shared" si="25"/>
        <v>265346.4077</v>
      </c>
      <c r="AA79" s="507"/>
    </row>
    <row r="80">
      <c r="A80" s="556"/>
      <c r="B80" s="557"/>
      <c r="C80" s="558"/>
      <c r="D80" s="557"/>
      <c r="E80" s="559" t="s">
        <v>338</v>
      </c>
      <c r="F80" s="560" t="s">
        <v>88</v>
      </c>
      <c r="G80" s="561" t="s">
        <v>112</v>
      </c>
      <c r="H80" s="524" t="s">
        <v>124</v>
      </c>
      <c r="I80" s="528">
        <f t="shared" ref="I80:Z80" si="26">I36*I74</f>
        <v>58657.17697</v>
      </c>
      <c r="J80" s="528">
        <f t="shared" si="26"/>
        <v>32108.75597</v>
      </c>
      <c r="K80" s="528">
        <f t="shared" si="26"/>
        <v>15604.53659</v>
      </c>
      <c r="L80" s="528">
        <f t="shared" si="26"/>
        <v>19015.01026</v>
      </c>
      <c r="M80" s="528">
        <f t="shared" si="26"/>
        <v>17957.19847</v>
      </c>
      <c r="N80" s="528">
        <f t="shared" si="26"/>
        <v>17824.27889</v>
      </c>
      <c r="O80" s="528">
        <f t="shared" si="26"/>
        <v>18446.01574</v>
      </c>
      <c r="P80" s="528">
        <f t="shared" si="26"/>
        <v>49886.19792</v>
      </c>
      <c r="Q80" s="528">
        <f t="shared" si="26"/>
        <v>51502.59482</v>
      </c>
      <c r="R80" s="528">
        <f t="shared" si="26"/>
        <v>46622.88215</v>
      </c>
      <c r="S80" s="528">
        <f t="shared" si="26"/>
        <v>89876.3724</v>
      </c>
      <c r="T80" s="528">
        <f t="shared" si="26"/>
        <v>63790.62637</v>
      </c>
      <c r="U80" s="528">
        <f t="shared" si="26"/>
        <v>75191.49313</v>
      </c>
      <c r="V80" s="528">
        <f t="shared" si="26"/>
        <v>109095.0239</v>
      </c>
      <c r="W80" s="528">
        <f t="shared" si="26"/>
        <v>53300.77456</v>
      </c>
      <c r="X80" s="528">
        <f t="shared" si="26"/>
        <v>72827.93293</v>
      </c>
      <c r="Y80" s="528">
        <f t="shared" si="26"/>
        <v>81789.63985</v>
      </c>
      <c r="Z80" s="528">
        <f t="shared" si="26"/>
        <v>16882.71872</v>
      </c>
      <c r="AA80" s="564"/>
    </row>
    <row r="81">
      <c r="A81" s="556"/>
      <c r="B81" s="557"/>
      <c r="C81" s="558"/>
      <c r="D81" s="557"/>
      <c r="E81" s="565" t="s">
        <v>343</v>
      </c>
      <c r="F81" s="482" t="s">
        <v>88</v>
      </c>
      <c r="G81" s="566" t="s">
        <v>112</v>
      </c>
      <c r="H81" s="432" t="s">
        <v>124</v>
      </c>
      <c r="I81" s="568">
        <f t="shared" ref="I81:Z81" si="27">I75*I79</f>
        <v>6482.407472</v>
      </c>
      <c r="J81" s="568">
        <f t="shared" si="27"/>
        <v>3573.540337</v>
      </c>
      <c r="K81" s="568">
        <f t="shared" si="27"/>
        <v>4642.94572</v>
      </c>
      <c r="L81" s="568">
        <f t="shared" si="27"/>
        <v>5657.691915</v>
      </c>
      <c r="M81" s="568">
        <f t="shared" si="27"/>
        <v>5342.952501</v>
      </c>
      <c r="N81" s="568">
        <f t="shared" si="27"/>
        <v>5303.403848</v>
      </c>
      <c r="O81" s="568">
        <f t="shared" si="27"/>
        <v>5292.482888</v>
      </c>
      <c r="P81" s="568">
        <f t="shared" si="27"/>
        <v>6258.882344</v>
      </c>
      <c r="Q81" s="568">
        <f t="shared" si="27"/>
        <v>6639.227422</v>
      </c>
      <c r="R81" s="568">
        <f t="shared" si="27"/>
        <v>5447.007652</v>
      </c>
      <c r="S81" s="568">
        <f t="shared" si="27"/>
        <v>10795.75698</v>
      </c>
      <c r="T81" s="568">
        <f t="shared" si="27"/>
        <v>7618.583386</v>
      </c>
      <c r="U81" s="568">
        <f t="shared" si="27"/>
        <v>8568.296957</v>
      </c>
      <c r="V81" s="568">
        <f t="shared" si="27"/>
        <v>12442.17617</v>
      </c>
      <c r="W81" s="568">
        <f t="shared" si="27"/>
        <v>6431.52439</v>
      </c>
      <c r="X81" s="568">
        <f t="shared" si="27"/>
        <v>9161.721276</v>
      </c>
      <c r="Y81" s="568">
        <f t="shared" si="27"/>
        <v>9776.830212</v>
      </c>
      <c r="Z81" s="568">
        <f t="shared" si="27"/>
        <v>4851.247671</v>
      </c>
      <c r="AA81" s="570"/>
    </row>
    <row r="82">
      <c r="A82" s="71"/>
      <c r="B82" s="72"/>
      <c r="C82" s="474"/>
      <c r="D82" s="72"/>
      <c r="E82" s="119"/>
      <c r="F82" s="120"/>
      <c r="G82" s="120"/>
      <c r="H82" s="571"/>
      <c r="I82" s="237"/>
      <c r="J82" s="237"/>
      <c r="K82" s="237"/>
      <c r="L82" s="237"/>
      <c r="M82" s="237"/>
      <c r="N82" s="237"/>
      <c r="O82" s="237"/>
      <c r="P82" s="237"/>
      <c r="Q82" s="237"/>
      <c r="R82" s="237"/>
      <c r="S82" s="237"/>
      <c r="T82" s="237"/>
      <c r="U82" s="237"/>
      <c r="V82" s="237"/>
      <c r="W82" s="237"/>
      <c r="X82" s="237"/>
      <c r="Y82" s="237"/>
      <c r="Z82" s="237"/>
      <c r="AA82" s="310"/>
    </row>
    <row r="83">
      <c r="A83" s="71"/>
      <c r="B83" s="72"/>
      <c r="C83" s="82" t="s">
        <v>350</v>
      </c>
      <c r="F83" s="120"/>
      <c r="G83" s="120"/>
      <c r="H83" s="571"/>
      <c r="I83" s="237"/>
      <c r="J83" s="237"/>
      <c r="K83" s="237"/>
      <c r="L83" s="237"/>
      <c r="M83" s="237"/>
      <c r="N83" s="237"/>
      <c r="O83" s="237"/>
      <c r="P83" s="237"/>
      <c r="Q83" s="237"/>
      <c r="R83" s="237"/>
      <c r="S83" s="237"/>
      <c r="T83" s="237"/>
      <c r="U83" s="237"/>
      <c r="V83" s="237"/>
      <c r="W83" s="237"/>
      <c r="X83" s="237"/>
      <c r="Y83" s="237"/>
      <c r="Z83" s="237"/>
      <c r="AA83" s="310"/>
    </row>
    <row r="84">
      <c r="A84" s="71"/>
      <c r="B84" s="72"/>
      <c r="C84" s="474"/>
      <c r="D84" s="72"/>
      <c r="E84" s="113" t="s">
        <v>354</v>
      </c>
      <c r="F84" s="115" t="str">
        <f>Inputs!F64</f>
        <v>%</v>
      </c>
      <c r="G84" s="231" t="str">
        <f>Inputs!G64</f>
        <v>input</v>
      </c>
      <c r="H84" s="580">
        <f>Inputs!H64</f>
        <v>0.0064543</v>
      </c>
      <c r="I84" s="135" t="str">
        <f>Inputs!I64</f>
        <v>-</v>
      </c>
      <c r="J84" s="135" t="str">
        <f>Inputs!J64</f>
        <v>-</v>
      </c>
      <c r="K84" s="135" t="str">
        <f>Inputs!K64</f>
        <v>-</v>
      </c>
      <c r="L84" s="135" t="str">
        <f>Inputs!L64</f>
        <v>-</v>
      </c>
      <c r="M84" s="135" t="str">
        <f>Inputs!M64</f>
        <v>-</v>
      </c>
      <c r="N84" s="135" t="str">
        <f>Inputs!N64</f>
        <v>-</v>
      </c>
      <c r="O84" s="135" t="str">
        <f>Inputs!O64</f>
        <v>-</v>
      </c>
      <c r="P84" s="135" t="str">
        <f>Inputs!P64</f>
        <v>-</v>
      </c>
      <c r="Q84" s="135" t="str">
        <f>Inputs!Q64</f>
        <v>-</v>
      </c>
      <c r="R84" s="135" t="str">
        <f>Inputs!R64</f>
        <v>-</v>
      </c>
      <c r="S84" s="135" t="str">
        <f>Inputs!S64</f>
        <v>-</v>
      </c>
      <c r="T84" s="135" t="str">
        <f>Inputs!T64</f>
        <v>-</v>
      </c>
      <c r="U84" s="135" t="str">
        <f>Inputs!U64</f>
        <v>-</v>
      </c>
      <c r="V84" s="135" t="str">
        <f>Inputs!V64</f>
        <v>-</v>
      </c>
      <c r="W84" s="135" t="str">
        <f>Inputs!W64</f>
        <v>-</v>
      </c>
      <c r="X84" s="135" t="str">
        <f>Inputs!X64</f>
        <v>-</v>
      </c>
      <c r="Y84" s="135" t="str">
        <f>Inputs!Y64</f>
        <v>-</v>
      </c>
      <c r="Z84" s="135" t="str">
        <f>Inputs!Z64</f>
        <v>-</v>
      </c>
      <c r="AA84" s="140"/>
    </row>
    <row r="85">
      <c r="A85" s="71"/>
      <c r="B85" s="72"/>
      <c r="C85" s="474"/>
      <c r="D85" s="72"/>
      <c r="E85" s="144" t="s">
        <v>360</v>
      </c>
      <c r="F85" s="139" t="s">
        <v>97</v>
      </c>
      <c r="G85" s="377" t="s">
        <v>112</v>
      </c>
      <c r="H85" s="582">
        <f>(ln(1+H84)-ln(1))</f>
        <v>0.006433560199</v>
      </c>
      <c r="I85" s="318" t="s">
        <v>124</v>
      </c>
      <c r="J85" s="318" t="s">
        <v>124</v>
      </c>
      <c r="K85" s="318" t="s">
        <v>124</v>
      </c>
      <c r="L85" s="318" t="s">
        <v>124</v>
      </c>
      <c r="M85" s="318" t="s">
        <v>124</v>
      </c>
      <c r="N85" s="318" t="s">
        <v>124</v>
      </c>
      <c r="O85" s="318" t="s">
        <v>124</v>
      </c>
      <c r="P85" s="318" t="s">
        <v>124</v>
      </c>
      <c r="Q85" s="318" t="s">
        <v>124</v>
      </c>
      <c r="R85" s="318" t="s">
        <v>124</v>
      </c>
      <c r="S85" s="318" t="s">
        <v>124</v>
      </c>
      <c r="T85" s="318" t="s">
        <v>124</v>
      </c>
      <c r="U85" s="318" t="s">
        <v>124</v>
      </c>
      <c r="V85" s="318" t="s">
        <v>124</v>
      </c>
      <c r="W85" s="318" t="s">
        <v>124</v>
      </c>
      <c r="X85" s="318" t="s">
        <v>124</v>
      </c>
      <c r="Y85" s="318" t="s">
        <v>124</v>
      </c>
      <c r="Z85" s="318" t="s">
        <v>124</v>
      </c>
      <c r="AA85" s="154"/>
    </row>
    <row r="86">
      <c r="A86" s="71"/>
      <c r="B86" s="72"/>
      <c r="C86" s="474"/>
      <c r="D86" s="72"/>
      <c r="E86" s="136" t="s">
        <v>363</v>
      </c>
      <c r="F86" s="139" t="str">
        <f>Inputs!F65</f>
        <v>#</v>
      </c>
      <c r="G86" s="377" t="str">
        <f>Inputs!G65</f>
        <v>input</v>
      </c>
      <c r="H86" s="583">
        <f>Inputs!H65</f>
        <v>12.5</v>
      </c>
      <c r="I86" s="337" t="str">
        <f>Inputs!I65</f>
        <v>-</v>
      </c>
      <c r="J86" s="337" t="str">
        <f>Inputs!J65</f>
        <v>-</v>
      </c>
      <c r="K86" s="337" t="str">
        <f>Inputs!K65</f>
        <v>-</v>
      </c>
      <c r="L86" s="337" t="str">
        <f>Inputs!L65</f>
        <v>-</v>
      </c>
      <c r="M86" s="337" t="str">
        <f>Inputs!M65</f>
        <v>-</v>
      </c>
      <c r="N86" s="337" t="str">
        <f>Inputs!N65</f>
        <v>-</v>
      </c>
      <c r="O86" s="337" t="str">
        <f>Inputs!O65</f>
        <v>-</v>
      </c>
      <c r="P86" s="337" t="str">
        <f>Inputs!P65</f>
        <v>-</v>
      </c>
      <c r="Q86" s="337" t="str">
        <f>Inputs!Q65</f>
        <v>-</v>
      </c>
      <c r="R86" s="337" t="str">
        <f>Inputs!R65</f>
        <v>-</v>
      </c>
      <c r="S86" s="337" t="str">
        <f>Inputs!S65</f>
        <v>-</v>
      </c>
      <c r="T86" s="337" t="str">
        <f>Inputs!T65</f>
        <v>-</v>
      </c>
      <c r="U86" s="337" t="str">
        <f>Inputs!U65</f>
        <v>-</v>
      </c>
      <c r="V86" s="337" t="str">
        <f>Inputs!V65</f>
        <v>-</v>
      </c>
      <c r="W86" s="337" t="str">
        <f>Inputs!W65</f>
        <v>-</v>
      </c>
      <c r="X86" s="337" t="str">
        <f>Inputs!X65</f>
        <v>-</v>
      </c>
      <c r="Y86" s="337" t="str">
        <f>Inputs!Y65</f>
        <v>-</v>
      </c>
      <c r="Z86" s="337" t="str">
        <f>Inputs!Z65</f>
        <v>-</v>
      </c>
      <c r="AA86" s="154"/>
    </row>
    <row r="87">
      <c r="A87" s="71"/>
      <c r="B87" s="72"/>
      <c r="C87" s="474"/>
      <c r="D87" s="72"/>
      <c r="E87" s="136" t="s">
        <v>369</v>
      </c>
      <c r="F87" s="139" t="str">
        <f>Inputs!F66</f>
        <v>%</v>
      </c>
      <c r="G87" s="377" t="str">
        <f>Inputs!G66</f>
        <v>input</v>
      </c>
      <c r="H87" s="587">
        <f>Inputs!H66</f>
        <v>0.04</v>
      </c>
      <c r="I87" s="337" t="str">
        <f>Inputs!I66</f>
        <v>-</v>
      </c>
      <c r="J87" s="337" t="str">
        <f>Inputs!J66</f>
        <v>-</v>
      </c>
      <c r="K87" s="337" t="str">
        <f>Inputs!K66</f>
        <v>-</v>
      </c>
      <c r="L87" s="337" t="str">
        <f>Inputs!L66</f>
        <v>-</v>
      </c>
      <c r="M87" s="337" t="str">
        <f>Inputs!M66</f>
        <v>-</v>
      </c>
      <c r="N87" s="337" t="str">
        <f>Inputs!N66</f>
        <v>-</v>
      </c>
      <c r="O87" s="337" t="str">
        <f>Inputs!O66</f>
        <v>-</v>
      </c>
      <c r="P87" s="337" t="str">
        <f>Inputs!P66</f>
        <v>-</v>
      </c>
      <c r="Q87" s="337" t="str">
        <f>Inputs!Q66</f>
        <v>-</v>
      </c>
      <c r="R87" s="337" t="str">
        <f>Inputs!R66</f>
        <v>-</v>
      </c>
      <c r="S87" s="337" t="str">
        <f>Inputs!S66</f>
        <v>-</v>
      </c>
      <c r="T87" s="337" t="str">
        <f>Inputs!T66</f>
        <v>-</v>
      </c>
      <c r="U87" s="337" t="str">
        <f>Inputs!U66</f>
        <v>-</v>
      </c>
      <c r="V87" s="337" t="str">
        <f>Inputs!V66</f>
        <v>-</v>
      </c>
      <c r="W87" s="337" t="str">
        <f>Inputs!W66</f>
        <v>-</v>
      </c>
      <c r="X87" s="337" t="str">
        <f>Inputs!X66</f>
        <v>-</v>
      </c>
      <c r="Y87" s="337" t="str">
        <f>Inputs!Y66</f>
        <v>-</v>
      </c>
      <c r="Z87" s="337" t="str">
        <f>Inputs!Z66</f>
        <v>-</v>
      </c>
      <c r="AA87" s="154"/>
    </row>
    <row r="88">
      <c r="A88" s="71"/>
      <c r="B88" s="72"/>
      <c r="C88" s="474"/>
      <c r="D88" s="72"/>
      <c r="E88" s="144" t="s">
        <v>378</v>
      </c>
      <c r="F88" s="139" t="s">
        <v>97</v>
      </c>
      <c r="G88" s="377" t="s">
        <v>112</v>
      </c>
      <c r="H88" s="582">
        <f>H85/(1+H87)^H86</f>
        <v>0.003940348441</v>
      </c>
      <c r="I88" s="318" t="s">
        <v>124</v>
      </c>
      <c r="J88" s="318" t="s">
        <v>124</v>
      </c>
      <c r="K88" s="318" t="s">
        <v>124</v>
      </c>
      <c r="L88" s="318" t="s">
        <v>124</v>
      </c>
      <c r="M88" s="318" t="s">
        <v>124</v>
      </c>
      <c r="N88" s="318" t="s">
        <v>124</v>
      </c>
      <c r="O88" s="318" t="s">
        <v>124</v>
      </c>
      <c r="P88" s="318" t="s">
        <v>124</v>
      </c>
      <c r="Q88" s="318" t="s">
        <v>124</v>
      </c>
      <c r="R88" s="318" t="s">
        <v>124</v>
      </c>
      <c r="S88" s="318" t="s">
        <v>124</v>
      </c>
      <c r="T88" s="318" t="s">
        <v>124</v>
      </c>
      <c r="U88" s="318" t="s">
        <v>124</v>
      </c>
      <c r="V88" s="318" t="s">
        <v>124</v>
      </c>
      <c r="W88" s="318" t="s">
        <v>124</v>
      </c>
      <c r="X88" s="318" t="s">
        <v>124</v>
      </c>
      <c r="Y88" s="318" t="s">
        <v>124</v>
      </c>
      <c r="Z88" s="318" t="s">
        <v>124</v>
      </c>
      <c r="AA88" s="154"/>
    </row>
    <row r="89">
      <c r="A89" s="71"/>
      <c r="B89" s="72"/>
      <c r="C89" s="474"/>
      <c r="D89" s="72"/>
      <c r="E89" s="136" t="s">
        <v>380</v>
      </c>
      <c r="F89" s="139" t="str">
        <f>Inputs!F67</f>
        <v>#</v>
      </c>
      <c r="G89" s="377" t="str">
        <f>Inputs!G67</f>
        <v>input</v>
      </c>
      <c r="H89" s="286">
        <f>Inputs!H67</f>
        <v>40</v>
      </c>
      <c r="I89" s="337" t="str">
        <f>Inputs!I67</f>
        <v>-</v>
      </c>
      <c r="J89" s="337" t="str">
        <f>Inputs!J67</f>
        <v>-</v>
      </c>
      <c r="K89" s="337" t="str">
        <f>Inputs!K67</f>
        <v>-</v>
      </c>
      <c r="L89" s="337" t="str">
        <f>Inputs!L67</f>
        <v>-</v>
      </c>
      <c r="M89" s="337" t="str">
        <f>Inputs!M67</f>
        <v>-</v>
      </c>
      <c r="N89" s="337" t="str">
        <f>Inputs!N67</f>
        <v>-</v>
      </c>
      <c r="O89" s="337" t="str">
        <f>Inputs!O67</f>
        <v>-</v>
      </c>
      <c r="P89" s="337" t="str">
        <f>Inputs!P67</f>
        <v>-</v>
      </c>
      <c r="Q89" s="337" t="str">
        <f>Inputs!Q67</f>
        <v>-</v>
      </c>
      <c r="R89" s="337" t="str">
        <f>Inputs!R67</f>
        <v>-</v>
      </c>
      <c r="S89" s="337" t="str">
        <f>Inputs!S67</f>
        <v>-</v>
      </c>
      <c r="T89" s="337" t="str">
        <f>Inputs!T67</f>
        <v>-</v>
      </c>
      <c r="U89" s="337" t="str">
        <f>Inputs!U67</f>
        <v>-</v>
      </c>
      <c r="V89" s="337" t="str">
        <f>Inputs!V67</f>
        <v>-</v>
      </c>
      <c r="W89" s="337" t="str">
        <f>Inputs!W67</f>
        <v>-</v>
      </c>
      <c r="X89" s="337" t="str">
        <f>Inputs!X67</f>
        <v>-</v>
      </c>
      <c r="Y89" s="337" t="str">
        <f>Inputs!Y67</f>
        <v>-</v>
      </c>
      <c r="Z89" s="337" t="str">
        <f>Inputs!Z67</f>
        <v>-</v>
      </c>
      <c r="AA89" s="154"/>
    </row>
    <row r="90">
      <c r="A90" s="71"/>
      <c r="B90" s="72"/>
      <c r="C90" s="474"/>
      <c r="D90" s="72"/>
      <c r="E90" s="144" t="s">
        <v>386</v>
      </c>
      <c r="F90" s="139" t="s">
        <v>97</v>
      </c>
      <c r="G90" s="377" t="s">
        <v>112</v>
      </c>
      <c r="H90" s="607">
        <f>pv(H87,H89,-H88,,1)</f>
        <v>0.08111004275</v>
      </c>
      <c r="I90" s="318" t="s">
        <v>124</v>
      </c>
      <c r="J90" s="318" t="s">
        <v>124</v>
      </c>
      <c r="K90" s="318" t="s">
        <v>124</v>
      </c>
      <c r="L90" s="318" t="s">
        <v>124</v>
      </c>
      <c r="M90" s="318" t="s">
        <v>124</v>
      </c>
      <c r="N90" s="318" t="s">
        <v>124</v>
      </c>
      <c r="O90" s="318" t="s">
        <v>124</v>
      </c>
      <c r="P90" s="318" t="s">
        <v>124</v>
      </c>
      <c r="Q90" s="318" t="s">
        <v>124</v>
      </c>
      <c r="R90" s="318" t="s">
        <v>124</v>
      </c>
      <c r="S90" s="318" t="s">
        <v>124</v>
      </c>
      <c r="T90" s="318" t="s">
        <v>124</v>
      </c>
      <c r="U90" s="318" t="s">
        <v>124</v>
      </c>
      <c r="V90" s="318" t="s">
        <v>124</v>
      </c>
      <c r="W90" s="318" t="s">
        <v>124</v>
      </c>
      <c r="X90" s="318" t="s">
        <v>124</v>
      </c>
      <c r="Y90" s="318" t="s">
        <v>124</v>
      </c>
      <c r="Z90" s="318" t="s">
        <v>124</v>
      </c>
      <c r="AA90" s="154"/>
    </row>
    <row r="91">
      <c r="A91" s="71"/>
      <c r="B91" s="72"/>
      <c r="C91" s="474"/>
      <c r="D91" s="72"/>
      <c r="E91" s="136" t="s">
        <v>391</v>
      </c>
      <c r="F91" s="139" t="str">
        <f>Inputs!F68</f>
        <v>#</v>
      </c>
      <c r="G91" s="377" t="str">
        <f>Inputs!G68</f>
        <v>input</v>
      </c>
      <c r="H91" s="286">
        <f>Inputs!H68</f>
        <v>2</v>
      </c>
      <c r="I91" s="337" t="str">
        <f>Inputs!I68</f>
        <v>-</v>
      </c>
      <c r="J91" s="337" t="str">
        <f>Inputs!J68</f>
        <v>-</v>
      </c>
      <c r="K91" s="337" t="str">
        <f>Inputs!K68</f>
        <v>-</v>
      </c>
      <c r="L91" s="337" t="str">
        <f>Inputs!L68</f>
        <v>-</v>
      </c>
      <c r="M91" s="337" t="str">
        <f>Inputs!M68</f>
        <v>-</v>
      </c>
      <c r="N91" s="337" t="str">
        <f>Inputs!N68</f>
        <v>-</v>
      </c>
      <c r="O91" s="337" t="str">
        <f>Inputs!O68</f>
        <v>-</v>
      </c>
      <c r="P91" s="337" t="str">
        <f>Inputs!P68</f>
        <v>-</v>
      </c>
      <c r="Q91" s="337" t="str">
        <f>Inputs!Q68</f>
        <v>-</v>
      </c>
      <c r="R91" s="337" t="str">
        <f>Inputs!R68</f>
        <v>-</v>
      </c>
      <c r="S91" s="337" t="str">
        <f>Inputs!S68</f>
        <v>-</v>
      </c>
      <c r="T91" s="337" t="str">
        <f>Inputs!T68</f>
        <v>-</v>
      </c>
      <c r="U91" s="337" t="str">
        <f>Inputs!U68</f>
        <v>-</v>
      </c>
      <c r="V91" s="337" t="str">
        <f>Inputs!V68</f>
        <v>-</v>
      </c>
      <c r="W91" s="337" t="str">
        <f>Inputs!W68</f>
        <v>-</v>
      </c>
      <c r="X91" s="337" t="str">
        <f>Inputs!X68</f>
        <v>-</v>
      </c>
      <c r="Y91" s="337" t="str">
        <f>Inputs!Y68</f>
        <v>-</v>
      </c>
      <c r="Z91" s="337" t="str">
        <f>Inputs!Z68</f>
        <v>-</v>
      </c>
      <c r="AA91" s="154"/>
    </row>
    <row r="92">
      <c r="A92" s="71"/>
      <c r="B92" s="72"/>
      <c r="C92" s="474"/>
      <c r="D92" s="72"/>
      <c r="E92" s="144" t="s">
        <v>401</v>
      </c>
      <c r="F92" s="139" t="s">
        <v>97</v>
      </c>
      <c r="G92" s="377" t="s">
        <v>112</v>
      </c>
      <c r="H92" s="625">
        <f>H90*H91</f>
        <v>0.1622200855</v>
      </c>
      <c r="I92" s="318" t="s">
        <v>124</v>
      </c>
      <c r="J92" s="318" t="s">
        <v>124</v>
      </c>
      <c r="K92" s="318" t="s">
        <v>124</v>
      </c>
      <c r="L92" s="318" t="s">
        <v>124</v>
      </c>
      <c r="M92" s="318" t="s">
        <v>124</v>
      </c>
      <c r="N92" s="318" t="s">
        <v>124</v>
      </c>
      <c r="O92" s="318" t="s">
        <v>124</v>
      </c>
      <c r="P92" s="318" t="s">
        <v>124</v>
      </c>
      <c r="Q92" s="318" t="s">
        <v>124</v>
      </c>
      <c r="R92" s="318" t="s">
        <v>124</v>
      </c>
      <c r="S92" s="318" t="s">
        <v>124</v>
      </c>
      <c r="T92" s="318" t="s">
        <v>124</v>
      </c>
      <c r="U92" s="318" t="s">
        <v>124</v>
      </c>
      <c r="V92" s="318" t="s">
        <v>124</v>
      </c>
      <c r="W92" s="318" t="s">
        <v>124</v>
      </c>
      <c r="X92" s="318" t="s">
        <v>124</v>
      </c>
      <c r="Y92" s="318" t="s">
        <v>124</v>
      </c>
      <c r="Z92" s="318" t="s">
        <v>124</v>
      </c>
      <c r="AA92" s="154"/>
    </row>
    <row r="93">
      <c r="A93" s="71"/>
      <c r="B93" s="72"/>
      <c r="C93" s="474"/>
      <c r="D93" s="72"/>
      <c r="E93" s="136" t="s">
        <v>404</v>
      </c>
      <c r="F93" s="139" t="s">
        <v>97</v>
      </c>
      <c r="G93" s="377" t="s">
        <v>112</v>
      </c>
      <c r="H93" s="626" t="s">
        <v>124</v>
      </c>
      <c r="I93" s="145">
        <f t="shared" ref="I93:Z93" si="28">I80*$H92</f>
        <v>9515.372263</v>
      </c>
      <c r="J93" s="145">
        <f t="shared" si="28"/>
        <v>5208.685138</v>
      </c>
      <c r="K93" s="145">
        <f t="shared" si="28"/>
        <v>2531.369259</v>
      </c>
      <c r="L93" s="145">
        <f t="shared" si="28"/>
        <v>3084.61659</v>
      </c>
      <c r="M93" s="145">
        <f t="shared" si="28"/>
        <v>2913.018272</v>
      </c>
      <c r="N93" s="145">
        <f t="shared" si="28"/>
        <v>2891.456046</v>
      </c>
      <c r="O93" s="145">
        <f t="shared" si="28"/>
        <v>2992.31425</v>
      </c>
      <c r="P93" s="145">
        <f t="shared" si="28"/>
        <v>8092.543292</v>
      </c>
      <c r="Q93" s="145">
        <f t="shared" si="28"/>
        <v>8354.755335</v>
      </c>
      <c r="R93" s="145">
        <f t="shared" si="28"/>
        <v>7563.167929</v>
      </c>
      <c r="S93" s="145">
        <f t="shared" si="28"/>
        <v>14579.75281</v>
      </c>
      <c r="T93" s="145">
        <f t="shared" si="28"/>
        <v>10348.12086</v>
      </c>
      <c r="U93" s="145">
        <f t="shared" si="28"/>
        <v>12197.57044</v>
      </c>
      <c r="V93" s="145">
        <f t="shared" si="28"/>
        <v>17697.40411</v>
      </c>
      <c r="W93" s="145">
        <f t="shared" si="28"/>
        <v>8646.456206</v>
      </c>
      <c r="X93" s="145">
        <f t="shared" si="28"/>
        <v>11814.15351</v>
      </c>
      <c r="Y93" s="145">
        <f t="shared" si="28"/>
        <v>13267.92237</v>
      </c>
      <c r="Z93" s="145">
        <f t="shared" si="28"/>
        <v>2738.716074</v>
      </c>
      <c r="AA93" s="154"/>
    </row>
    <row r="94">
      <c r="A94" s="71"/>
      <c r="B94" s="72"/>
      <c r="C94" s="474"/>
      <c r="D94" s="72"/>
      <c r="E94" s="136" t="s">
        <v>408</v>
      </c>
      <c r="F94" s="139" t="s">
        <v>97</v>
      </c>
      <c r="G94" s="377" t="s">
        <v>112</v>
      </c>
      <c r="H94" s="626" t="s">
        <v>124</v>
      </c>
      <c r="I94" s="145">
        <f t="shared" ref="I94:Z94" si="29">I81*$H92</f>
        <v>1051.576694</v>
      </c>
      <c r="J94" s="145">
        <f t="shared" si="29"/>
        <v>579.700019</v>
      </c>
      <c r="K94" s="145">
        <f t="shared" si="29"/>
        <v>753.1790515</v>
      </c>
      <c r="L94" s="145">
        <f t="shared" si="29"/>
        <v>917.7912661</v>
      </c>
      <c r="M94" s="145">
        <f t="shared" si="29"/>
        <v>866.7342115</v>
      </c>
      <c r="N94" s="145">
        <f t="shared" si="29"/>
        <v>860.3186256</v>
      </c>
      <c r="O94" s="145">
        <f t="shared" si="29"/>
        <v>858.5470265</v>
      </c>
      <c r="P94" s="145">
        <f t="shared" si="29"/>
        <v>1015.316429</v>
      </c>
      <c r="Q94" s="145">
        <f t="shared" si="29"/>
        <v>1077.01604</v>
      </c>
      <c r="R94" s="145">
        <f t="shared" si="29"/>
        <v>883.6140469</v>
      </c>
      <c r="S94" s="145">
        <f t="shared" si="29"/>
        <v>1751.288621</v>
      </c>
      <c r="T94" s="145">
        <f t="shared" si="29"/>
        <v>1235.887248</v>
      </c>
      <c r="U94" s="145">
        <f t="shared" si="29"/>
        <v>1389.949865</v>
      </c>
      <c r="V94" s="145">
        <f t="shared" si="29"/>
        <v>2018.370882</v>
      </c>
      <c r="W94" s="145">
        <f t="shared" si="29"/>
        <v>1043.322436</v>
      </c>
      <c r="X94" s="145">
        <f t="shared" si="29"/>
        <v>1486.215209</v>
      </c>
      <c r="Y94" s="145">
        <f t="shared" si="29"/>
        <v>1585.998233</v>
      </c>
      <c r="Z94" s="145">
        <f t="shared" si="29"/>
        <v>786.9698119</v>
      </c>
      <c r="AA94" s="154"/>
    </row>
    <row r="95">
      <c r="A95" s="71"/>
      <c r="B95" s="72"/>
      <c r="C95" s="474"/>
      <c r="D95" s="72"/>
      <c r="E95" s="171" t="s">
        <v>415</v>
      </c>
      <c r="F95" s="204" t="s">
        <v>97</v>
      </c>
      <c r="G95" s="303" t="s">
        <v>112</v>
      </c>
      <c r="H95" s="636" t="s">
        <v>124</v>
      </c>
      <c r="I95" s="404">
        <f t="shared" ref="I95:Z95" si="30">SUM(I93:I94)</f>
        <v>10566.94896</v>
      </c>
      <c r="J95" s="404">
        <f t="shared" si="30"/>
        <v>5788.385157</v>
      </c>
      <c r="K95" s="404">
        <f t="shared" si="30"/>
        <v>3284.548311</v>
      </c>
      <c r="L95" s="404">
        <f t="shared" si="30"/>
        <v>4002.407856</v>
      </c>
      <c r="M95" s="404">
        <f t="shared" si="30"/>
        <v>3779.752483</v>
      </c>
      <c r="N95" s="404">
        <f t="shared" si="30"/>
        <v>3751.774671</v>
      </c>
      <c r="O95" s="404">
        <f t="shared" si="30"/>
        <v>3850.861276</v>
      </c>
      <c r="P95" s="404">
        <f t="shared" si="30"/>
        <v>9107.85972</v>
      </c>
      <c r="Q95" s="404">
        <f t="shared" si="30"/>
        <v>9431.771375</v>
      </c>
      <c r="R95" s="404">
        <f t="shared" si="30"/>
        <v>8446.781976</v>
      </c>
      <c r="S95" s="404">
        <f t="shared" si="30"/>
        <v>16331.04143</v>
      </c>
      <c r="T95" s="404">
        <f t="shared" si="30"/>
        <v>11584.00811</v>
      </c>
      <c r="U95" s="404">
        <f t="shared" si="30"/>
        <v>13587.52031</v>
      </c>
      <c r="V95" s="404">
        <f t="shared" si="30"/>
        <v>19715.77499</v>
      </c>
      <c r="W95" s="404">
        <f t="shared" si="30"/>
        <v>9689.778642</v>
      </c>
      <c r="X95" s="404">
        <f t="shared" si="30"/>
        <v>13300.36872</v>
      </c>
      <c r="Y95" s="404">
        <f t="shared" si="30"/>
        <v>14853.9206</v>
      </c>
      <c r="Z95" s="404">
        <f t="shared" si="30"/>
        <v>3525.685886</v>
      </c>
      <c r="AA95" s="167"/>
    </row>
    <row r="96">
      <c r="A96" s="185"/>
      <c r="B96" s="35"/>
      <c r="C96" s="35"/>
      <c r="D96" s="35"/>
      <c r="E96" s="639"/>
      <c r="F96" s="293"/>
      <c r="G96" s="126"/>
      <c r="H96" s="78"/>
      <c r="I96" s="85"/>
      <c r="J96" s="85"/>
      <c r="K96" s="85"/>
      <c r="L96" s="85"/>
      <c r="M96" s="85"/>
      <c r="N96" s="85"/>
      <c r="O96" s="85"/>
      <c r="P96" s="85"/>
      <c r="Q96" s="85"/>
      <c r="R96" s="85"/>
      <c r="S96" s="85"/>
      <c r="T96" s="85"/>
      <c r="U96" s="85"/>
      <c r="V96" s="85"/>
      <c r="W96" s="85"/>
      <c r="X96" s="85"/>
      <c r="Y96" s="85"/>
      <c r="Z96" s="85"/>
      <c r="AA96" s="81"/>
    </row>
    <row r="97">
      <c r="A97" s="66" t="s">
        <v>411</v>
      </c>
      <c r="B97" s="17"/>
      <c r="C97" s="17"/>
      <c r="D97" s="17"/>
      <c r="E97" s="17"/>
      <c r="F97" s="17"/>
      <c r="G97" s="17"/>
      <c r="H97" s="67"/>
      <c r="I97" s="91"/>
      <c r="J97" s="91"/>
      <c r="K97" s="91"/>
      <c r="L97" s="91"/>
      <c r="M97" s="91"/>
      <c r="N97" s="91"/>
      <c r="O97" s="91"/>
      <c r="P97" s="91"/>
      <c r="Q97" s="91"/>
      <c r="R97" s="91"/>
      <c r="S97" s="91"/>
      <c r="T97" s="91"/>
      <c r="U97" s="91"/>
      <c r="V97" s="91"/>
      <c r="W97" s="91"/>
      <c r="X97" s="91"/>
      <c r="Y97" s="91"/>
      <c r="Z97" s="91"/>
      <c r="AA97" s="69"/>
    </row>
    <row r="98">
      <c r="A98" s="71"/>
      <c r="B98" s="72"/>
      <c r="C98" s="72"/>
      <c r="D98" s="72"/>
      <c r="E98" s="74"/>
      <c r="F98" s="75"/>
      <c r="G98" s="77"/>
      <c r="H98" s="78"/>
      <c r="I98" s="85"/>
      <c r="J98" s="85"/>
      <c r="K98" s="85"/>
      <c r="L98" s="85"/>
      <c r="M98" s="85"/>
      <c r="N98" s="85"/>
      <c r="O98" s="85"/>
      <c r="P98" s="85"/>
      <c r="Q98" s="85"/>
      <c r="R98" s="85"/>
      <c r="S98" s="85"/>
      <c r="T98" s="85"/>
      <c r="U98" s="85"/>
      <c r="V98" s="85"/>
      <c r="W98" s="85"/>
      <c r="X98" s="85"/>
      <c r="Y98" s="85"/>
      <c r="Z98" s="85"/>
      <c r="AA98" s="81"/>
    </row>
    <row r="99">
      <c r="A99" s="71"/>
      <c r="B99" s="72"/>
      <c r="C99" s="188" t="s">
        <v>424</v>
      </c>
      <c r="F99" s="75"/>
      <c r="G99" s="77"/>
      <c r="H99" s="78"/>
      <c r="I99" s="85"/>
      <c r="J99" s="85"/>
      <c r="K99" s="85"/>
      <c r="L99" s="85"/>
      <c r="M99" s="85"/>
      <c r="N99" s="85"/>
      <c r="O99" s="85"/>
      <c r="P99" s="85"/>
      <c r="Q99" s="85"/>
      <c r="R99" s="85"/>
      <c r="S99" s="85"/>
      <c r="T99" s="85"/>
      <c r="U99" s="85"/>
      <c r="V99" s="85"/>
      <c r="W99" s="85"/>
      <c r="X99" s="85"/>
      <c r="Y99" s="85"/>
      <c r="Z99" s="85"/>
      <c r="AA99" s="81"/>
    </row>
    <row r="100">
      <c r="A100" s="71"/>
      <c r="B100" s="72"/>
      <c r="C100" s="72"/>
      <c r="D100" s="72"/>
      <c r="E100" s="113" t="s">
        <v>416</v>
      </c>
      <c r="F100" s="115" t="str">
        <f>Inputs!F73</f>
        <v>UoV</v>
      </c>
      <c r="G100" s="231" t="str">
        <f>Inputs!G73</f>
        <v>input</v>
      </c>
      <c r="H100" s="121">
        <f>Inputs!H73</f>
        <v>116.25262</v>
      </c>
      <c r="I100" s="280" t="str">
        <f>Inputs!I73</f>
        <v>-</v>
      </c>
      <c r="J100" s="280" t="str">
        <f>Inputs!J73</f>
        <v>-</v>
      </c>
      <c r="K100" s="280" t="str">
        <f>Inputs!K73</f>
        <v>-</v>
      </c>
      <c r="L100" s="280" t="str">
        <f>Inputs!L73</f>
        <v>-</v>
      </c>
      <c r="M100" s="280" t="str">
        <f>Inputs!M73</f>
        <v>-</v>
      </c>
      <c r="N100" s="280" t="str">
        <f>Inputs!N73</f>
        <v>-</v>
      </c>
      <c r="O100" s="280" t="str">
        <f>Inputs!O73</f>
        <v>-</v>
      </c>
      <c r="P100" s="280" t="str">
        <f>Inputs!P73</f>
        <v>-</v>
      </c>
      <c r="Q100" s="280" t="str">
        <f>Inputs!Q73</f>
        <v>-</v>
      </c>
      <c r="R100" s="280" t="str">
        <f>Inputs!R73</f>
        <v>-</v>
      </c>
      <c r="S100" s="280" t="str">
        <f>Inputs!S73</f>
        <v>-</v>
      </c>
      <c r="T100" s="280" t="str">
        <f>Inputs!T73</f>
        <v>-</v>
      </c>
      <c r="U100" s="280" t="str">
        <f>Inputs!U73</f>
        <v>-</v>
      </c>
      <c r="V100" s="280" t="str">
        <f>Inputs!V73</f>
        <v>-</v>
      </c>
      <c r="W100" s="280" t="str">
        <f>Inputs!W73</f>
        <v>-</v>
      </c>
      <c r="X100" s="280" t="str">
        <f>Inputs!X73</f>
        <v>-</v>
      </c>
      <c r="Y100" s="280" t="str">
        <f>Inputs!Y73</f>
        <v>-</v>
      </c>
      <c r="Z100" s="280" t="str">
        <f>Inputs!Z73</f>
        <v>-</v>
      </c>
      <c r="AA100" s="408"/>
    </row>
    <row r="101">
      <c r="A101" s="71"/>
      <c r="B101" s="72"/>
      <c r="C101" s="72"/>
      <c r="D101" s="72"/>
      <c r="E101" s="171" t="s">
        <v>434</v>
      </c>
      <c r="F101" s="204" t="s">
        <v>103</v>
      </c>
      <c r="G101" s="303" t="s">
        <v>112</v>
      </c>
      <c r="H101" s="650" t="s">
        <v>124</v>
      </c>
      <c r="I101" s="182">
        <f t="shared" ref="I101:Z101" si="31">I56*$H100</f>
        <v>76412.69813</v>
      </c>
      <c r="J101" s="182">
        <f t="shared" si="31"/>
        <v>22398.93688</v>
      </c>
      <c r="K101" s="182">
        <f t="shared" si="31"/>
        <v>19005.39816</v>
      </c>
      <c r="L101" s="182">
        <f t="shared" si="31"/>
        <v>22501.46076</v>
      </c>
      <c r="M101" s="182">
        <f t="shared" si="31"/>
        <v>22346.0106</v>
      </c>
      <c r="N101" s="182">
        <f t="shared" si="31"/>
        <v>33600.08546</v>
      </c>
      <c r="O101" s="182">
        <f t="shared" si="31"/>
        <v>28675.66947</v>
      </c>
      <c r="P101" s="182">
        <f t="shared" si="31"/>
        <v>54576.09679</v>
      </c>
      <c r="Q101" s="182">
        <f t="shared" si="31"/>
        <v>36818.0556</v>
      </c>
      <c r="R101" s="182">
        <f t="shared" si="31"/>
        <v>31174.16983</v>
      </c>
      <c r="S101" s="182">
        <f t="shared" si="31"/>
        <v>70160.32621</v>
      </c>
      <c r="T101" s="182">
        <f t="shared" si="31"/>
        <v>37943.9669</v>
      </c>
      <c r="U101" s="182">
        <f t="shared" si="31"/>
        <v>48712.67656</v>
      </c>
      <c r="V101" s="182">
        <f t="shared" si="31"/>
        <v>39990.61476</v>
      </c>
      <c r="W101" s="182">
        <f t="shared" si="31"/>
        <v>33809.59954</v>
      </c>
      <c r="X101" s="182">
        <f t="shared" si="31"/>
        <v>76979.69424</v>
      </c>
      <c r="Y101" s="182">
        <f t="shared" si="31"/>
        <v>33637.58776</v>
      </c>
      <c r="Z101" s="182">
        <f t="shared" si="31"/>
        <v>30734.09776</v>
      </c>
      <c r="AA101" s="652"/>
    </row>
    <row r="102">
      <c r="A102" s="71"/>
      <c r="B102" s="72"/>
      <c r="C102" s="72"/>
      <c r="D102" s="72"/>
      <c r="E102" s="119"/>
      <c r="F102" s="120"/>
      <c r="G102" s="168"/>
      <c r="H102" s="653"/>
      <c r="I102" s="655"/>
      <c r="J102" s="655"/>
      <c r="K102" s="655"/>
      <c r="L102" s="655"/>
      <c r="M102" s="655"/>
      <c r="N102" s="655"/>
      <c r="O102" s="655"/>
      <c r="P102" s="655"/>
      <c r="Q102" s="655"/>
      <c r="R102" s="655"/>
      <c r="S102" s="655"/>
      <c r="T102" s="655"/>
      <c r="U102" s="655"/>
      <c r="V102" s="655"/>
      <c r="W102" s="655"/>
      <c r="X102" s="655"/>
      <c r="Y102" s="655"/>
      <c r="Z102" s="655"/>
      <c r="AA102" s="81"/>
    </row>
    <row r="103">
      <c r="A103" s="71"/>
      <c r="B103" s="72"/>
      <c r="C103" s="657" t="s">
        <v>440</v>
      </c>
      <c r="F103" s="220"/>
      <c r="G103" s="223"/>
      <c r="H103" s="658"/>
      <c r="I103" s="659"/>
      <c r="J103" s="659"/>
      <c r="K103" s="659"/>
      <c r="L103" s="659"/>
      <c r="M103" s="659"/>
      <c r="N103" s="659"/>
      <c r="O103" s="659"/>
      <c r="P103" s="659"/>
      <c r="Q103" s="659"/>
      <c r="R103" s="659"/>
      <c r="S103" s="659"/>
      <c r="T103" s="659"/>
      <c r="U103" s="659"/>
      <c r="V103" s="659"/>
      <c r="W103" s="659"/>
      <c r="X103" s="659"/>
      <c r="Y103" s="659"/>
      <c r="Z103" s="659"/>
      <c r="AA103" s="81"/>
    </row>
    <row r="104">
      <c r="A104" s="71"/>
      <c r="B104" s="72"/>
      <c r="C104" s="72"/>
      <c r="D104" s="72"/>
      <c r="E104" s="113" t="s">
        <v>422</v>
      </c>
      <c r="F104" s="115" t="str">
        <f>Inputs!F74</f>
        <v>UoV</v>
      </c>
      <c r="G104" s="231" t="str">
        <f>Inputs!G74</f>
        <v>input</v>
      </c>
      <c r="H104" s="121">
        <f>Inputs!H74</f>
        <v>73.1914</v>
      </c>
      <c r="I104" s="280" t="str">
        <f>Inputs!I74</f>
        <v>-</v>
      </c>
      <c r="J104" s="280" t="str">
        <f>Inputs!J74</f>
        <v>-</v>
      </c>
      <c r="K104" s="280" t="str">
        <f>Inputs!K74</f>
        <v>-</v>
      </c>
      <c r="L104" s="280" t="str">
        <f>Inputs!L74</f>
        <v>-</v>
      </c>
      <c r="M104" s="280" t="str">
        <f>Inputs!M74</f>
        <v>-</v>
      </c>
      <c r="N104" s="280" t="str">
        <f>Inputs!N74</f>
        <v>-</v>
      </c>
      <c r="O104" s="280" t="str">
        <f>Inputs!O74</f>
        <v>-</v>
      </c>
      <c r="P104" s="280" t="str">
        <f>Inputs!P74</f>
        <v>-</v>
      </c>
      <c r="Q104" s="280" t="str">
        <f>Inputs!Q74</f>
        <v>-</v>
      </c>
      <c r="R104" s="280" t="str">
        <f>Inputs!R74</f>
        <v>-</v>
      </c>
      <c r="S104" s="280" t="str">
        <f>Inputs!S74</f>
        <v>-</v>
      </c>
      <c r="T104" s="280" t="str">
        <f>Inputs!T74</f>
        <v>-</v>
      </c>
      <c r="U104" s="280" t="str">
        <f>Inputs!U74</f>
        <v>-</v>
      </c>
      <c r="V104" s="280" t="str">
        <f>Inputs!V74</f>
        <v>-</v>
      </c>
      <c r="W104" s="280" t="str">
        <f>Inputs!W74</f>
        <v>-</v>
      </c>
      <c r="X104" s="280" t="str">
        <f>Inputs!X74</f>
        <v>-</v>
      </c>
      <c r="Y104" s="280" t="str">
        <f>Inputs!Y74</f>
        <v>-</v>
      </c>
      <c r="Z104" s="280" t="str">
        <f>Inputs!Z74</f>
        <v>-</v>
      </c>
      <c r="AA104" s="408"/>
    </row>
    <row r="105">
      <c r="A105" s="71"/>
      <c r="B105" s="72"/>
      <c r="C105" s="72"/>
      <c r="D105" s="72"/>
      <c r="E105" s="171" t="s">
        <v>453</v>
      </c>
      <c r="F105" s="204" t="s">
        <v>103</v>
      </c>
      <c r="G105" s="303" t="s">
        <v>112</v>
      </c>
      <c r="H105" s="650" t="s">
        <v>124</v>
      </c>
      <c r="I105" s="182">
        <f t="shared" ref="I105:Z105" si="32">I69*$H104</f>
        <v>4315.723253</v>
      </c>
      <c r="J105" s="182">
        <f t="shared" si="32"/>
        <v>1239.208029</v>
      </c>
      <c r="K105" s="182">
        <f t="shared" si="32"/>
        <v>554.0281527</v>
      </c>
      <c r="L105" s="182">
        <f t="shared" si="32"/>
        <v>655.942201</v>
      </c>
      <c r="M105" s="182">
        <f t="shared" si="32"/>
        <v>651.410658</v>
      </c>
      <c r="N105" s="182">
        <f t="shared" si="32"/>
        <v>979.4792579</v>
      </c>
      <c r="O105" s="182">
        <f t="shared" si="32"/>
        <v>3604.720307</v>
      </c>
      <c r="P105" s="182">
        <f t="shared" si="32"/>
        <v>1278.063867</v>
      </c>
      <c r="Q105" s="182">
        <f t="shared" si="32"/>
        <v>2729.461935</v>
      </c>
      <c r="R105" s="182">
        <f t="shared" si="32"/>
        <v>4006.688156</v>
      </c>
      <c r="S105" s="182">
        <f t="shared" si="32"/>
        <v>2922.421254</v>
      </c>
      <c r="T105" s="182">
        <f t="shared" si="32"/>
        <v>7559.553091</v>
      </c>
      <c r="U105" s="182">
        <f t="shared" si="32"/>
        <v>4377.244299</v>
      </c>
      <c r="V105" s="182">
        <f t="shared" si="32"/>
        <v>11008.50503</v>
      </c>
      <c r="W105" s="182">
        <f t="shared" si="32"/>
        <v>3703.51017</v>
      </c>
      <c r="X105" s="182">
        <f t="shared" si="32"/>
        <v>1841.163803</v>
      </c>
      <c r="Y105" s="182">
        <f t="shared" si="32"/>
        <v>5948.365443</v>
      </c>
      <c r="Z105" s="182">
        <f t="shared" si="32"/>
        <v>895.7227935</v>
      </c>
      <c r="AA105" s="652"/>
    </row>
    <row r="106">
      <c r="A106" s="71"/>
      <c r="B106" s="72"/>
      <c r="C106" s="188"/>
      <c r="D106" s="188"/>
      <c r="E106" s="667"/>
      <c r="F106" s="75"/>
      <c r="G106" s="77"/>
      <c r="H106" s="658"/>
      <c r="I106" s="659"/>
      <c r="J106" s="659"/>
      <c r="K106" s="659"/>
      <c r="L106" s="659"/>
      <c r="M106" s="659"/>
      <c r="N106" s="659"/>
      <c r="O106" s="659"/>
      <c r="P106" s="659"/>
      <c r="Q106" s="659"/>
      <c r="R106" s="659"/>
      <c r="S106" s="659"/>
      <c r="T106" s="659"/>
      <c r="U106" s="659"/>
      <c r="V106" s="659"/>
      <c r="W106" s="659"/>
      <c r="X106" s="659"/>
      <c r="Y106" s="659"/>
      <c r="Z106" s="659"/>
      <c r="AA106" s="81"/>
    </row>
    <row r="107">
      <c r="A107" s="71"/>
      <c r="B107" s="72"/>
      <c r="C107" s="188" t="s">
        <v>461</v>
      </c>
      <c r="F107" s="75"/>
      <c r="G107" s="77"/>
      <c r="H107" s="658"/>
      <c r="I107" s="659"/>
      <c r="J107" s="659"/>
      <c r="K107" s="659"/>
      <c r="L107" s="659"/>
      <c r="M107" s="659"/>
      <c r="N107" s="659"/>
      <c r="O107" s="659"/>
      <c r="P107" s="659"/>
      <c r="Q107" s="659"/>
      <c r="R107" s="659"/>
      <c r="S107" s="659"/>
      <c r="T107" s="659"/>
      <c r="U107" s="659"/>
      <c r="V107" s="659"/>
      <c r="W107" s="659"/>
      <c r="X107" s="659"/>
      <c r="Y107" s="659"/>
      <c r="Z107" s="659"/>
      <c r="AA107" s="81"/>
    </row>
    <row r="108">
      <c r="A108" s="71"/>
      <c r="B108" s="72"/>
      <c r="C108" s="72"/>
      <c r="D108" s="72"/>
      <c r="E108" s="113" t="s">
        <v>428</v>
      </c>
      <c r="F108" s="115" t="str">
        <f>Inputs!F76</f>
        <v>UoV</v>
      </c>
      <c r="G108" s="231" t="str">
        <f>Inputs!G76</f>
        <v>input</v>
      </c>
      <c r="H108" s="671">
        <f>Inputs!H76</f>
        <v>1.442695041</v>
      </c>
      <c r="I108" s="200" t="str">
        <f>Inputs!I76</f>
        <v>-</v>
      </c>
      <c r="J108" s="200" t="str">
        <f>Inputs!J76</f>
        <v>-</v>
      </c>
      <c r="K108" s="200" t="str">
        <f>Inputs!K76</f>
        <v>-</v>
      </c>
      <c r="L108" s="200" t="str">
        <f>Inputs!L76</f>
        <v>-</v>
      </c>
      <c r="M108" s="200" t="str">
        <f>Inputs!M76</f>
        <v>-</v>
      </c>
      <c r="N108" s="200" t="str">
        <f>Inputs!N76</f>
        <v>-</v>
      </c>
      <c r="O108" s="200" t="str">
        <f>Inputs!O76</f>
        <v>-</v>
      </c>
      <c r="P108" s="200" t="str">
        <f>Inputs!P76</f>
        <v>-</v>
      </c>
      <c r="Q108" s="200" t="str">
        <f>Inputs!Q76</f>
        <v>-</v>
      </c>
      <c r="R108" s="200" t="str">
        <f>Inputs!R76</f>
        <v>-</v>
      </c>
      <c r="S108" s="200" t="str">
        <f>Inputs!S76</f>
        <v>-</v>
      </c>
      <c r="T108" s="200" t="str">
        <f>Inputs!T76</f>
        <v>-</v>
      </c>
      <c r="U108" s="200" t="str">
        <f>Inputs!U76</f>
        <v>-</v>
      </c>
      <c r="V108" s="200" t="str">
        <f>Inputs!V76</f>
        <v>-</v>
      </c>
      <c r="W108" s="200" t="str">
        <f>Inputs!W76</f>
        <v>-</v>
      </c>
      <c r="X108" s="200" t="str">
        <f>Inputs!X76</f>
        <v>-</v>
      </c>
      <c r="Y108" s="200" t="str">
        <f>Inputs!Y76</f>
        <v>-</v>
      </c>
      <c r="Z108" s="200" t="str">
        <f>Inputs!Z76</f>
        <v>-</v>
      </c>
      <c r="AA108" s="140"/>
    </row>
    <row r="109">
      <c r="A109" s="71"/>
      <c r="B109" s="72"/>
      <c r="C109" s="72"/>
      <c r="D109" s="72"/>
      <c r="E109" s="113" t="s">
        <v>474</v>
      </c>
      <c r="F109" s="115" t="s">
        <v>103</v>
      </c>
      <c r="G109" s="231" t="s">
        <v>112</v>
      </c>
      <c r="H109" s="191" t="s">
        <v>124</v>
      </c>
      <c r="I109" s="200">
        <f t="shared" ref="I109:Z109" si="33">I95*$H108</f>
        <v>15244.88486</v>
      </c>
      <c r="J109" s="200">
        <f t="shared" si="33"/>
        <v>8350.874561</v>
      </c>
      <c r="K109" s="200">
        <f t="shared" si="33"/>
        <v>4738.60156</v>
      </c>
      <c r="L109" s="200">
        <f t="shared" si="33"/>
        <v>5774.253966</v>
      </c>
      <c r="M109" s="200">
        <f t="shared" si="33"/>
        <v>5453.030163</v>
      </c>
      <c r="N109" s="200">
        <f t="shared" si="33"/>
        <v>5412.666713</v>
      </c>
      <c r="O109" s="200">
        <f t="shared" si="33"/>
        <v>5555.618466</v>
      </c>
      <c r="P109" s="200">
        <f t="shared" si="33"/>
        <v>13139.86405</v>
      </c>
      <c r="Q109" s="200">
        <f t="shared" si="33"/>
        <v>13607.16979</v>
      </c>
      <c r="R109" s="200">
        <f t="shared" si="33"/>
        <v>12186.13047</v>
      </c>
      <c r="S109" s="200">
        <f t="shared" si="33"/>
        <v>23560.71249</v>
      </c>
      <c r="T109" s="200">
        <f t="shared" si="33"/>
        <v>16712.19106</v>
      </c>
      <c r="U109" s="200">
        <f t="shared" si="33"/>
        <v>19602.64817</v>
      </c>
      <c r="V109" s="200">
        <f t="shared" si="33"/>
        <v>28443.85081</v>
      </c>
      <c r="W109" s="200">
        <f t="shared" si="33"/>
        <v>13979.39559</v>
      </c>
      <c r="X109" s="200">
        <f t="shared" si="33"/>
        <v>19188.37599</v>
      </c>
      <c r="Y109" s="200">
        <f t="shared" si="33"/>
        <v>21429.67759</v>
      </c>
      <c r="Z109" s="200">
        <f t="shared" si="33"/>
        <v>5086.489543</v>
      </c>
      <c r="AA109" s="140"/>
    </row>
    <row r="110">
      <c r="A110" s="71"/>
      <c r="B110" s="72"/>
      <c r="C110" s="72"/>
      <c r="D110" s="72"/>
      <c r="E110" s="93" t="s">
        <v>478</v>
      </c>
      <c r="F110" s="96" t="s">
        <v>103</v>
      </c>
      <c r="G110" s="176" t="s">
        <v>112</v>
      </c>
      <c r="H110" s="177" t="s">
        <v>124</v>
      </c>
      <c r="I110" s="677">
        <f t="shared" ref="I110:Z110" si="34">I109/I36</f>
        <v>0.08672556063</v>
      </c>
      <c r="J110" s="677">
        <f t="shared" si="34"/>
        <v>0.05407566212</v>
      </c>
      <c r="K110" s="677">
        <f t="shared" si="34"/>
        <v>0.03068457261</v>
      </c>
      <c r="L110" s="677">
        <f t="shared" si="34"/>
        <v>0.03739088692</v>
      </c>
      <c r="M110" s="677">
        <f t="shared" si="34"/>
        <v>0.03531081858</v>
      </c>
      <c r="N110" s="677">
        <f t="shared" si="34"/>
        <v>0.03504944712</v>
      </c>
      <c r="O110" s="677">
        <f t="shared" si="34"/>
        <v>0.0359751239</v>
      </c>
      <c r="P110" s="677">
        <f t="shared" si="34"/>
        <v>0.06626087449</v>
      </c>
      <c r="Q110" s="677">
        <f t="shared" si="34"/>
        <v>0.06861737428</v>
      </c>
      <c r="R110" s="677">
        <f t="shared" si="34"/>
        <v>0.07681430895</v>
      </c>
      <c r="S110" s="677">
        <f t="shared" si="34"/>
        <v>0.1188104692</v>
      </c>
      <c r="T110" s="677">
        <f t="shared" si="34"/>
        <v>0.1053439737</v>
      </c>
      <c r="U110" s="677">
        <f t="shared" si="34"/>
        <v>0.1235637413</v>
      </c>
      <c r="V110" s="677">
        <f t="shared" si="34"/>
        <v>0.1792935624</v>
      </c>
      <c r="W110" s="677">
        <f t="shared" si="34"/>
        <v>0.08811801375</v>
      </c>
      <c r="X110" s="677">
        <f t="shared" si="34"/>
        <v>0.09676192752</v>
      </c>
      <c r="Y110" s="677">
        <f t="shared" si="34"/>
        <v>0.1151538689</v>
      </c>
      <c r="Z110" s="677">
        <f t="shared" si="34"/>
        <v>0.04117162937</v>
      </c>
      <c r="AA110" s="118"/>
    </row>
    <row r="111">
      <c r="A111" s="71"/>
      <c r="B111" s="72"/>
      <c r="C111" s="188"/>
      <c r="D111" s="72"/>
      <c r="E111" s="74"/>
      <c r="F111" s="75"/>
      <c r="G111" s="77"/>
      <c r="H111" s="78"/>
      <c r="I111" s="85"/>
      <c r="J111" s="85"/>
      <c r="K111" s="85"/>
      <c r="L111" s="85"/>
      <c r="M111" s="85"/>
      <c r="N111" s="85"/>
      <c r="O111" s="85"/>
      <c r="P111" s="85"/>
      <c r="Q111" s="85"/>
      <c r="R111" s="85"/>
      <c r="S111" s="85"/>
      <c r="T111" s="85"/>
      <c r="U111" s="85"/>
      <c r="V111" s="85"/>
      <c r="W111" s="85"/>
      <c r="X111" s="85"/>
      <c r="Y111" s="85"/>
      <c r="Z111" s="85"/>
      <c r="AA111" s="81"/>
    </row>
    <row r="112">
      <c r="A112" s="66" t="s">
        <v>433</v>
      </c>
      <c r="B112" s="17"/>
      <c r="C112" s="17"/>
      <c r="D112" s="17"/>
      <c r="E112" s="17"/>
      <c r="F112" s="17"/>
      <c r="G112" s="17"/>
      <c r="H112" s="67"/>
      <c r="I112" s="91"/>
      <c r="J112" s="91"/>
      <c r="K112" s="91"/>
      <c r="L112" s="91"/>
      <c r="M112" s="91"/>
      <c r="N112" s="91"/>
      <c r="O112" s="91"/>
      <c r="P112" s="91"/>
      <c r="Q112" s="91"/>
      <c r="R112" s="91"/>
      <c r="S112" s="91"/>
      <c r="T112" s="91"/>
      <c r="U112" s="91"/>
      <c r="V112" s="91"/>
      <c r="W112" s="91"/>
      <c r="X112" s="91"/>
      <c r="Y112" s="91"/>
      <c r="Z112" s="91"/>
      <c r="AA112" s="69"/>
    </row>
    <row r="113">
      <c r="A113" s="71"/>
      <c r="B113" s="72"/>
      <c r="C113" s="72"/>
      <c r="D113" s="72"/>
      <c r="E113" s="74"/>
      <c r="F113" s="75"/>
      <c r="G113" s="77"/>
      <c r="H113" s="78"/>
      <c r="I113" s="85"/>
      <c r="J113" s="85"/>
      <c r="K113" s="85"/>
      <c r="L113" s="85"/>
      <c r="M113" s="85"/>
      <c r="N113" s="85"/>
      <c r="O113" s="85"/>
      <c r="P113" s="85"/>
      <c r="Q113" s="85"/>
      <c r="R113" s="85"/>
      <c r="S113" s="85"/>
      <c r="T113" s="85"/>
      <c r="U113" s="85"/>
      <c r="V113" s="85"/>
      <c r="W113" s="85"/>
      <c r="X113" s="85"/>
      <c r="Y113" s="85"/>
      <c r="Z113" s="85"/>
      <c r="AA113" s="81"/>
    </row>
    <row r="114">
      <c r="A114" s="71"/>
      <c r="B114" s="72"/>
      <c r="C114" s="188" t="s">
        <v>486</v>
      </c>
      <c r="F114" s="75"/>
      <c r="G114" s="77"/>
      <c r="H114" s="78"/>
      <c r="I114" s="85"/>
      <c r="J114" s="85"/>
      <c r="K114" s="85"/>
      <c r="L114" s="85"/>
      <c r="M114" s="85"/>
      <c r="N114" s="85"/>
      <c r="O114" s="85"/>
      <c r="P114" s="85"/>
      <c r="Q114" s="85"/>
      <c r="R114" s="85"/>
      <c r="S114" s="85"/>
      <c r="T114" s="85"/>
      <c r="U114" s="85"/>
      <c r="V114" s="85"/>
      <c r="W114" s="85"/>
      <c r="X114" s="85"/>
      <c r="Y114" s="85"/>
      <c r="Z114" s="85"/>
      <c r="AA114" s="81"/>
    </row>
    <row r="115">
      <c r="A115" s="71"/>
      <c r="B115" s="72"/>
      <c r="C115" s="72"/>
      <c r="D115" s="72"/>
      <c r="E115" s="113" t="s">
        <v>214</v>
      </c>
      <c r="F115" s="115" t="str">
        <f>F56</f>
        <v>#</v>
      </c>
      <c r="G115" s="231" t="s">
        <v>38</v>
      </c>
      <c r="H115" s="191" t="str">
        <f t="shared" ref="H115:Z115" si="35">H56</f>
        <v>-</v>
      </c>
      <c r="I115" s="123">
        <f t="shared" si="35"/>
        <v>657.2987183</v>
      </c>
      <c r="J115" s="123">
        <f t="shared" si="35"/>
        <v>192.6746845</v>
      </c>
      <c r="K115" s="123">
        <f t="shared" si="35"/>
        <v>163.4836115</v>
      </c>
      <c r="L115" s="123">
        <f t="shared" si="35"/>
        <v>193.5565905</v>
      </c>
      <c r="M115" s="123">
        <f t="shared" si="35"/>
        <v>192.2194149</v>
      </c>
      <c r="N115" s="123">
        <f t="shared" si="35"/>
        <v>289.0264792</v>
      </c>
      <c r="O115" s="123">
        <f t="shared" si="35"/>
        <v>246.6668663</v>
      </c>
      <c r="P115" s="123">
        <f t="shared" si="35"/>
        <v>469.4612198</v>
      </c>
      <c r="Q115" s="123">
        <f t="shared" si="35"/>
        <v>316.7073189</v>
      </c>
      <c r="R115" s="123">
        <f t="shared" si="35"/>
        <v>268.1588581</v>
      </c>
      <c r="S115" s="123">
        <f t="shared" si="35"/>
        <v>603.516086</v>
      </c>
      <c r="T115" s="123">
        <f t="shared" si="35"/>
        <v>326.3923592</v>
      </c>
      <c r="U115" s="123">
        <f t="shared" si="35"/>
        <v>419.0243331</v>
      </c>
      <c r="V115" s="123">
        <f t="shared" si="35"/>
        <v>343.9975353</v>
      </c>
      <c r="W115" s="123">
        <f t="shared" si="35"/>
        <v>290.8287103</v>
      </c>
      <c r="X115" s="123">
        <f t="shared" si="35"/>
        <v>662.1759943</v>
      </c>
      <c r="Y115" s="123">
        <f t="shared" si="35"/>
        <v>289.3490724</v>
      </c>
      <c r="Z115" s="123">
        <f t="shared" si="35"/>
        <v>264.3733772</v>
      </c>
      <c r="AA115" s="332"/>
    </row>
    <row r="116">
      <c r="A116" s="71"/>
      <c r="B116" s="72"/>
      <c r="C116" s="72"/>
      <c r="D116" s="72"/>
      <c r="E116" s="119" t="s">
        <v>240</v>
      </c>
      <c r="F116" s="120" t="str">
        <f>F69</f>
        <v>#</v>
      </c>
      <c r="G116" s="168" t="s">
        <v>38</v>
      </c>
      <c r="H116" s="380" t="str">
        <f t="shared" ref="H116:Z116" si="36">H69</f>
        <v>-</v>
      </c>
      <c r="I116" s="383">
        <f t="shared" si="36"/>
        <v>58.9648955</v>
      </c>
      <c r="J116" s="383">
        <f t="shared" si="36"/>
        <v>16.9310606</v>
      </c>
      <c r="K116" s="383">
        <f t="shared" si="36"/>
        <v>7.569579933</v>
      </c>
      <c r="L116" s="383">
        <f t="shared" si="36"/>
        <v>8.962011944</v>
      </c>
      <c r="M116" s="383">
        <f t="shared" si="36"/>
        <v>8.900098345</v>
      </c>
      <c r="N116" s="383">
        <f t="shared" si="36"/>
        <v>13.38243643</v>
      </c>
      <c r="O116" s="383">
        <f t="shared" si="36"/>
        <v>49.25059921</v>
      </c>
      <c r="P116" s="383">
        <f t="shared" si="36"/>
        <v>17.46194043</v>
      </c>
      <c r="Q116" s="383">
        <f t="shared" si="36"/>
        <v>37.29211266</v>
      </c>
      <c r="R116" s="383">
        <f t="shared" si="36"/>
        <v>54.74260851</v>
      </c>
      <c r="S116" s="383">
        <f t="shared" si="36"/>
        <v>39.92847868</v>
      </c>
      <c r="T116" s="383">
        <f t="shared" si="36"/>
        <v>103.2847178</v>
      </c>
      <c r="U116" s="383">
        <f t="shared" si="36"/>
        <v>59.80544571</v>
      </c>
      <c r="V116" s="383">
        <f t="shared" si="36"/>
        <v>150.4070838</v>
      </c>
      <c r="W116" s="383">
        <f t="shared" si="36"/>
        <v>50.60034608</v>
      </c>
      <c r="X116" s="383">
        <f t="shared" si="36"/>
        <v>25.15546639</v>
      </c>
      <c r="Y116" s="383">
        <f t="shared" si="36"/>
        <v>81.27137126</v>
      </c>
      <c r="Z116" s="383">
        <f t="shared" si="36"/>
        <v>12.23808799</v>
      </c>
      <c r="AA116" s="689"/>
    </row>
    <row r="117">
      <c r="A117" s="71"/>
      <c r="B117" s="72"/>
      <c r="C117" s="72"/>
      <c r="D117" s="72"/>
      <c r="E117" s="171" t="s">
        <v>497</v>
      </c>
      <c r="F117" s="204" t="s">
        <v>88</v>
      </c>
      <c r="G117" s="303" t="s">
        <v>112</v>
      </c>
      <c r="H117" s="242" t="s">
        <v>124</v>
      </c>
      <c r="I117" s="182">
        <f t="shared" ref="I117:Z117" si="37">SUM(I80:I81)</f>
        <v>65139.58444</v>
      </c>
      <c r="J117" s="182">
        <f t="shared" si="37"/>
        <v>35682.29631</v>
      </c>
      <c r="K117" s="182">
        <f t="shared" si="37"/>
        <v>20247.48231</v>
      </c>
      <c r="L117" s="182">
        <f t="shared" si="37"/>
        <v>24672.70218</v>
      </c>
      <c r="M117" s="182">
        <f t="shared" si="37"/>
        <v>23300.15098</v>
      </c>
      <c r="N117" s="182">
        <f t="shared" si="37"/>
        <v>23127.68274</v>
      </c>
      <c r="O117" s="182">
        <f t="shared" si="37"/>
        <v>23738.49862</v>
      </c>
      <c r="P117" s="182">
        <f t="shared" si="37"/>
        <v>56145.08026</v>
      </c>
      <c r="Q117" s="182">
        <f t="shared" si="37"/>
        <v>58141.82224</v>
      </c>
      <c r="R117" s="182">
        <f t="shared" si="37"/>
        <v>52069.88981</v>
      </c>
      <c r="S117" s="182">
        <f t="shared" si="37"/>
        <v>100672.1294</v>
      </c>
      <c r="T117" s="182">
        <f t="shared" si="37"/>
        <v>71409.20976</v>
      </c>
      <c r="U117" s="182">
        <f t="shared" si="37"/>
        <v>83759.79009</v>
      </c>
      <c r="V117" s="182">
        <f t="shared" si="37"/>
        <v>121537.2001</v>
      </c>
      <c r="W117" s="182">
        <f t="shared" si="37"/>
        <v>59732.29895</v>
      </c>
      <c r="X117" s="182">
        <f t="shared" si="37"/>
        <v>81989.65421</v>
      </c>
      <c r="Y117" s="182">
        <f t="shared" si="37"/>
        <v>91566.47006</v>
      </c>
      <c r="Z117" s="182">
        <f t="shared" si="37"/>
        <v>21733.96639</v>
      </c>
      <c r="AA117" s="652"/>
    </row>
    <row r="118">
      <c r="A118" s="71"/>
      <c r="B118" s="72"/>
      <c r="C118" s="72"/>
      <c r="D118" s="72"/>
      <c r="E118" s="74"/>
      <c r="F118" s="75"/>
      <c r="G118" s="77"/>
      <c r="H118" s="78"/>
      <c r="I118" s="85"/>
      <c r="J118" s="85"/>
      <c r="K118" s="85"/>
      <c r="L118" s="85"/>
      <c r="M118" s="85"/>
      <c r="N118" s="85"/>
      <c r="O118" s="85"/>
      <c r="P118" s="85"/>
      <c r="Q118" s="85"/>
      <c r="R118" s="85"/>
      <c r="S118" s="85"/>
      <c r="T118" s="85"/>
      <c r="U118" s="85"/>
      <c r="V118" s="85"/>
      <c r="W118" s="85"/>
      <c r="X118" s="85"/>
      <c r="Y118" s="85"/>
      <c r="Z118" s="85"/>
      <c r="AA118" s="81"/>
    </row>
    <row r="119">
      <c r="A119" s="71"/>
      <c r="B119" s="72"/>
      <c r="C119" s="188" t="s">
        <v>505</v>
      </c>
      <c r="F119" s="75"/>
      <c r="G119" s="77"/>
      <c r="H119" s="78"/>
      <c r="I119" s="85"/>
      <c r="J119" s="85"/>
      <c r="K119" s="85"/>
      <c r="L119" s="85"/>
      <c r="M119" s="85"/>
      <c r="N119" s="85"/>
      <c r="O119" s="85"/>
      <c r="P119" s="85"/>
      <c r="Q119" s="85"/>
      <c r="R119" s="85"/>
      <c r="S119" s="85"/>
      <c r="T119" s="85"/>
      <c r="U119" s="85"/>
      <c r="V119" s="85"/>
      <c r="W119" s="85"/>
      <c r="X119" s="85"/>
      <c r="Y119" s="85"/>
      <c r="Z119" s="85"/>
      <c r="AA119" s="81"/>
    </row>
    <row r="120">
      <c r="A120" s="71"/>
      <c r="B120" s="72"/>
      <c r="C120" s="72"/>
      <c r="D120" s="72"/>
      <c r="E120" s="113" t="s">
        <v>416</v>
      </c>
      <c r="F120" s="115" t="str">
        <f>Inputs!F73</f>
        <v>UoV</v>
      </c>
      <c r="G120" s="231" t="str">
        <f>Inputs!G73</f>
        <v>input</v>
      </c>
      <c r="H120" s="694">
        <f>Inputs!H73</f>
        <v>116.25262</v>
      </c>
      <c r="I120" s="297" t="str">
        <f>Inputs!I73</f>
        <v>-</v>
      </c>
      <c r="J120" s="297" t="str">
        <f>Inputs!J73</f>
        <v>-</v>
      </c>
      <c r="K120" s="297" t="str">
        <f>Inputs!K73</f>
        <v>-</v>
      </c>
      <c r="L120" s="297" t="str">
        <f>Inputs!L73</f>
        <v>-</v>
      </c>
      <c r="M120" s="297" t="str">
        <f>Inputs!M73</f>
        <v>-</v>
      </c>
      <c r="N120" s="297" t="str">
        <f>Inputs!N73</f>
        <v>-</v>
      </c>
      <c r="O120" s="297" t="str">
        <f>Inputs!O73</f>
        <v>-</v>
      </c>
      <c r="P120" s="297" t="str">
        <f>Inputs!P73</f>
        <v>-</v>
      </c>
      <c r="Q120" s="297" t="str">
        <f>Inputs!Q73</f>
        <v>-</v>
      </c>
      <c r="R120" s="297" t="str">
        <f>Inputs!R73</f>
        <v>-</v>
      </c>
      <c r="S120" s="297" t="str">
        <f>Inputs!S73</f>
        <v>-</v>
      </c>
      <c r="T120" s="297" t="str">
        <f>Inputs!T73</f>
        <v>-</v>
      </c>
      <c r="U120" s="297" t="str">
        <f>Inputs!U73</f>
        <v>-</v>
      </c>
      <c r="V120" s="297" t="str">
        <f>Inputs!V73</f>
        <v>-</v>
      </c>
      <c r="W120" s="297" t="str">
        <f>Inputs!W73</f>
        <v>-</v>
      </c>
      <c r="X120" s="297" t="str">
        <f>Inputs!X73</f>
        <v>-</v>
      </c>
      <c r="Y120" s="297" t="str">
        <f>Inputs!Y73</f>
        <v>-</v>
      </c>
      <c r="Z120" s="297" t="str">
        <f>Inputs!Z73</f>
        <v>-</v>
      </c>
      <c r="AA120" s="140"/>
    </row>
    <row r="121">
      <c r="A121" s="71"/>
      <c r="B121" s="72"/>
      <c r="C121" s="72"/>
      <c r="D121" s="72"/>
      <c r="E121" s="119" t="s">
        <v>422</v>
      </c>
      <c r="F121" s="120" t="str">
        <f>Inputs!F74</f>
        <v>UoV</v>
      </c>
      <c r="G121" s="168" t="str">
        <f>Inputs!G74</f>
        <v>input</v>
      </c>
      <c r="H121" s="698">
        <f>Inputs!H74</f>
        <v>73.1914</v>
      </c>
      <c r="I121" s="699" t="str">
        <f>Inputs!I74</f>
        <v>-</v>
      </c>
      <c r="J121" s="699" t="str">
        <f>Inputs!J74</f>
        <v>-</v>
      </c>
      <c r="K121" s="699" t="str">
        <f>Inputs!K74</f>
        <v>-</v>
      </c>
      <c r="L121" s="699" t="str">
        <f>Inputs!L74</f>
        <v>-</v>
      </c>
      <c r="M121" s="699" t="str">
        <f>Inputs!M74</f>
        <v>-</v>
      </c>
      <c r="N121" s="699" t="str">
        <f>Inputs!N74</f>
        <v>-</v>
      </c>
      <c r="O121" s="699" t="str">
        <f>Inputs!O74</f>
        <v>-</v>
      </c>
      <c r="P121" s="699" t="str">
        <f>Inputs!P74</f>
        <v>-</v>
      </c>
      <c r="Q121" s="699" t="str">
        <f>Inputs!Q74</f>
        <v>-</v>
      </c>
      <c r="R121" s="699" t="str">
        <f>Inputs!R74</f>
        <v>-</v>
      </c>
      <c r="S121" s="699" t="str">
        <f>Inputs!S74</f>
        <v>-</v>
      </c>
      <c r="T121" s="699" t="str">
        <f>Inputs!T74</f>
        <v>-</v>
      </c>
      <c r="U121" s="699" t="str">
        <f>Inputs!U74</f>
        <v>-</v>
      </c>
      <c r="V121" s="699" t="str">
        <f>Inputs!V74</f>
        <v>-</v>
      </c>
      <c r="W121" s="699" t="str">
        <f>Inputs!W74</f>
        <v>-</v>
      </c>
      <c r="X121" s="699" t="str">
        <f>Inputs!X74</f>
        <v>-</v>
      </c>
      <c r="Y121" s="699" t="str">
        <f>Inputs!Y74</f>
        <v>-</v>
      </c>
      <c r="Z121" s="699" t="str">
        <f>Inputs!Z74</f>
        <v>-</v>
      </c>
      <c r="AA121" s="689"/>
    </row>
    <row r="122">
      <c r="A122" s="71"/>
      <c r="B122" s="72"/>
      <c r="C122" s="72"/>
      <c r="D122" s="72"/>
      <c r="E122" s="171" t="s">
        <v>521</v>
      </c>
      <c r="F122" s="204" t="s">
        <v>103</v>
      </c>
      <c r="G122" s="303" t="s">
        <v>112</v>
      </c>
      <c r="H122" s="705">
        <f>H92*H108</f>
        <v>0.2340341129</v>
      </c>
      <c r="I122" s="568" t="str">
        <f t="shared" ref="I122:Z122" si="38">I108</f>
        <v>-</v>
      </c>
      <c r="J122" s="568" t="str">
        <f t="shared" si="38"/>
        <v>-</v>
      </c>
      <c r="K122" s="568" t="str">
        <f t="shared" si="38"/>
        <v>-</v>
      </c>
      <c r="L122" s="568" t="str">
        <f t="shared" si="38"/>
        <v>-</v>
      </c>
      <c r="M122" s="568" t="str">
        <f t="shared" si="38"/>
        <v>-</v>
      </c>
      <c r="N122" s="568" t="str">
        <f t="shared" si="38"/>
        <v>-</v>
      </c>
      <c r="O122" s="568" t="str">
        <f t="shared" si="38"/>
        <v>-</v>
      </c>
      <c r="P122" s="568" t="str">
        <f t="shared" si="38"/>
        <v>-</v>
      </c>
      <c r="Q122" s="568" t="str">
        <f t="shared" si="38"/>
        <v>-</v>
      </c>
      <c r="R122" s="568" t="str">
        <f t="shared" si="38"/>
        <v>-</v>
      </c>
      <c r="S122" s="568" t="str">
        <f t="shared" si="38"/>
        <v>-</v>
      </c>
      <c r="T122" s="568" t="str">
        <f t="shared" si="38"/>
        <v>-</v>
      </c>
      <c r="U122" s="568" t="str">
        <f t="shared" si="38"/>
        <v>-</v>
      </c>
      <c r="V122" s="568" t="str">
        <f t="shared" si="38"/>
        <v>-</v>
      </c>
      <c r="W122" s="568" t="str">
        <f t="shared" si="38"/>
        <v>-</v>
      </c>
      <c r="X122" s="568" t="str">
        <f t="shared" si="38"/>
        <v>-</v>
      </c>
      <c r="Y122" s="568" t="str">
        <f t="shared" si="38"/>
        <v>-</v>
      </c>
      <c r="Z122" s="568" t="str">
        <f t="shared" si="38"/>
        <v>-</v>
      </c>
      <c r="AA122" s="652"/>
    </row>
    <row r="123">
      <c r="A123" s="71"/>
      <c r="B123" s="72"/>
      <c r="C123" s="72"/>
      <c r="D123" s="72"/>
      <c r="E123" s="74"/>
      <c r="F123" s="75"/>
      <c r="G123" s="77"/>
      <c r="H123" s="78"/>
      <c r="I123" s="85"/>
      <c r="J123" s="85"/>
      <c r="K123" s="85"/>
      <c r="L123" s="85"/>
      <c r="M123" s="85"/>
      <c r="N123" s="85"/>
      <c r="O123" s="85"/>
      <c r="P123" s="85"/>
      <c r="Q123" s="85"/>
      <c r="R123" s="85"/>
      <c r="S123" s="85"/>
      <c r="T123" s="85"/>
      <c r="U123" s="85"/>
      <c r="V123" s="85"/>
      <c r="W123" s="85"/>
      <c r="X123" s="85"/>
      <c r="Y123" s="85"/>
      <c r="Z123" s="85"/>
      <c r="AA123" s="81"/>
    </row>
    <row r="124">
      <c r="A124" s="71"/>
      <c r="B124" s="72"/>
      <c r="C124" s="188" t="s">
        <v>524</v>
      </c>
      <c r="F124" s="75"/>
      <c r="G124" s="77"/>
      <c r="H124" s="78"/>
      <c r="I124" s="85"/>
      <c r="J124" s="85"/>
      <c r="K124" s="85"/>
      <c r="L124" s="85"/>
      <c r="M124" s="85"/>
      <c r="N124" s="85"/>
      <c r="O124" s="85"/>
      <c r="P124" s="85"/>
      <c r="Q124" s="85"/>
      <c r="R124" s="85"/>
      <c r="S124" s="85"/>
      <c r="T124" s="85"/>
      <c r="U124" s="85"/>
      <c r="V124" s="85"/>
      <c r="W124" s="85"/>
      <c r="X124" s="85"/>
      <c r="Y124" s="85"/>
      <c r="Z124" s="85"/>
      <c r="AA124" s="81"/>
    </row>
    <row r="125">
      <c r="A125" s="71"/>
      <c r="B125" s="72"/>
      <c r="C125" s="72"/>
      <c r="D125" s="72"/>
      <c r="E125" s="113" t="s">
        <v>525</v>
      </c>
      <c r="F125" s="115" t="s">
        <v>103</v>
      </c>
      <c r="G125" s="231" t="s">
        <v>112</v>
      </c>
      <c r="H125" s="191" t="s">
        <v>124</v>
      </c>
      <c r="I125" s="123">
        <f t="shared" ref="I125:Z125" si="39">I115*$H120</f>
        <v>76412.69813</v>
      </c>
      <c r="J125" s="123">
        <f t="shared" si="39"/>
        <v>22398.93688</v>
      </c>
      <c r="K125" s="123">
        <f t="shared" si="39"/>
        <v>19005.39816</v>
      </c>
      <c r="L125" s="123">
        <f t="shared" si="39"/>
        <v>22501.46076</v>
      </c>
      <c r="M125" s="123">
        <f t="shared" si="39"/>
        <v>22346.0106</v>
      </c>
      <c r="N125" s="123">
        <f t="shared" si="39"/>
        <v>33600.08546</v>
      </c>
      <c r="O125" s="123">
        <f t="shared" si="39"/>
        <v>28675.66947</v>
      </c>
      <c r="P125" s="123">
        <f t="shared" si="39"/>
        <v>54576.09679</v>
      </c>
      <c r="Q125" s="123">
        <f t="shared" si="39"/>
        <v>36818.0556</v>
      </c>
      <c r="R125" s="123">
        <f t="shared" si="39"/>
        <v>31174.16983</v>
      </c>
      <c r="S125" s="123">
        <f t="shared" si="39"/>
        <v>70160.32621</v>
      </c>
      <c r="T125" s="123">
        <f t="shared" si="39"/>
        <v>37943.9669</v>
      </c>
      <c r="U125" s="123">
        <f t="shared" si="39"/>
        <v>48712.67656</v>
      </c>
      <c r="V125" s="123">
        <f t="shared" si="39"/>
        <v>39990.61476</v>
      </c>
      <c r="W125" s="123">
        <f t="shared" si="39"/>
        <v>33809.59954</v>
      </c>
      <c r="X125" s="123">
        <f t="shared" si="39"/>
        <v>76979.69424</v>
      </c>
      <c r="Y125" s="123">
        <f t="shared" si="39"/>
        <v>33637.58776</v>
      </c>
      <c r="Z125" s="123">
        <f t="shared" si="39"/>
        <v>30734.09776</v>
      </c>
      <c r="AA125" s="332"/>
    </row>
    <row r="126">
      <c r="A126" s="71"/>
      <c r="B126" s="72"/>
      <c r="C126" s="72"/>
      <c r="D126" s="72"/>
      <c r="E126" s="119" t="s">
        <v>526</v>
      </c>
      <c r="F126" s="120" t="s">
        <v>103</v>
      </c>
      <c r="G126" s="168" t="s">
        <v>112</v>
      </c>
      <c r="H126" s="380" t="s">
        <v>124</v>
      </c>
      <c r="I126" s="383">
        <f t="shared" ref="I126:Z126" si="40">I116*$H121</f>
        <v>4315.723253</v>
      </c>
      <c r="J126" s="383">
        <f t="shared" si="40"/>
        <v>1239.208029</v>
      </c>
      <c r="K126" s="383">
        <f t="shared" si="40"/>
        <v>554.0281527</v>
      </c>
      <c r="L126" s="383">
        <f t="shared" si="40"/>
        <v>655.942201</v>
      </c>
      <c r="M126" s="383">
        <f t="shared" si="40"/>
        <v>651.410658</v>
      </c>
      <c r="N126" s="383">
        <f t="shared" si="40"/>
        <v>979.4792579</v>
      </c>
      <c r="O126" s="383">
        <f t="shared" si="40"/>
        <v>3604.720307</v>
      </c>
      <c r="P126" s="383">
        <f t="shared" si="40"/>
        <v>1278.063867</v>
      </c>
      <c r="Q126" s="383">
        <f t="shared" si="40"/>
        <v>2729.461935</v>
      </c>
      <c r="R126" s="383">
        <f t="shared" si="40"/>
        <v>4006.688156</v>
      </c>
      <c r="S126" s="383">
        <f t="shared" si="40"/>
        <v>2922.421254</v>
      </c>
      <c r="T126" s="383">
        <f t="shared" si="40"/>
        <v>7559.553091</v>
      </c>
      <c r="U126" s="383">
        <f t="shared" si="40"/>
        <v>4377.244299</v>
      </c>
      <c r="V126" s="383">
        <f t="shared" si="40"/>
        <v>11008.50503</v>
      </c>
      <c r="W126" s="383">
        <f t="shared" si="40"/>
        <v>3703.51017</v>
      </c>
      <c r="X126" s="383">
        <f t="shared" si="40"/>
        <v>1841.163803</v>
      </c>
      <c r="Y126" s="383">
        <f t="shared" si="40"/>
        <v>5948.365443</v>
      </c>
      <c r="Z126" s="383">
        <f t="shared" si="40"/>
        <v>895.7227935</v>
      </c>
      <c r="AA126" s="689"/>
    </row>
    <row r="127">
      <c r="A127" s="71"/>
      <c r="B127" s="72"/>
      <c r="C127" s="72"/>
      <c r="D127" s="72"/>
      <c r="E127" s="171" t="s">
        <v>528</v>
      </c>
      <c r="F127" s="204" t="s">
        <v>103</v>
      </c>
      <c r="G127" s="303" t="s">
        <v>112</v>
      </c>
      <c r="H127" s="242" t="s">
        <v>124</v>
      </c>
      <c r="I127" s="182">
        <f t="shared" ref="I127:Z127" si="41">I117*$H122</f>
        <v>15244.88486</v>
      </c>
      <c r="J127" s="182">
        <f t="shared" si="41"/>
        <v>8350.874561</v>
      </c>
      <c r="K127" s="182">
        <f t="shared" si="41"/>
        <v>4738.60156</v>
      </c>
      <c r="L127" s="182">
        <f t="shared" si="41"/>
        <v>5774.253966</v>
      </c>
      <c r="M127" s="182">
        <f t="shared" si="41"/>
        <v>5453.030163</v>
      </c>
      <c r="N127" s="182">
        <f t="shared" si="41"/>
        <v>5412.666713</v>
      </c>
      <c r="O127" s="182">
        <f t="shared" si="41"/>
        <v>5555.618466</v>
      </c>
      <c r="P127" s="182">
        <f t="shared" si="41"/>
        <v>13139.86405</v>
      </c>
      <c r="Q127" s="182">
        <f t="shared" si="41"/>
        <v>13607.16979</v>
      </c>
      <c r="R127" s="182">
        <f t="shared" si="41"/>
        <v>12186.13047</v>
      </c>
      <c r="S127" s="182">
        <f t="shared" si="41"/>
        <v>23560.71249</v>
      </c>
      <c r="T127" s="182">
        <f t="shared" si="41"/>
        <v>16712.19106</v>
      </c>
      <c r="U127" s="182">
        <f t="shared" si="41"/>
        <v>19602.64817</v>
      </c>
      <c r="V127" s="182">
        <f t="shared" si="41"/>
        <v>28443.85081</v>
      </c>
      <c r="W127" s="182">
        <f t="shared" si="41"/>
        <v>13979.39559</v>
      </c>
      <c r="X127" s="182">
        <f t="shared" si="41"/>
        <v>19188.37599</v>
      </c>
      <c r="Y127" s="182">
        <f t="shared" si="41"/>
        <v>21429.67759</v>
      </c>
      <c r="Z127" s="182">
        <f t="shared" si="41"/>
        <v>5086.489543</v>
      </c>
      <c r="AA127" s="652"/>
    </row>
    <row r="128">
      <c r="A128" s="71"/>
      <c r="B128" s="72"/>
      <c r="C128" s="72"/>
      <c r="D128" s="72"/>
      <c r="E128" s="74"/>
      <c r="F128" s="75"/>
      <c r="G128" s="77"/>
      <c r="H128" s="78"/>
      <c r="I128" s="85"/>
      <c r="J128" s="85"/>
      <c r="K128" s="85"/>
      <c r="L128" s="85"/>
      <c r="M128" s="85"/>
      <c r="N128" s="85"/>
      <c r="O128" s="85"/>
      <c r="P128" s="85"/>
      <c r="Q128" s="85"/>
      <c r="R128" s="85"/>
      <c r="S128" s="85"/>
      <c r="T128" s="85"/>
      <c r="U128" s="85"/>
      <c r="V128" s="85"/>
      <c r="W128" s="85"/>
      <c r="X128" s="85"/>
      <c r="Y128" s="85"/>
      <c r="Z128" s="85"/>
      <c r="AA128" s="81"/>
    </row>
    <row r="129">
      <c r="A129" s="71"/>
      <c r="B129" s="72"/>
      <c r="C129" s="188" t="s">
        <v>529</v>
      </c>
      <c r="F129" s="75"/>
      <c r="G129" s="77"/>
      <c r="H129" s="78"/>
      <c r="I129" s="85"/>
      <c r="J129" s="85"/>
      <c r="K129" s="85"/>
      <c r="L129" s="85"/>
      <c r="M129" s="85"/>
      <c r="N129" s="85"/>
      <c r="O129" s="85"/>
      <c r="P129" s="85"/>
      <c r="Q129" s="85"/>
      <c r="R129" s="85"/>
      <c r="S129" s="85"/>
      <c r="T129" s="85"/>
      <c r="U129" s="85"/>
      <c r="V129" s="85"/>
      <c r="W129" s="85"/>
      <c r="X129" s="85"/>
      <c r="Y129" s="85"/>
      <c r="Z129" s="85"/>
      <c r="AA129" s="81"/>
    </row>
    <row r="130">
      <c r="A130" s="71"/>
      <c r="B130" s="72"/>
      <c r="C130" s="72"/>
      <c r="D130" s="72"/>
      <c r="E130" s="113" t="s">
        <v>129</v>
      </c>
      <c r="F130" s="115" t="str">
        <f>F19</f>
        <v>$</v>
      </c>
      <c r="G130" s="231" t="s">
        <v>38</v>
      </c>
      <c r="H130" s="191" t="str">
        <f t="shared" ref="H130:Z130" si="42">H19</f>
        <v>-</v>
      </c>
      <c r="I130" s="457">
        <f t="shared" si="42"/>
        <v>1000000</v>
      </c>
      <c r="J130" s="457">
        <f t="shared" si="42"/>
        <v>1000000</v>
      </c>
      <c r="K130" s="457">
        <f t="shared" si="42"/>
        <v>1000000</v>
      </c>
      <c r="L130" s="457">
        <f t="shared" si="42"/>
        <v>1000000</v>
      </c>
      <c r="M130" s="457">
        <f t="shared" si="42"/>
        <v>1000000</v>
      </c>
      <c r="N130" s="457">
        <f t="shared" si="42"/>
        <v>1000000</v>
      </c>
      <c r="O130" s="457">
        <f t="shared" si="42"/>
        <v>1000000</v>
      </c>
      <c r="P130" s="457">
        <f t="shared" si="42"/>
        <v>1000000</v>
      </c>
      <c r="Q130" s="457">
        <f t="shared" si="42"/>
        <v>1000000</v>
      </c>
      <c r="R130" s="457">
        <f t="shared" si="42"/>
        <v>1000000</v>
      </c>
      <c r="S130" s="457">
        <f t="shared" si="42"/>
        <v>1000000</v>
      </c>
      <c r="T130" s="457">
        <f t="shared" si="42"/>
        <v>1000000</v>
      </c>
      <c r="U130" s="457">
        <f t="shared" si="42"/>
        <v>1000000</v>
      </c>
      <c r="V130" s="457">
        <f t="shared" si="42"/>
        <v>1000000</v>
      </c>
      <c r="W130" s="457">
        <f t="shared" si="42"/>
        <v>1000000</v>
      </c>
      <c r="X130" s="457">
        <f t="shared" si="42"/>
        <v>1000000</v>
      </c>
      <c r="Y130" s="457">
        <f t="shared" si="42"/>
        <v>1000000</v>
      </c>
      <c r="Z130" s="457">
        <f t="shared" si="42"/>
        <v>1000000</v>
      </c>
      <c r="AA130" s="140"/>
    </row>
    <row r="131">
      <c r="A131" s="71"/>
      <c r="B131" s="72"/>
      <c r="C131" s="72"/>
      <c r="D131" s="72"/>
      <c r="E131" s="136" t="s">
        <v>531</v>
      </c>
      <c r="F131" s="139" t="s">
        <v>103</v>
      </c>
      <c r="G131" s="377" t="s">
        <v>112</v>
      </c>
      <c r="H131" s="233" t="s">
        <v>124</v>
      </c>
      <c r="I131" s="145">
        <f t="shared" ref="I131:Z131" si="43">SUM(I125:I127)</f>
        <v>95973.30624</v>
      </c>
      <c r="J131" s="145">
        <f t="shared" si="43"/>
        <v>31989.01947</v>
      </c>
      <c r="K131" s="145">
        <f t="shared" si="43"/>
        <v>24298.02787</v>
      </c>
      <c r="L131" s="145">
        <f t="shared" si="43"/>
        <v>28931.65693</v>
      </c>
      <c r="M131" s="145">
        <f t="shared" si="43"/>
        <v>28450.45142</v>
      </c>
      <c r="N131" s="145">
        <f t="shared" si="43"/>
        <v>39992.23143</v>
      </c>
      <c r="O131" s="145">
        <f t="shared" si="43"/>
        <v>37836.00824</v>
      </c>
      <c r="P131" s="145">
        <f t="shared" si="43"/>
        <v>68994.02471</v>
      </c>
      <c r="Q131" s="145">
        <f t="shared" si="43"/>
        <v>53154.68732</v>
      </c>
      <c r="R131" s="145">
        <f t="shared" si="43"/>
        <v>47366.98846</v>
      </c>
      <c r="S131" s="145">
        <f t="shared" si="43"/>
        <v>96643.45995</v>
      </c>
      <c r="T131" s="145">
        <f t="shared" si="43"/>
        <v>62215.71105</v>
      </c>
      <c r="U131" s="145">
        <f t="shared" si="43"/>
        <v>72692.56903</v>
      </c>
      <c r="V131" s="145">
        <f t="shared" si="43"/>
        <v>79442.97059</v>
      </c>
      <c r="W131" s="145">
        <f t="shared" si="43"/>
        <v>51492.50531</v>
      </c>
      <c r="X131" s="145">
        <f t="shared" si="43"/>
        <v>98009.23403</v>
      </c>
      <c r="Y131" s="145">
        <f t="shared" si="43"/>
        <v>61015.63079</v>
      </c>
      <c r="Z131" s="145">
        <f t="shared" si="43"/>
        <v>36716.3101</v>
      </c>
      <c r="AA131" s="710"/>
    </row>
    <row r="132">
      <c r="A132" s="71"/>
      <c r="B132" s="72"/>
      <c r="C132" s="72"/>
      <c r="D132" s="72"/>
      <c r="E132" s="496" t="s">
        <v>194</v>
      </c>
      <c r="F132" s="497" t="s">
        <v>103</v>
      </c>
      <c r="G132" s="498" t="s">
        <v>112</v>
      </c>
      <c r="H132" s="499" t="s">
        <v>124</v>
      </c>
      <c r="I132" s="711">
        <f t="shared" ref="I132:Z132" si="44">I131/I130</f>
        <v>0.09597330624</v>
      </c>
      <c r="J132" s="711">
        <f t="shared" si="44"/>
        <v>0.03198901947</v>
      </c>
      <c r="K132" s="711">
        <f t="shared" si="44"/>
        <v>0.02429802787</v>
      </c>
      <c r="L132" s="711">
        <f t="shared" si="44"/>
        <v>0.02893165693</v>
      </c>
      <c r="M132" s="711">
        <f t="shared" si="44"/>
        <v>0.02845045142</v>
      </c>
      <c r="N132" s="711">
        <f t="shared" si="44"/>
        <v>0.03999223143</v>
      </c>
      <c r="O132" s="711">
        <f t="shared" si="44"/>
        <v>0.03783600824</v>
      </c>
      <c r="P132" s="711">
        <f t="shared" si="44"/>
        <v>0.06899402471</v>
      </c>
      <c r="Q132" s="711">
        <f t="shared" si="44"/>
        <v>0.05315468732</v>
      </c>
      <c r="R132" s="711">
        <f t="shared" si="44"/>
        <v>0.04736698846</v>
      </c>
      <c r="S132" s="711">
        <f t="shared" si="44"/>
        <v>0.09664345995</v>
      </c>
      <c r="T132" s="711">
        <f t="shared" si="44"/>
        <v>0.06221571105</v>
      </c>
      <c r="U132" s="711">
        <f t="shared" si="44"/>
        <v>0.07269256903</v>
      </c>
      <c r="V132" s="711">
        <f t="shared" si="44"/>
        <v>0.07944297059</v>
      </c>
      <c r="W132" s="711">
        <f t="shared" si="44"/>
        <v>0.05149250531</v>
      </c>
      <c r="X132" s="711">
        <f t="shared" si="44"/>
        <v>0.09800923403</v>
      </c>
      <c r="Y132" s="711">
        <f t="shared" si="44"/>
        <v>0.06101563079</v>
      </c>
      <c r="Z132" s="711">
        <f t="shared" si="44"/>
        <v>0.0367163101</v>
      </c>
      <c r="AA132" s="507"/>
    </row>
    <row r="133">
      <c r="A133" s="71"/>
      <c r="B133" s="72"/>
      <c r="C133" s="72"/>
      <c r="D133" s="72"/>
      <c r="E133" s="496" t="s">
        <v>438</v>
      </c>
      <c r="F133" s="497" t="str">
        <f>Inputs!F81</f>
        <v>UoV</v>
      </c>
      <c r="G133" s="498" t="str">
        <f>Inputs!G81</f>
        <v>input</v>
      </c>
      <c r="H133" s="720">
        <f>Inputs!H81</f>
        <v>0.00333</v>
      </c>
      <c r="I133" s="721" t="str">
        <f>Inputs!I81</f>
        <v>-</v>
      </c>
      <c r="J133" s="721" t="str">
        <f>Inputs!J81</f>
        <v>-</v>
      </c>
      <c r="K133" s="721" t="str">
        <f>Inputs!K81</f>
        <v>-</v>
      </c>
      <c r="L133" s="721" t="str">
        <f>Inputs!L81</f>
        <v>-</v>
      </c>
      <c r="M133" s="721" t="str">
        <f>Inputs!M81</f>
        <v>-</v>
      </c>
      <c r="N133" s="721" t="str">
        <f>Inputs!N81</f>
        <v>-</v>
      </c>
      <c r="O133" s="721" t="str">
        <f>Inputs!O81</f>
        <v>-</v>
      </c>
      <c r="P133" s="721" t="str">
        <f>Inputs!P81</f>
        <v>-</v>
      </c>
      <c r="Q133" s="721" t="str">
        <f>Inputs!Q81</f>
        <v>-</v>
      </c>
      <c r="R133" s="721" t="str">
        <f>Inputs!R81</f>
        <v>-</v>
      </c>
      <c r="S133" s="721" t="str">
        <f>Inputs!S81</f>
        <v>-</v>
      </c>
      <c r="T133" s="721" t="str">
        <f>Inputs!T81</f>
        <v>-</v>
      </c>
      <c r="U133" s="721" t="str">
        <f>Inputs!U81</f>
        <v>-</v>
      </c>
      <c r="V133" s="721" t="str">
        <f>Inputs!V81</f>
        <v>-</v>
      </c>
      <c r="W133" s="721" t="str">
        <f>Inputs!W81</f>
        <v>-</v>
      </c>
      <c r="X133" s="721" t="str">
        <f>Inputs!X81</f>
        <v>-</v>
      </c>
      <c r="Y133" s="721" t="str">
        <f>Inputs!Y81</f>
        <v>-</v>
      </c>
      <c r="Z133" s="721" t="str">
        <f>Inputs!Z81</f>
        <v>-</v>
      </c>
      <c r="AA133" s="507"/>
    </row>
    <row r="134">
      <c r="A134" s="71"/>
      <c r="B134" s="72"/>
      <c r="C134" s="72"/>
      <c r="D134" s="72"/>
      <c r="E134" s="171" t="s">
        <v>536</v>
      </c>
      <c r="F134" s="722" t="s">
        <v>105</v>
      </c>
      <c r="G134" s="303" t="s">
        <v>112</v>
      </c>
      <c r="H134" s="242" t="s">
        <v>124</v>
      </c>
      <c r="I134" s="723">
        <f t="shared" ref="I134:Z134" si="45">I132/$H133</f>
        <v>28.82081268</v>
      </c>
      <c r="J134" s="723">
        <f t="shared" si="45"/>
        <v>9.606312154</v>
      </c>
      <c r="K134" s="723">
        <f t="shared" si="45"/>
        <v>7.296705067</v>
      </c>
      <c r="L134" s="723">
        <f t="shared" si="45"/>
        <v>8.688185264</v>
      </c>
      <c r="M134" s="723">
        <f t="shared" si="45"/>
        <v>8.543679106</v>
      </c>
      <c r="N134" s="723">
        <f t="shared" si="45"/>
        <v>12.00967911</v>
      </c>
      <c r="O134" s="723">
        <f t="shared" si="45"/>
        <v>11.36216464</v>
      </c>
      <c r="P134" s="723">
        <f t="shared" si="45"/>
        <v>20.71892634</v>
      </c>
      <c r="Q134" s="723">
        <f t="shared" si="45"/>
        <v>15.96236857</v>
      </c>
      <c r="R134" s="723">
        <f t="shared" si="45"/>
        <v>14.22432086</v>
      </c>
      <c r="S134" s="723">
        <f t="shared" si="45"/>
        <v>29.02206005</v>
      </c>
      <c r="T134" s="723">
        <f t="shared" si="45"/>
        <v>18.68339671</v>
      </c>
      <c r="U134" s="723">
        <f t="shared" si="45"/>
        <v>21.82960031</v>
      </c>
      <c r="V134" s="723">
        <f t="shared" si="45"/>
        <v>23.85674793</v>
      </c>
      <c r="W134" s="723">
        <f t="shared" si="45"/>
        <v>15.46321481</v>
      </c>
      <c r="X134" s="723">
        <f t="shared" si="45"/>
        <v>29.43220241</v>
      </c>
      <c r="Y134" s="723">
        <f t="shared" si="45"/>
        <v>18.32301225</v>
      </c>
      <c r="Z134" s="723">
        <f t="shared" si="45"/>
        <v>11.02591895</v>
      </c>
      <c r="AA134" s="652"/>
    </row>
    <row r="135">
      <c r="A135" s="71"/>
      <c r="B135" s="72"/>
      <c r="C135" s="72"/>
      <c r="D135" s="72"/>
      <c r="E135" s="74"/>
      <c r="F135" s="75"/>
      <c r="G135" s="77"/>
      <c r="H135" s="78"/>
      <c r="I135" s="85"/>
      <c r="J135" s="85"/>
      <c r="K135" s="85"/>
      <c r="L135" s="85"/>
      <c r="M135" s="85"/>
      <c r="N135" s="85"/>
      <c r="O135" s="85"/>
      <c r="P135" s="85"/>
      <c r="Q135" s="85"/>
      <c r="R135" s="85"/>
      <c r="S135" s="85"/>
      <c r="T135" s="85"/>
      <c r="U135" s="85"/>
      <c r="V135" s="85"/>
      <c r="W135" s="85"/>
      <c r="X135" s="85"/>
      <c r="Y135" s="85"/>
      <c r="Z135" s="85"/>
      <c r="AA135" s="81"/>
    </row>
    <row r="136">
      <c r="A136" s="71"/>
      <c r="B136" s="72"/>
      <c r="C136" s="188" t="s">
        <v>538</v>
      </c>
      <c r="F136" s="120"/>
      <c r="G136" s="77"/>
      <c r="H136" s="78"/>
      <c r="I136" s="85"/>
      <c r="J136" s="85"/>
      <c r="K136" s="85"/>
      <c r="L136" s="85"/>
      <c r="M136" s="85"/>
      <c r="N136" s="85"/>
      <c r="O136" s="85"/>
      <c r="P136" s="85"/>
      <c r="Q136" s="85"/>
      <c r="R136" s="85"/>
      <c r="S136" s="85"/>
      <c r="T136" s="85"/>
      <c r="U136" s="85"/>
      <c r="V136" s="85"/>
      <c r="W136" s="85"/>
      <c r="X136" s="85"/>
      <c r="Y136" s="85"/>
      <c r="Z136" s="85"/>
      <c r="AA136" s="81"/>
    </row>
    <row r="137">
      <c r="A137" s="71"/>
      <c r="B137" s="72"/>
      <c r="C137" s="188"/>
      <c r="D137" s="72"/>
      <c r="E137" s="113" t="s">
        <v>539</v>
      </c>
      <c r="F137" s="115" t="s">
        <v>99</v>
      </c>
      <c r="G137" s="231" t="s">
        <v>112</v>
      </c>
      <c r="H137" s="191" t="s">
        <v>124</v>
      </c>
      <c r="I137" s="132">
        <f t="shared" ref="I137:Z137" si="46">I125/I131</f>
        <v>0.7961869933</v>
      </c>
      <c r="J137" s="132">
        <f t="shared" si="46"/>
        <v>0.7002070477</v>
      </c>
      <c r="K137" s="132">
        <f t="shared" si="46"/>
        <v>0.7821786303</v>
      </c>
      <c r="L137" s="132">
        <f t="shared" si="46"/>
        <v>0.7777453195</v>
      </c>
      <c r="M137" s="132">
        <f t="shared" si="46"/>
        <v>0.7854360646</v>
      </c>
      <c r="N137" s="132">
        <f t="shared" si="46"/>
        <v>0.8401653086</v>
      </c>
      <c r="O137" s="132">
        <f t="shared" si="46"/>
        <v>0.7578936257</v>
      </c>
      <c r="P137" s="132">
        <f t="shared" si="46"/>
        <v>0.7910264262</v>
      </c>
      <c r="Q137" s="132">
        <f t="shared" si="46"/>
        <v>0.6926586808</v>
      </c>
      <c r="R137" s="132">
        <f t="shared" si="46"/>
        <v>0.6581412677</v>
      </c>
      <c r="S137" s="132">
        <f t="shared" si="46"/>
        <v>0.7259707614</v>
      </c>
      <c r="T137" s="132">
        <f t="shared" si="46"/>
        <v>0.6098775737</v>
      </c>
      <c r="U137" s="132">
        <f t="shared" si="46"/>
        <v>0.6701190674</v>
      </c>
      <c r="V137" s="132">
        <f t="shared" si="46"/>
        <v>0.5033877064</v>
      </c>
      <c r="W137" s="132">
        <f t="shared" si="46"/>
        <v>0.6565926311</v>
      </c>
      <c r="X137" s="132">
        <f t="shared" si="46"/>
        <v>0.7854330768</v>
      </c>
      <c r="Y137" s="132">
        <f t="shared" si="46"/>
        <v>0.5512945998</v>
      </c>
      <c r="Z137" s="132">
        <f t="shared" si="46"/>
        <v>0.8370693482</v>
      </c>
      <c r="AA137" s="140"/>
    </row>
    <row r="138">
      <c r="A138" s="71"/>
      <c r="B138" s="72"/>
      <c r="C138" s="188"/>
      <c r="D138" s="72"/>
      <c r="E138" s="119" t="s">
        <v>540</v>
      </c>
      <c r="F138" s="120" t="s">
        <v>99</v>
      </c>
      <c r="G138" s="168" t="s">
        <v>112</v>
      </c>
      <c r="H138" s="380" t="s">
        <v>124</v>
      </c>
      <c r="I138" s="624">
        <f t="shared" ref="I138:Z138" si="47">I126/I131</f>
        <v>0.04496795434</v>
      </c>
      <c r="J138" s="624">
        <f t="shared" si="47"/>
        <v>0.03873854371</v>
      </c>
      <c r="K138" s="624">
        <f t="shared" si="47"/>
        <v>0.02280136296</v>
      </c>
      <c r="L138" s="624">
        <f t="shared" si="47"/>
        <v>0.02267212703</v>
      </c>
      <c r="M138" s="624">
        <f t="shared" si="47"/>
        <v>0.02289632064</v>
      </c>
      <c r="N138" s="624">
        <f t="shared" si="47"/>
        <v>0.02449173809</v>
      </c>
      <c r="O138" s="624">
        <f t="shared" si="47"/>
        <v>0.09527221486</v>
      </c>
      <c r="P138" s="624">
        <f t="shared" si="47"/>
        <v>0.01852426891</v>
      </c>
      <c r="Q138" s="624">
        <f t="shared" si="47"/>
        <v>0.05134941192</v>
      </c>
      <c r="R138" s="624">
        <f t="shared" si="47"/>
        <v>0.08458819712</v>
      </c>
      <c r="S138" s="624">
        <f t="shared" si="47"/>
        <v>0.03023920352</v>
      </c>
      <c r="T138" s="624">
        <f t="shared" si="47"/>
        <v>0.1215055323</v>
      </c>
      <c r="U138" s="624">
        <f t="shared" si="47"/>
        <v>0.06021584265</v>
      </c>
      <c r="V138" s="624">
        <f t="shared" si="47"/>
        <v>0.1385711656</v>
      </c>
      <c r="W138" s="624">
        <f t="shared" si="47"/>
        <v>0.07192328569</v>
      </c>
      <c r="X138" s="624">
        <f t="shared" si="47"/>
        <v>0.01878561567</v>
      </c>
      <c r="Y138" s="624">
        <f t="shared" si="47"/>
        <v>0.09748920671</v>
      </c>
      <c r="Z138" s="624">
        <f t="shared" si="47"/>
        <v>0.02439577374</v>
      </c>
      <c r="AA138" s="310"/>
    </row>
    <row r="139">
      <c r="A139" s="71"/>
      <c r="B139" s="72"/>
      <c r="C139" s="188"/>
      <c r="D139" s="72"/>
      <c r="E139" s="171" t="s">
        <v>541</v>
      </c>
      <c r="F139" s="204" t="s">
        <v>99</v>
      </c>
      <c r="G139" s="303" t="s">
        <v>112</v>
      </c>
      <c r="H139" s="242" t="s">
        <v>124</v>
      </c>
      <c r="I139" s="162">
        <f t="shared" ref="I139:Z139" si="48">I127/I131</f>
        <v>0.1588450524</v>
      </c>
      <c r="J139" s="162">
        <f t="shared" si="48"/>
        <v>0.2610544086</v>
      </c>
      <c r="K139" s="162">
        <f t="shared" si="48"/>
        <v>0.1950200068</v>
      </c>
      <c r="L139" s="162">
        <f t="shared" si="48"/>
        <v>0.1995825535</v>
      </c>
      <c r="M139" s="162">
        <f t="shared" si="48"/>
        <v>0.1916676148</v>
      </c>
      <c r="N139" s="162">
        <f t="shared" si="48"/>
        <v>0.1353429533</v>
      </c>
      <c r="O139" s="162">
        <f t="shared" si="48"/>
        <v>0.1468341594</v>
      </c>
      <c r="P139" s="162">
        <f t="shared" si="48"/>
        <v>0.1904493049</v>
      </c>
      <c r="Q139" s="162">
        <f t="shared" si="48"/>
        <v>0.2559919073</v>
      </c>
      <c r="R139" s="162">
        <f t="shared" si="48"/>
        <v>0.2572705351</v>
      </c>
      <c r="S139" s="162">
        <f t="shared" si="48"/>
        <v>0.2437900351</v>
      </c>
      <c r="T139" s="162">
        <f t="shared" si="48"/>
        <v>0.2686168939</v>
      </c>
      <c r="U139" s="162">
        <f t="shared" si="48"/>
        <v>0.26966509</v>
      </c>
      <c r="V139" s="162">
        <f t="shared" si="48"/>
        <v>0.358041128</v>
      </c>
      <c r="W139" s="162">
        <f t="shared" si="48"/>
        <v>0.2714840832</v>
      </c>
      <c r="X139" s="162">
        <f t="shared" si="48"/>
        <v>0.1957813075</v>
      </c>
      <c r="Y139" s="162">
        <f t="shared" si="48"/>
        <v>0.3512161935</v>
      </c>
      <c r="Z139" s="162">
        <f t="shared" si="48"/>
        <v>0.1385348781</v>
      </c>
      <c r="AA139" s="167"/>
    </row>
    <row r="140">
      <c r="A140" s="71"/>
      <c r="B140" s="72"/>
      <c r="C140" s="188"/>
      <c r="D140" s="72"/>
      <c r="E140" s="74"/>
      <c r="F140" s="75"/>
      <c r="G140" s="77"/>
      <c r="H140" s="78"/>
      <c r="I140" s="85"/>
      <c r="J140" s="85"/>
      <c r="K140" s="85"/>
      <c r="L140" s="85"/>
      <c r="M140" s="85"/>
      <c r="N140" s="85"/>
      <c r="O140" s="85"/>
      <c r="P140" s="85"/>
      <c r="Q140" s="85"/>
      <c r="R140" s="85"/>
      <c r="S140" s="85"/>
      <c r="T140" s="85"/>
      <c r="U140" s="85"/>
      <c r="V140" s="85"/>
      <c r="W140" s="85"/>
      <c r="X140" s="85"/>
      <c r="Y140" s="85"/>
      <c r="Z140" s="85"/>
      <c r="AA140" s="81"/>
    </row>
    <row r="141">
      <c r="A141" s="71"/>
      <c r="B141" s="72"/>
      <c r="C141" s="188" t="s">
        <v>544</v>
      </c>
      <c r="F141" s="75"/>
      <c r="G141" s="77"/>
      <c r="H141" s="78"/>
      <c r="I141" s="85"/>
      <c r="J141" s="85"/>
      <c r="K141" s="85"/>
      <c r="L141" s="85"/>
      <c r="M141" s="85"/>
      <c r="N141" s="85"/>
      <c r="O141" s="85"/>
      <c r="P141" s="85"/>
      <c r="Q141" s="85"/>
      <c r="R141" s="85"/>
      <c r="S141" s="85"/>
      <c r="T141" s="85"/>
      <c r="U141" s="85"/>
      <c r="V141" s="85"/>
      <c r="W141" s="85"/>
      <c r="X141" s="85"/>
      <c r="Y141" s="85"/>
      <c r="Z141" s="85"/>
      <c r="AA141" s="81"/>
    </row>
    <row r="142">
      <c r="A142" s="71"/>
      <c r="B142" s="72"/>
      <c r="C142" s="72"/>
      <c r="D142" s="72"/>
      <c r="E142" s="113" t="s">
        <v>129</v>
      </c>
      <c r="F142" s="733" t="str">
        <f>F19</f>
        <v>$</v>
      </c>
      <c r="G142" s="734" t="s">
        <v>38</v>
      </c>
      <c r="H142" s="131" t="str">
        <f t="shared" ref="H142:Z142" si="49">H19</f>
        <v>-</v>
      </c>
      <c r="I142" s="457">
        <f t="shared" si="49"/>
        <v>1000000</v>
      </c>
      <c r="J142" s="457">
        <f t="shared" si="49"/>
        <v>1000000</v>
      </c>
      <c r="K142" s="457">
        <f t="shared" si="49"/>
        <v>1000000</v>
      </c>
      <c r="L142" s="457">
        <f t="shared" si="49"/>
        <v>1000000</v>
      </c>
      <c r="M142" s="457">
        <f t="shared" si="49"/>
        <v>1000000</v>
      </c>
      <c r="N142" s="457">
        <f t="shared" si="49"/>
        <v>1000000</v>
      </c>
      <c r="O142" s="457">
        <f t="shared" si="49"/>
        <v>1000000</v>
      </c>
      <c r="P142" s="457">
        <f t="shared" si="49"/>
        <v>1000000</v>
      </c>
      <c r="Q142" s="457">
        <f t="shared" si="49"/>
        <v>1000000</v>
      </c>
      <c r="R142" s="457">
        <f t="shared" si="49"/>
        <v>1000000</v>
      </c>
      <c r="S142" s="457">
        <f t="shared" si="49"/>
        <v>1000000</v>
      </c>
      <c r="T142" s="457">
        <f t="shared" si="49"/>
        <v>1000000</v>
      </c>
      <c r="U142" s="457">
        <f t="shared" si="49"/>
        <v>1000000</v>
      </c>
      <c r="V142" s="457">
        <f t="shared" si="49"/>
        <v>1000000</v>
      </c>
      <c r="W142" s="457">
        <f t="shared" si="49"/>
        <v>1000000</v>
      </c>
      <c r="X142" s="457">
        <f t="shared" si="49"/>
        <v>1000000</v>
      </c>
      <c r="Y142" s="457">
        <f t="shared" si="49"/>
        <v>1000000</v>
      </c>
      <c r="Z142" s="457">
        <f t="shared" si="49"/>
        <v>1000000</v>
      </c>
      <c r="AA142" s="140"/>
    </row>
    <row r="143">
      <c r="A143" s="71"/>
      <c r="B143" s="72"/>
      <c r="C143" s="72"/>
      <c r="D143" s="72"/>
      <c r="E143" s="136" t="s">
        <v>212</v>
      </c>
      <c r="F143" s="139" t="s">
        <v>88</v>
      </c>
      <c r="G143" s="377" t="s">
        <v>112</v>
      </c>
      <c r="H143" s="233" t="s">
        <v>124</v>
      </c>
      <c r="I143" s="145">
        <f t="shared" ref="I143:Z143" si="50">SUM(I115:I116)</f>
        <v>716.2636138</v>
      </c>
      <c r="J143" s="145">
        <f t="shared" si="50"/>
        <v>209.6057451</v>
      </c>
      <c r="K143" s="145">
        <f t="shared" si="50"/>
        <v>171.0531914</v>
      </c>
      <c r="L143" s="145">
        <f t="shared" si="50"/>
        <v>202.5186024</v>
      </c>
      <c r="M143" s="145">
        <f t="shared" si="50"/>
        <v>201.1195133</v>
      </c>
      <c r="N143" s="145">
        <f t="shared" si="50"/>
        <v>302.4089157</v>
      </c>
      <c r="O143" s="145">
        <f t="shared" si="50"/>
        <v>295.9174655</v>
      </c>
      <c r="P143" s="145">
        <f t="shared" si="50"/>
        <v>486.9231603</v>
      </c>
      <c r="Q143" s="145">
        <f t="shared" si="50"/>
        <v>353.9994316</v>
      </c>
      <c r="R143" s="145">
        <f t="shared" si="50"/>
        <v>322.9014666</v>
      </c>
      <c r="S143" s="145">
        <f t="shared" si="50"/>
        <v>643.4445646</v>
      </c>
      <c r="T143" s="145">
        <f t="shared" si="50"/>
        <v>429.6770769</v>
      </c>
      <c r="U143" s="145">
        <f t="shared" si="50"/>
        <v>478.8297788</v>
      </c>
      <c r="V143" s="145">
        <f t="shared" si="50"/>
        <v>494.4046191</v>
      </c>
      <c r="W143" s="145">
        <f t="shared" si="50"/>
        <v>341.4290564</v>
      </c>
      <c r="X143" s="145">
        <f t="shared" si="50"/>
        <v>687.3314607</v>
      </c>
      <c r="Y143" s="145">
        <f t="shared" si="50"/>
        <v>370.6204436</v>
      </c>
      <c r="Z143" s="145">
        <f t="shared" si="50"/>
        <v>276.6114652</v>
      </c>
      <c r="AA143" s="710"/>
    </row>
    <row r="144">
      <c r="A144" s="71"/>
      <c r="B144" s="72"/>
      <c r="C144" s="72"/>
      <c r="D144" s="72"/>
      <c r="E144" s="171" t="s">
        <v>544</v>
      </c>
      <c r="F144" s="204" t="s">
        <v>95</v>
      </c>
      <c r="G144" s="303" t="s">
        <v>112</v>
      </c>
      <c r="H144" s="242" t="s">
        <v>124</v>
      </c>
      <c r="I144" s="738">
        <f t="shared" ref="I144:Z144" si="51">I142/I143</f>
        <v>1396.134022</v>
      </c>
      <c r="J144" s="738">
        <f t="shared" si="51"/>
        <v>4770.861598</v>
      </c>
      <c r="K144" s="738">
        <f t="shared" si="51"/>
        <v>5846.134713</v>
      </c>
      <c r="L144" s="738">
        <f t="shared" si="51"/>
        <v>4937.817998</v>
      </c>
      <c r="M144" s="738">
        <f t="shared" si="51"/>
        <v>4972.16796</v>
      </c>
      <c r="N144" s="738">
        <f t="shared" si="51"/>
        <v>3306.780813</v>
      </c>
      <c r="O144" s="738">
        <f t="shared" si="51"/>
        <v>3379.320644</v>
      </c>
      <c r="P144" s="738">
        <f t="shared" si="51"/>
        <v>2053.712129</v>
      </c>
      <c r="Q144" s="738">
        <f t="shared" si="51"/>
        <v>2824.863293</v>
      </c>
      <c r="R144" s="738">
        <f t="shared" si="51"/>
        <v>3096.919969</v>
      </c>
      <c r="S144" s="738">
        <f t="shared" si="51"/>
        <v>1554.135438</v>
      </c>
      <c r="T144" s="738">
        <f t="shared" si="51"/>
        <v>2327.329182</v>
      </c>
      <c r="U144" s="738">
        <f t="shared" si="51"/>
        <v>2088.424831</v>
      </c>
      <c r="V144" s="738">
        <f t="shared" si="51"/>
        <v>2022.634824</v>
      </c>
      <c r="W144" s="738">
        <f t="shared" si="51"/>
        <v>2928.866133</v>
      </c>
      <c r="X144" s="738">
        <f t="shared" si="51"/>
        <v>1454.902121</v>
      </c>
      <c r="Y144" s="738">
        <f t="shared" si="51"/>
        <v>2698.178196</v>
      </c>
      <c r="Z144" s="738">
        <f t="shared" si="51"/>
        <v>3615.179144</v>
      </c>
      <c r="AA144" s="167"/>
    </row>
    <row r="145">
      <c r="A145" s="71"/>
      <c r="B145" s="72"/>
      <c r="C145" s="72"/>
      <c r="D145" s="72"/>
      <c r="E145" s="74"/>
      <c r="F145" s="75"/>
      <c r="G145" s="77"/>
      <c r="H145" s="78"/>
      <c r="I145" s="85"/>
      <c r="J145" s="85"/>
      <c r="K145" s="85"/>
      <c r="L145" s="85"/>
      <c r="M145" s="85"/>
      <c r="N145" s="85"/>
      <c r="O145" s="85"/>
      <c r="P145" s="85"/>
      <c r="Q145" s="85"/>
      <c r="R145" s="85"/>
      <c r="S145" s="85"/>
      <c r="T145" s="85"/>
      <c r="U145" s="85"/>
      <c r="V145" s="85"/>
      <c r="W145" s="85"/>
      <c r="X145" s="85"/>
      <c r="Y145" s="85"/>
      <c r="Z145" s="85"/>
      <c r="AA145" s="81"/>
    </row>
    <row r="146">
      <c r="A146" s="66" t="s">
        <v>446</v>
      </c>
      <c r="B146" s="17"/>
      <c r="C146" s="17"/>
      <c r="D146" s="17"/>
      <c r="E146" s="17"/>
      <c r="F146" s="17"/>
      <c r="G146" s="17"/>
      <c r="H146" s="67"/>
      <c r="I146" s="91"/>
      <c r="J146" s="91"/>
      <c r="K146" s="91"/>
      <c r="L146" s="91"/>
      <c r="M146" s="91"/>
      <c r="N146" s="91"/>
      <c r="O146" s="91"/>
      <c r="P146" s="91"/>
      <c r="Q146" s="91"/>
      <c r="R146" s="91"/>
      <c r="S146" s="91"/>
      <c r="T146" s="91"/>
      <c r="U146" s="91"/>
      <c r="V146" s="91"/>
      <c r="W146" s="91"/>
      <c r="X146" s="91"/>
      <c r="Y146" s="91"/>
      <c r="Z146" s="91"/>
      <c r="AA146" s="69"/>
    </row>
    <row r="147">
      <c r="A147" s="71"/>
      <c r="B147" s="72"/>
      <c r="C147" s="72"/>
      <c r="D147" s="72"/>
      <c r="E147" s="74"/>
      <c r="F147" s="75"/>
      <c r="G147" s="77"/>
      <c r="H147" s="78"/>
      <c r="I147" s="624"/>
      <c r="J147" s="624"/>
      <c r="K147" s="624"/>
      <c r="L147" s="624"/>
      <c r="M147" s="624"/>
      <c r="N147" s="624"/>
      <c r="O147" s="624"/>
      <c r="P147" s="624"/>
      <c r="Q147" s="624"/>
      <c r="R147" s="624"/>
      <c r="S147" s="624"/>
      <c r="T147" s="624"/>
      <c r="U147" s="624"/>
      <c r="V147" s="624"/>
      <c r="W147" s="624"/>
      <c r="X147" s="624"/>
      <c r="Y147" s="624"/>
      <c r="Z147" s="624"/>
      <c r="AA147" s="81"/>
    </row>
    <row r="148">
      <c r="A148" s="71"/>
      <c r="B148" s="72"/>
      <c r="C148" s="188" t="s">
        <v>449</v>
      </c>
      <c r="F148" s="75"/>
      <c r="G148" s="77"/>
      <c r="H148" s="78"/>
      <c r="I148" s="624"/>
      <c r="J148" s="624"/>
      <c r="K148" s="624"/>
      <c r="L148" s="624"/>
      <c r="M148" s="624"/>
      <c r="N148" s="624"/>
      <c r="O148" s="624"/>
      <c r="P148" s="624"/>
      <c r="Q148" s="624"/>
      <c r="R148" s="624"/>
      <c r="S148" s="624"/>
      <c r="T148" s="624"/>
      <c r="U148" s="624"/>
      <c r="V148" s="624"/>
      <c r="W148" s="624"/>
      <c r="X148" s="624"/>
      <c r="Y148" s="624"/>
      <c r="Z148" s="624"/>
      <c r="AA148" s="81"/>
    </row>
    <row r="149">
      <c r="A149" s="71"/>
      <c r="B149" s="72"/>
      <c r="C149" s="72"/>
      <c r="D149" s="663" t="s">
        <v>452</v>
      </c>
      <c r="E149" s="100"/>
      <c r="F149" s="664"/>
      <c r="G149" s="376"/>
      <c r="H149" s="131"/>
      <c r="I149" s="280"/>
      <c r="J149" s="280"/>
      <c r="K149" s="280"/>
      <c r="L149" s="280"/>
      <c r="M149" s="280"/>
      <c r="N149" s="280"/>
      <c r="O149" s="280"/>
      <c r="P149" s="280"/>
      <c r="Q149" s="280"/>
      <c r="R149" s="280"/>
      <c r="S149" s="280"/>
      <c r="T149" s="280"/>
      <c r="U149" s="280"/>
      <c r="V149" s="280"/>
      <c r="W149" s="280"/>
      <c r="X149" s="280"/>
      <c r="Y149" s="280"/>
      <c r="Z149" s="280"/>
      <c r="AA149" s="408"/>
    </row>
    <row r="150">
      <c r="A150" s="71"/>
      <c r="B150" s="72"/>
      <c r="C150" s="72"/>
      <c r="D150" s="72"/>
      <c r="E150" s="113" t="s">
        <v>456</v>
      </c>
      <c r="F150" s="115" t="str">
        <f>Inputs!F87</f>
        <v>%</v>
      </c>
      <c r="G150" s="231" t="str">
        <f>Inputs!G87</f>
        <v>input</v>
      </c>
      <c r="H150" s="296">
        <f>Inputs!H87</f>
        <v>0</v>
      </c>
      <c r="I150" s="135" t="str">
        <f>Inputs!I87</f>
        <v>-</v>
      </c>
      <c r="J150" s="135" t="str">
        <f>Inputs!J87</f>
        <v>-</v>
      </c>
      <c r="K150" s="135" t="str">
        <f>Inputs!K87</f>
        <v>-</v>
      </c>
      <c r="L150" s="135" t="str">
        <f>Inputs!L87</f>
        <v>-</v>
      </c>
      <c r="M150" s="135" t="str">
        <f>Inputs!M87</f>
        <v>-</v>
      </c>
      <c r="N150" s="135" t="str">
        <f>Inputs!N87</f>
        <v>-</v>
      </c>
      <c r="O150" s="135" t="str">
        <f>Inputs!O87</f>
        <v>-</v>
      </c>
      <c r="P150" s="135" t="str">
        <f>Inputs!P87</f>
        <v>-</v>
      </c>
      <c r="Q150" s="135" t="str">
        <f>Inputs!Q87</f>
        <v>-</v>
      </c>
      <c r="R150" s="135" t="str">
        <f>Inputs!R87</f>
        <v>-</v>
      </c>
      <c r="S150" s="135" t="str">
        <f>Inputs!S87</f>
        <v>-</v>
      </c>
      <c r="T150" s="135" t="str">
        <f>Inputs!T87</f>
        <v>-</v>
      </c>
      <c r="U150" s="135" t="str">
        <f>Inputs!U87</f>
        <v>-</v>
      </c>
      <c r="V150" s="135" t="str">
        <f>Inputs!V87</f>
        <v>-</v>
      </c>
      <c r="W150" s="135" t="str">
        <f>Inputs!W87</f>
        <v>-</v>
      </c>
      <c r="X150" s="135" t="str">
        <f>Inputs!X87</f>
        <v>-</v>
      </c>
      <c r="Y150" s="135" t="str">
        <f>Inputs!Y87</f>
        <v>-</v>
      </c>
      <c r="Z150" s="135" t="str">
        <f>Inputs!Z87</f>
        <v>-</v>
      </c>
      <c r="AA150" s="140"/>
    </row>
    <row r="151">
      <c r="A151" s="71"/>
      <c r="B151" s="72"/>
      <c r="C151" s="72"/>
      <c r="D151" s="72"/>
      <c r="E151" s="113" t="s">
        <v>459</v>
      </c>
      <c r="F151" s="139" t="str">
        <f>Inputs!F88</f>
        <v>%</v>
      </c>
      <c r="G151" s="377" t="str">
        <f>Inputs!G88</f>
        <v>input</v>
      </c>
      <c r="H151" s="414">
        <f>Inputs!H88</f>
        <v>0</v>
      </c>
      <c r="I151" s="337" t="str">
        <f>Inputs!I88</f>
        <v>-</v>
      </c>
      <c r="J151" s="337" t="str">
        <f>Inputs!J88</f>
        <v>-</v>
      </c>
      <c r="K151" s="337" t="str">
        <f>Inputs!K88</f>
        <v>-</v>
      </c>
      <c r="L151" s="337" t="str">
        <f>Inputs!L88</f>
        <v>-</v>
      </c>
      <c r="M151" s="337" t="str">
        <f>Inputs!M88</f>
        <v>-</v>
      </c>
      <c r="N151" s="337" t="str">
        <f>Inputs!N88</f>
        <v>-</v>
      </c>
      <c r="O151" s="337" t="str">
        <f>Inputs!O88</f>
        <v>-</v>
      </c>
      <c r="P151" s="337" t="str">
        <f>Inputs!P88</f>
        <v>-</v>
      </c>
      <c r="Q151" s="337" t="str">
        <f>Inputs!Q88</f>
        <v>-</v>
      </c>
      <c r="R151" s="337" t="str">
        <f>Inputs!R88</f>
        <v>-</v>
      </c>
      <c r="S151" s="337" t="str">
        <f>Inputs!S88</f>
        <v>-</v>
      </c>
      <c r="T151" s="337" t="str">
        <f>Inputs!T88</f>
        <v>-</v>
      </c>
      <c r="U151" s="337" t="str">
        <f>Inputs!U88</f>
        <v>-</v>
      </c>
      <c r="V151" s="337" t="str">
        <f>Inputs!V88</f>
        <v>-</v>
      </c>
      <c r="W151" s="337" t="str">
        <f>Inputs!W88</f>
        <v>-</v>
      </c>
      <c r="X151" s="337" t="str">
        <f>Inputs!X88</f>
        <v>-</v>
      </c>
      <c r="Y151" s="337" t="str">
        <f>Inputs!Y88</f>
        <v>-</v>
      </c>
      <c r="Z151" s="337" t="str">
        <f>Inputs!Z88</f>
        <v>-</v>
      </c>
      <c r="AA151" s="154"/>
    </row>
    <row r="152">
      <c r="A152" s="71"/>
      <c r="B152" s="72"/>
      <c r="C152" s="72"/>
      <c r="D152" s="72"/>
      <c r="E152" s="113" t="s">
        <v>462</v>
      </c>
      <c r="F152" s="139" t="str">
        <f>Inputs!F89</f>
        <v>%</v>
      </c>
      <c r="G152" s="377" t="str">
        <f>Inputs!G89</f>
        <v>input</v>
      </c>
      <c r="H152" s="414">
        <f>Inputs!H89</f>
        <v>0</v>
      </c>
      <c r="I152" s="337" t="str">
        <f>Inputs!I89</f>
        <v>-</v>
      </c>
      <c r="J152" s="337" t="str">
        <f>Inputs!J89</f>
        <v>-</v>
      </c>
      <c r="K152" s="337" t="str">
        <f>Inputs!K89</f>
        <v>-</v>
      </c>
      <c r="L152" s="337" t="str">
        <f>Inputs!L89</f>
        <v>-</v>
      </c>
      <c r="M152" s="337" t="str">
        <f>Inputs!M89</f>
        <v>-</v>
      </c>
      <c r="N152" s="337" t="str">
        <f>Inputs!N89</f>
        <v>-</v>
      </c>
      <c r="O152" s="337" t="str">
        <f>Inputs!O89</f>
        <v>-</v>
      </c>
      <c r="P152" s="337" t="str">
        <f>Inputs!P89</f>
        <v>-</v>
      </c>
      <c r="Q152" s="337" t="str">
        <f>Inputs!Q89</f>
        <v>-</v>
      </c>
      <c r="R152" s="337" t="str">
        <f>Inputs!R89</f>
        <v>-</v>
      </c>
      <c r="S152" s="337" t="str">
        <f>Inputs!S89</f>
        <v>-</v>
      </c>
      <c r="T152" s="337" t="str">
        <f>Inputs!T89</f>
        <v>-</v>
      </c>
      <c r="U152" s="337" t="str">
        <f>Inputs!U89</f>
        <v>-</v>
      </c>
      <c r="V152" s="337" t="str">
        <f>Inputs!V89</f>
        <v>-</v>
      </c>
      <c r="W152" s="337" t="str">
        <f>Inputs!W89</f>
        <v>-</v>
      </c>
      <c r="X152" s="337" t="str">
        <f>Inputs!X89</f>
        <v>-</v>
      </c>
      <c r="Y152" s="337" t="str">
        <f>Inputs!Y89</f>
        <v>-</v>
      </c>
      <c r="Z152" s="337" t="str">
        <f>Inputs!Z89</f>
        <v>-</v>
      </c>
      <c r="AA152" s="154"/>
    </row>
    <row r="153">
      <c r="A153" s="71"/>
      <c r="B153" s="72"/>
      <c r="C153" s="72"/>
      <c r="D153" s="663" t="s">
        <v>464</v>
      </c>
      <c r="E153" s="100"/>
      <c r="F153" s="748"/>
      <c r="G153" s="381"/>
      <c r="H153" s="414"/>
      <c r="I153" s="150"/>
      <c r="J153" s="150"/>
      <c r="K153" s="150"/>
      <c r="L153" s="150"/>
      <c r="M153" s="150"/>
      <c r="N153" s="150"/>
      <c r="O153" s="150"/>
      <c r="P153" s="150"/>
      <c r="Q153" s="150"/>
      <c r="R153" s="150"/>
      <c r="S153" s="150"/>
      <c r="T153" s="150"/>
      <c r="U153" s="150"/>
      <c r="V153" s="150"/>
      <c r="W153" s="150"/>
      <c r="X153" s="150"/>
      <c r="Y153" s="150"/>
      <c r="Z153" s="150"/>
      <c r="AA153" s="426"/>
    </row>
    <row r="154">
      <c r="A154" s="71"/>
      <c r="B154" s="72"/>
      <c r="C154" s="72"/>
      <c r="D154" s="72"/>
      <c r="E154" s="113" t="s">
        <v>466</v>
      </c>
      <c r="F154" s="139" t="str">
        <f>Inputs!F91</f>
        <v>%</v>
      </c>
      <c r="G154" s="377" t="str">
        <f>Inputs!G91</f>
        <v>input</v>
      </c>
      <c r="H154" s="414">
        <f>Inputs!H91</f>
        <v>0</v>
      </c>
      <c r="I154" s="337" t="str">
        <f>Inputs!I91</f>
        <v>-</v>
      </c>
      <c r="J154" s="337" t="str">
        <f>Inputs!J91</f>
        <v>-</v>
      </c>
      <c r="K154" s="337" t="str">
        <f>Inputs!K91</f>
        <v>-</v>
      </c>
      <c r="L154" s="337" t="str">
        <f>Inputs!L91</f>
        <v>-</v>
      </c>
      <c r="M154" s="337" t="str">
        <f>Inputs!M91</f>
        <v>-</v>
      </c>
      <c r="N154" s="337" t="str">
        <f>Inputs!N91</f>
        <v>-</v>
      </c>
      <c r="O154" s="337" t="str">
        <f>Inputs!O91</f>
        <v>-</v>
      </c>
      <c r="P154" s="337" t="str">
        <f>Inputs!P91</f>
        <v>-</v>
      </c>
      <c r="Q154" s="337" t="str">
        <f>Inputs!Q91</f>
        <v>-</v>
      </c>
      <c r="R154" s="337" t="str">
        <f>Inputs!R91</f>
        <v>-</v>
      </c>
      <c r="S154" s="337" t="str">
        <f>Inputs!S91</f>
        <v>-</v>
      </c>
      <c r="T154" s="337" t="str">
        <f>Inputs!T91</f>
        <v>-</v>
      </c>
      <c r="U154" s="337" t="str">
        <f>Inputs!U91</f>
        <v>-</v>
      </c>
      <c r="V154" s="337" t="str">
        <f>Inputs!V91</f>
        <v>-</v>
      </c>
      <c r="W154" s="337" t="str">
        <f>Inputs!W91</f>
        <v>-</v>
      </c>
      <c r="X154" s="337" t="str">
        <f>Inputs!X91</f>
        <v>-</v>
      </c>
      <c r="Y154" s="337" t="str">
        <f>Inputs!Y91</f>
        <v>-</v>
      </c>
      <c r="Z154" s="337" t="str">
        <f>Inputs!Z91</f>
        <v>-</v>
      </c>
      <c r="AA154" s="154"/>
    </row>
    <row r="155">
      <c r="A155" s="71"/>
      <c r="B155" s="72"/>
      <c r="C155" s="72"/>
      <c r="D155" s="72"/>
      <c r="E155" s="113" t="s">
        <v>470</v>
      </c>
      <c r="F155" s="139" t="str">
        <f>Inputs!F92</f>
        <v>%</v>
      </c>
      <c r="G155" s="377" t="str">
        <f>Inputs!G92</f>
        <v>input</v>
      </c>
      <c r="H155" s="414">
        <f>Inputs!H92</f>
        <v>-0.02</v>
      </c>
      <c r="I155" s="337" t="str">
        <f>Inputs!I92</f>
        <v>-</v>
      </c>
      <c r="J155" s="337" t="str">
        <f>Inputs!J92</f>
        <v>-</v>
      </c>
      <c r="K155" s="337" t="str">
        <f>Inputs!K92</f>
        <v>-</v>
      </c>
      <c r="L155" s="337" t="str">
        <f>Inputs!L92</f>
        <v>-</v>
      </c>
      <c r="M155" s="337" t="str">
        <f>Inputs!M92</f>
        <v>-</v>
      </c>
      <c r="N155" s="337" t="str">
        <f>Inputs!N92</f>
        <v>-</v>
      </c>
      <c r="O155" s="337" t="str">
        <f>Inputs!O92</f>
        <v>-</v>
      </c>
      <c r="P155" s="337" t="str">
        <f>Inputs!P92</f>
        <v>-</v>
      </c>
      <c r="Q155" s="337" t="str">
        <f>Inputs!Q92</f>
        <v>-</v>
      </c>
      <c r="R155" s="337" t="str">
        <f>Inputs!R92</f>
        <v>-</v>
      </c>
      <c r="S155" s="337" t="str">
        <f>Inputs!S92</f>
        <v>-</v>
      </c>
      <c r="T155" s="337" t="str">
        <f>Inputs!T92</f>
        <v>-</v>
      </c>
      <c r="U155" s="337" t="str">
        <f>Inputs!U92</f>
        <v>-</v>
      </c>
      <c r="V155" s="337" t="str">
        <f>Inputs!V92</f>
        <v>-</v>
      </c>
      <c r="W155" s="337" t="str">
        <f>Inputs!W92</f>
        <v>-</v>
      </c>
      <c r="X155" s="337" t="str">
        <f>Inputs!X92</f>
        <v>-</v>
      </c>
      <c r="Y155" s="337" t="str">
        <f>Inputs!Y92</f>
        <v>-</v>
      </c>
      <c r="Z155" s="337" t="str">
        <f>Inputs!Z92</f>
        <v>-</v>
      </c>
      <c r="AA155" s="154"/>
    </row>
    <row r="156">
      <c r="A156" s="71"/>
      <c r="B156" s="72"/>
      <c r="C156" s="72"/>
      <c r="D156" s="663" t="s">
        <v>472</v>
      </c>
      <c r="E156" s="100"/>
      <c r="F156" s="748"/>
      <c r="G156" s="381"/>
      <c r="H156" s="414"/>
      <c r="I156" s="150"/>
      <c r="J156" s="150"/>
      <c r="K156" s="150"/>
      <c r="L156" s="150"/>
      <c r="M156" s="150"/>
      <c r="N156" s="150"/>
      <c r="O156" s="150"/>
      <c r="P156" s="150"/>
      <c r="Q156" s="150"/>
      <c r="R156" s="150"/>
      <c r="S156" s="150"/>
      <c r="T156" s="150"/>
      <c r="U156" s="150"/>
      <c r="V156" s="150"/>
      <c r="W156" s="150"/>
      <c r="X156" s="150"/>
      <c r="Y156" s="150"/>
      <c r="Z156" s="150"/>
      <c r="AA156" s="426"/>
    </row>
    <row r="157">
      <c r="A157" s="71"/>
      <c r="B157" s="72"/>
      <c r="C157" s="72"/>
      <c r="D157" s="72"/>
      <c r="E157" s="113" t="s">
        <v>475</v>
      </c>
      <c r="F157" s="139" t="str">
        <f>Inputs!F94</f>
        <v>%</v>
      </c>
      <c r="G157" s="377" t="str">
        <f>Inputs!G94</f>
        <v>input</v>
      </c>
      <c r="H157" s="414">
        <f>Inputs!H94</f>
        <v>-0.01</v>
      </c>
      <c r="I157" s="337" t="str">
        <f>Inputs!I94</f>
        <v>-</v>
      </c>
      <c r="J157" s="337" t="str">
        <f>Inputs!J94</f>
        <v>-</v>
      </c>
      <c r="K157" s="337" t="str">
        <f>Inputs!K94</f>
        <v>-</v>
      </c>
      <c r="L157" s="337" t="str">
        <f>Inputs!L94</f>
        <v>-</v>
      </c>
      <c r="M157" s="337" t="str">
        <f>Inputs!M94</f>
        <v>-</v>
      </c>
      <c r="N157" s="337" t="str">
        <f>Inputs!N94</f>
        <v>-</v>
      </c>
      <c r="O157" s="337" t="str">
        <f>Inputs!O94</f>
        <v>-</v>
      </c>
      <c r="P157" s="337" t="str">
        <f>Inputs!P94</f>
        <v>-</v>
      </c>
      <c r="Q157" s="337" t="str">
        <f>Inputs!Q94</f>
        <v>-</v>
      </c>
      <c r="R157" s="337" t="str">
        <f>Inputs!R94</f>
        <v>-</v>
      </c>
      <c r="S157" s="337" t="str">
        <f>Inputs!S94</f>
        <v>-</v>
      </c>
      <c r="T157" s="337" t="str">
        <f>Inputs!T94</f>
        <v>-</v>
      </c>
      <c r="U157" s="337" t="str">
        <f>Inputs!U94</f>
        <v>-</v>
      </c>
      <c r="V157" s="337" t="str">
        <f>Inputs!V94</f>
        <v>-</v>
      </c>
      <c r="W157" s="337" t="str">
        <f>Inputs!W94</f>
        <v>-</v>
      </c>
      <c r="X157" s="337" t="str">
        <f>Inputs!X94</f>
        <v>-</v>
      </c>
      <c r="Y157" s="337" t="str">
        <f>Inputs!Y94</f>
        <v>-</v>
      </c>
      <c r="Z157" s="337" t="str">
        <f>Inputs!Z94</f>
        <v>-</v>
      </c>
      <c r="AA157" s="154"/>
    </row>
    <row r="158">
      <c r="A158" s="71"/>
      <c r="B158" s="72"/>
      <c r="C158" s="72"/>
      <c r="D158" s="72"/>
      <c r="E158" s="113" t="s">
        <v>476</v>
      </c>
      <c r="F158" s="139" t="str">
        <f>Inputs!F95</f>
        <v>%</v>
      </c>
      <c r="G158" s="377" t="str">
        <f>Inputs!G95</f>
        <v>input</v>
      </c>
      <c r="H158" s="414">
        <f>Inputs!H95</f>
        <v>0</v>
      </c>
      <c r="I158" s="337" t="str">
        <f>Inputs!I95</f>
        <v>-</v>
      </c>
      <c r="J158" s="337" t="str">
        <f>Inputs!J95</f>
        <v>-</v>
      </c>
      <c r="K158" s="337" t="str">
        <f>Inputs!K95</f>
        <v>-</v>
      </c>
      <c r="L158" s="337" t="str">
        <f>Inputs!L95</f>
        <v>-</v>
      </c>
      <c r="M158" s="337" t="str">
        <f>Inputs!M95</f>
        <v>-</v>
      </c>
      <c r="N158" s="337" t="str">
        <f>Inputs!N95</f>
        <v>-</v>
      </c>
      <c r="O158" s="337" t="str">
        <f>Inputs!O95</f>
        <v>-</v>
      </c>
      <c r="P158" s="337" t="str">
        <f>Inputs!P95</f>
        <v>-</v>
      </c>
      <c r="Q158" s="337" t="str">
        <f>Inputs!Q95</f>
        <v>-</v>
      </c>
      <c r="R158" s="337" t="str">
        <f>Inputs!R95</f>
        <v>-</v>
      </c>
      <c r="S158" s="337" t="str">
        <f>Inputs!S95</f>
        <v>-</v>
      </c>
      <c r="T158" s="337" t="str">
        <f>Inputs!T95</f>
        <v>-</v>
      </c>
      <c r="U158" s="337" t="str">
        <f>Inputs!U95</f>
        <v>-</v>
      </c>
      <c r="V158" s="337" t="str">
        <f>Inputs!V95</f>
        <v>-</v>
      </c>
      <c r="W158" s="337" t="str">
        <f>Inputs!W95</f>
        <v>-</v>
      </c>
      <c r="X158" s="337" t="str">
        <f>Inputs!X95</f>
        <v>-</v>
      </c>
      <c r="Y158" s="337" t="str">
        <f>Inputs!Y95</f>
        <v>-</v>
      </c>
      <c r="Z158" s="337" t="str">
        <f>Inputs!Z95</f>
        <v>-</v>
      </c>
      <c r="AA158" s="154"/>
    </row>
    <row r="159">
      <c r="A159" s="71"/>
      <c r="B159" s="72"/>
      <c r="C159" s="72"/>
      <c r="D159" s="72"/>
      <c r="E159" s="113" t="s">
        <v>481</v>
      </c>
      <c r="F159" s="139" t="str">
        <f>Inputs!F96</f>
        <v>%</v>
      </c>
      <c r="G159" s="377" t="str">
        <f>Inputs!G96</f>
        <v>input</v>
      </c>
      <c r="H159" s="414">
        <f>Inputs!H96</f>
        <v>-0.05</v>
      </c>
      <c r="I159" s="337" t="str">
        <f>Inputs!I96</f>
        <v>-</v>
      </c>
      <c r="J159" s="337" t="str">
        <f>Inputs!J96</f>
        <v>-</v>
      </c>
      <c r="K159" s="337" t="str">
        <f>Inputs!K96</f>
        <v>-</v>
      </c>
      <c r="L159" s="337" t="str">
        <f>Inputs!L96</f>
        <v>-</v>
      </c>
      <c r="M159" s="337" t="str">
        <f>Inputs!M96</f>
        <v>-</v>
      </c>
      <c r="N159" s="337" t="str">
        <f>Inputs!N96</f>
        <v>-</v>
      </c>
      <c r="O159" s="337" t="str">
        <f>Inputs!O96</f>
        <v>-</v>
      </c>
      <c r="P159" s="337" t="str">
        <f>Inputs!P96</f>
        <v>-</v>
      </c>
      <c r="Q159" s="337" t="str">
        <f>Inputs!Q96</f>
        <v>-</v>
      </c>
      <c r="R159" s="337" t="str">
        <f>Inputs!R96</f>
        <v>-</v>
      </c>
      <c r="S159" s="337" t="str">
        <f>Inputs!S96</f>
        <v>-</v>
      </c>
      <c r="T159" s="337" t="str">
        <f>Inputs!T96</f>
        <v>-</v>
      </c>
      <c r="U159" s="337" t="str">
        <f>Inputs!U96</f>
        <v>-</v>
      </c>
      <c r="V159" s="337" t="str">
        <f>Inputs!V96</f>
        <v>-</v>
      </c>
      <c r="W159" s="337" t="str">
        <f>Inputs!W96</f>
        <v>-</v>
      </c>
      <c r="X159" s="337" t="str">
        <f>Inputs!X96</f>
        <v>-</v>
      </c>
      <c r="Y159" s="337" t="str">
        <f>Inputs!Y96</f>
        <v>-</v>
      </c>
      <c r="Z159" s="337" t="str">
        <f>Inputs!Z96</f>
        <v>-</v>
      </c>
      <c r="AA159" s="154"/>
    </row>
    <row r="160">
      <c r="A160" s="71"/>
      <c r="B160" s="72"/>
      <c r="C160" s="72"/>
      <c r="D160" s="680"/>
      <c r="E160" s="119"/>
      <c r="F160" s="120"/>
      <c r="G160" s="168"/>
      <c r="H160" s="302"/>
      <c r="I160" s="237"/>
      <c r="J160" s="237"/>
      <c r="K160" s="237"/>
      <c r="L160" s="237"/>
      <c r="M160" s="237"/>
      <c r="N160" s="237"/>
      <c r="O160" s="237"/>
      <c r="P160" s="237"/>
      <c r="Q160" s="237"/>
      <c r="R160" s="237"/>
      <c r="S160" s="237"/>
      <c r="T160" s="237"/>
      <c r="U160" s="237"/>
      <c r="V160" s="237"/>
      <c r="W160" s="237"/>
      <c r="X160" s="237"/>
      <c r="Y160" s="237"/>
      <c r="Z160" s="237"/>
      <c r="AA160" s="310"/>
    </row>
    <row r="161">
      <c r="A161" s="71"/>
      <c r="B161" s="72"/>
      <c r="C161" s="72"/>
      <c r="D161" s="776" t="s">
        <v>198</v>
      </c>
      <c r="E161" s="15"/>
      <c r="F161" s="96" t="s">
        <v>99</v>
      </c>
      <c r="G161" s="176" t="s">
        <v>112</v>
      </c>
      <c r="H161" s="782">
        <f>SUM(H150:H152,H154:H155,H157:H159)</f>
        <v>-0.08</v>
      </c>
      <c r="I161" s="785" t="s">
        <v>124</v>
      </c>
      <c r="J161" s="785" t="s">
        <v>124</v>
      </c>
      <c r="K161" s="785" t="s">
        <v>124</v>
      </c>
      <c r="L161" s="785" t="s">
        <v>124</v>
      </c>
      <c r="M161" s="785" t="s">
        <v>124</v>
      </c>
      <c r="N161" s="785" t="s">
        <v>124</v>
      </c>
      <c r="O161" s="785" t="s">
        <v>124</v>
      </c>
      <c r="P161" s="785" t="s">
        <v>124</v>
      </c>
      <c r="Q161" s="785" t="s">
        <v>124</v>
      </c>
      <c r="R161" s="785" t="s">
        <v>124</v>
      </c>
      <c r="S161" s="785" t="s">
        <v>124</v>
      </c>
      <c r="T161" s="785" t="s">
        <v>124</v>
      </c>
      <c r="U161" s="785" t="s">
        <v>124</v>
      </c>
      <c r="V161" s="785" t="s">
        <v>124</v>
      </c>
      <c r="W161" s="785" t="s">
        <v>124</v>
      </c>
      <c r="X161" s="785" t="s">
        <v>124</v>
      </c>
      <c r="Y161" s="785" t="s">
        <v>124</v>
      </c>
      <c r="Z161" s="785" t="s">
        <v>124</v>
      </c>
      <c r="AA161" s="118"/>
    </row>
    <row r="162" ht="16.5" customHeight="1">
      <c r="A162" s="71"/>
      <c r="B162" s="72"/>
      <c r="C162" s="72"/>
      <c r="D162" s="72"/>
      <c r="E162" s="74"/>
      <c r="F162" s="75"/>
      <c r="G162" s="77"/>
      <c r="H162" s="78"/>
      <c r="I162" s="85"/>
      <c r="J162" s="85"/>
      <c r="K162" s="85"/>
      <c r="L162" s="85"/>
      <c r="M162" s="85"/>
      <c r="N162" s="85"/>
      <c r="O162" s="85"/>
      <c r="P162" s="85"/>
      <c r="Q162" s="85"/>
      <c r="R162" s="85"/>
      <c r="S162" s="85"/>
      <c r="T162" s="85"/>
      <c r="U162" s="85"/>
      <c r="V162" s="85"/>
      <c r="W162" s="85"/>
      <c r="X162" s="85"/>
      <c r="Y162" s="85"/>
      <c r="Z162" s="85"/>
      <c r="AA162" s="81"/>
    </row>
    <row r="163">
      <c r="A163" s="71"/>
      <c r="B163" s="72"/>
      <c r="C163" s="107" t="s">
        <v>485</v>
      </c>
      <c r="F163" s="75"/>
      <c r="G163" s="77"/>
      <c r="H163" s="78"/>
      <c r="I163" s="85"/>
      <c r="J163" s="85"/>
      <c r="K163" s="85"/>
      <c r="L163" s="85"/>
      <c r="M163" s="85"/>
      <c r="N163" s="85"/>
      <c r="O163" s="85"/>
      <c r="P163" s="85"/>
      <c r="Q163" s="85"/>
      <c r="R163" s="85"/>
      <c r="S163" s="85"/>
      <c r="T163" s="85"/>
      <c r="U163" s="85"/>
      <c r="V163" s="85"/>
      <c r="W163" s="85"/>
      <c r="X163" s="85"/>
      <c r="Y163" s="85"/>
      <c r="Z163" s="85"/>
      <c r="AA163" s="81"/>
    </row>
    <row r="164">
      <c r="A164" s="71"/>
      <c r="B164" s="72"/>
      <c r="C164" s="72"/>
      <c r="D164" s="663" t="s">
        <v>564</v>
      </c>
      <c r="E164" s="100"/>
      <c r="F164" s="115"/>
      <c r="G164" s="231"/>
      <c r="H164" s="279"/>
      <c r="I164" s="135"/>
      <c r="J164" s="135"/>
      <c r="K164" s="135"/>
      <c r="L164" s="135"/>
      <c r="M164" s="135"/>
      <c r="N164" s="135"/>
      <c r="O164" s="135"/>
      <c r="P164" s="135"/>
      <c r="Q164" s="135"/>
      <c r="R164" s="135"/>
      <c r="S164" s="135"/>
      <c r="T164" s="135"/>
      <c r="U164" s="135"/>
      <c r="V164" s="135"/>
      <c r="W164" s="135"/>
      <c r="X164" s="135"/>
      <c r="Y164" s="135"/>
      <c r="Z164" s="135"/>
      <c r="AA164" s="140"/>
    </row>
    <row r="165">
      <c r="A165" s="71"/>
      <c r="B165" s="72"/>
      <c r="C165" s="72"/>
      <c r="D165" s="680"/>
      <c r="E165" s="113" t="s">
        <v>488</v>
      </c>
      <c r="F165" s="115" t="str">
        <f>Inputs!F99</f>
        <v>%</v>
      </c>
      <c r="G165" s="231" t="str">
        <f>Inputs!G99</f>
        <v>input</v>
      </c>
      <c r="H165" s="279">
        <f>Inputs!H99</f>
        <v>0.09</v>
      </c>
      <c r="I165" s="135" t="str">
        <f>Inputs!I99</f>
        <v>-</v>
      </c>
      <c r="J165" s="135" t="str">
        <f>Inputs!J99</f>
        <v>-</v>
      </c>
      <c r="K165" s="135" t="str">
        <f>Inputs!K99</f>
        <v>-</v>
      </c>
      <c r="L165" s="135" t="str">
        <f>Inputs!L99</f>
        <v>-</v>
      </c>
      <c r="M165" s="135" t="str">
        <f>Inputs!M99</f>
        <v>-</v>
      </c>
      <c r="N165" s="135" t="str">
        <f>Inputs!N99</f>
        <v>-</v>
      </c>
      <c r="O165" s="135" t="str">
        <f>Inputs!O99</f>
        <v>-</v>
      </c>
      <c r="P165" s="135" t="str">
        <f>Inputs!P99</f>
        <v>-</v>
      </c>
      <c r="Q165" s="135" t="str">
        <f>Inputs!Q99</f>
        <v>-</v>
      </c>
      <c r="R165" s="135" t="str">
        <f>Inputs!R99</f>
        <v>-</v>
      </c>
      <c r="S165" s="135" t="str">
        <f>Inputs!S99</f>
        <v>-</v>
      </c>
      <c r="T165" s="135" t="str">
        <f>Inputs!T99</f>
        <v>-</v>
      </c>
      <c r="U165" s="135" t="str">
        <f>Inputs!U99</f>
        <v>-</v>
      </c>
      <c r="V165" s="135" t="str">
        <f>Inputs!V99</f>
        <v>-</v>
      </c>
      <c r="W165" s="135" t="str">
        <f>Inputs!W99</f>
        <v>-</v>
      </c>
      <c r="X165" s="135" t="str">
        <f>Inputs!X99</f>
        <v>-</v>
      </c>
      <c r="Y165" s="135" t="str">
        <f>Inputs!Y99</f>
        <v>-</v>
      </c>
      <c r="Z165" s="135" t="str">
        <f>Inputs!Z99</f>
        <v>-</v>
      </c>
      <c r="AA165" s="140"/>
    </row>
    <row r="166">
      <c r="A166" s="71"/>
      <c r="B166" s="72"/>
      <c r="C166" s="72"/>
      <c r="D166" s="72"/>
      <c r="E166" s="113" t="s">
        <v>490</v>
      </c>
      <c r="F166" s="115" t="str">
        <f>Inputs!F100</f>
        <v>%</v>
      </c>
      <c r="G166" s="231" t="str">
        <f>Inputs!G100</f>
        <v>input</v>
      </c>
      <c r="H166" s="279">
        <f>Inputs!H100</f>
        <v>0.09</v>
      </c>
      <c r="I166" s="135" t="str">
        <f>Inputs!I100</f>
        <v>-</v>
      </c>
      <c r="J166" s="135" t="str">
        <f>Inputs!J100</f>
        <v>-</v>
      </c>
      <c r="K166" s="135" t="str">
        <f>Inputs!K100</f>
        <v>-</v>
      </c>
      <c r="L166" s="135" t="str">
        <f>Inputs!L100</f>
        <v>-</v>
      </c>
      <c r="M166" s="135" t="str">
        <f>Inputs!M100</f>
        <v>-</v>
      </c>
      <c r="N166" s="135" t="str">
        <f>Inputs!N100</f>
        <v>-</v>
      </c>
      <c r="O166" s="135" t="str">
        <f>Inputs!O100</f>
        <v>-</v>
      </c>
      <c r="P166" s="135" t="str">
        <f>Inputs!P100</f>
        <v>-</v>
      </c>
      <c r="Q166" s="135" t="str">
        <f>Inputs!Q100</f>
        <v>-</v>
      </c>
      <c r="R166" s="135" t="str">
        <f>Inputs!R100</f>
        <v>-</v>
      </c>
      <c r="S166" s="135" t="str">
        <f>Inputs!S100</f>
        <v>-</v>
      </c>
      <c r="T166" s="135" t="str">
        <f>Inputs!T100</f>
        <v>-</v>
      </c>
      <c r="U166" s="135" t="str">
        <f>Inputs!U100</f>
        <v>-</v>
      </c>
      <c r="V166" s="135" t="str">
        <f>Inputs!V100</f>
        <v>-</v>
      </c>
      <c r="W166" s="135" t="str">
        <f>Inputs!W100</f>
        <v>-</v>
      </c>
      <c r="X166" s="135" t="str">
        <f>Inputs!X100</f>
        <v>-</v>
      </c>
      <c r="Y166" s="135" t="str">
        <f>Inputs!Y100</f>
        <v>-</v>
      </c>
      <c r="Z166" s="135" t="str">
        <f>Inputs!Z100</f>
        <v>-</v>
      </c>
      <c r="AA166" s="154"/>
    </row>
    <row r="167">
      <c r="A167" s="71"/>
      <c r="B167" s="72"/>
      <c r="C167" s="72"/>
      <c r="D167" s="72"/>
      <c r="E167" s="113" t="s">
        <v>492</v>
      </c>
      <c r="F167" s="115" t="str">
        <f>Inputs!F101</f>
        <v>%</v>
      </c>
      <c r="G167" s="231" t="str">
        <f>Inputs!G101</f>
        <v>input</v>
      </c>
      <c r="H167" s="279">
        <f>Inputs!H101</f>
        <v>0.05</v>
      </c>
      <c r="I167" s="135" t="str">
        <f>Inputs!I101</f>
        <v>-</v>
      </c>
      <c r="J167" s="135" t="str">
        <f>Inputs!J101</f>
        <v>-</v>
      </c>
      <c r="K167" s="135" t="str">
        <f>Inputs!K101</f>
        <v>-</v>
      </c>
      <c r="L167" s="135" t="str">
        <f>Inputs!L101</f>
        <v>-</v>
      </c>
      <c r="M167" s="135" t="str">
        <f>Inputs!M101</f>
        <v>-</v>
      </c>
      <c r="N167" s="135" t="str">
        <f>Inputs!N101</f>
        <v>-</v>
      </c>
      <c r="O167" s="135" t="str">
        <f>Inputs!O101</f>
        <v>-</v>
      </c>
      <c r="P167" s="135" t="str">
        <f>Inputs!P101</f>
        <v>-</v>
      </c>
      <c r="Q167" s="135" t="str">
        <f>Inputs!Q101</f>
        <v>-</v>
      </c>
      <c r="R167" s="135" t="str">
        <f>Inputs!R101</f>
        <v>-</v>
      </c>
      <c r="S167" s="135" t="str">
        <f>Inputs!S101</f>
        <v>-</v>
      </c>
      <c r="T167" s="135" t="str">
        <f>Inputs!T101</f>
        <v>-</v>
      </c>
      <c r="U167" s="135" t="str">
        <f>Inputs!U101</f>
        <v>-</v>
      </c>
      <c r="V167" s="135" t="str">
        <f>Inputs!V101</f>
        <v>-</v>
      </c>
      <c r="W167" s="135" t="str">
        <f>Inputs!W101</f>
        <v>-</v>
      </c>
      <c r="X167" s="135" t="str">
        <f>Inputs!X101</f>
        <v>-</v>
      </c>
      <c r="Y167" s="135" t="str">
        <f>Inputs!Y101</f>
        <v>-</v>
      </c>
      <c r="Z167" s="135" t="str">
        <f>Inputs!Z101</f>
        <v>-</v>
      </c>
      <c r="AA167" s="154"/>
    </row>
    <row r="168">
      <c r="A168" s="71"/>
      <c r="B168" s="72"/>
      <c r="C168" s="72"/>
      <c r="D168" s="72"/>
      <c r="E168" s="113" t="s">
        <v>494</v>
      </c>
      <c r="F168" s="115" t="str">
        <f>Inputs!F102</f>
        <v>%</v>
      </c>
      <c r="G168" s="231" t="str">
        <f>Inputs!G102</f>
        <v>input</v>
      </c>
      <c r="H168" s="279">
        <f>Inputs!H102</f>
        <v>0.2</v>
      </c>
      <c r="I168" s="135" t="str">
        <f>Inputs!I102</f>
        <v>-</v>
      </c>
      <c r="J168" s="135" t="str">
        <f>Inputs!J102</f>
        <v>-</v>
      </c>
      <c r="K168" s="135" t="str">
        <f>Inputs!K102</f>
        <v>-</v>
      </c>
      <c r="L168" s="135" t="str">
        <f>Inputs!L102</f>
        <v>-</v>
      </c>
      <c r="M168" s="135" t="str">
        <f>Inputs!M102</f>
        <v>-</v>
      </c>
      <c r="N168" s="135" t="str">
        <f>Inputs!N102</f>
        <v>-</v>
      </c>
      <c r="O168" s="135" t="str">
        <f>Inputs!O102</f>
        <v>-</v>
      </c>
      <c r="P168" s="135" t="str">
        <f>Inputs!P102</f>
        <v>-</v>
      </c>
      <c r="Q168" s="135" t="str">
        <f>Inputs!Q102</f>
        <v>-</v>
      </c>
      <c r="R168" s="135" t="str">
        <f>Inputs!R102</f>
        <v>-</v>
      </c>
      <c r="S168" s="135" t="str">
        <f>Inputs!S102</f>
        <v>-</v>
      </c>
      <c r="T168" s="135" t="str">
        <f>Inputs!T102</f>
        <v>-</v>
      </c>
      <c r="U168" s="135" t="str">
        <f>Inputs!U102</f>
        <v>-</v>
      </c>
      <c r="V168" s="135" t="str">
        <f>Inputs!V102</f>
        <v>-</v>
      </c>
      <c r="W168" s="135" t="str">
        <f>Inputs!W102</f>
        <v>-</v>
      </c>
      <c r="X168" s="135" t="str">
        <f>Inputs!X102</f>
        <v>-</v>
      </c>
      <c r="Y168" s="135" t="str">
        <f>Inputs!Y102</f>
        <v>-</v>
      </c>
      <c r="Z168" s="135" t="str">
        <f>Inputs!Z102</f>
        <v>-</v>
      </c>
      <c r="AA168" s="154"/>
    </row>
    <row r="169">
      <c r="A169" s="71"/>
      <c r="B169" s="72"/>
      <c r="C169" s="72"/>
      <c r="D169" s="72"/>
      <c r="E169" s="113" t="s">
        <v>495</v>
      </c>
      <c r="F169" s="115" t="str">
        <f>Inputs!F103</f>
        <v>%</v>
      </c>
      <c r="G169" s="231" t="str">
        <f>Inputs!G103</f>
        <v>input</v>
      </c>
      <c r="H169" s="279">
        <f>Inputs!H103</f>
        <v>-0.006</v>
      </c>
      <c r="I169" s="135" t="str">
        <f>Inputs!I103</f>
        <v>-</v>
      </c>
      <c r="J169" s="135" t="str">
        <f>Inputs!J103</f>
        <v>-</v>
      </c>
      <c r="K169" s="135" t="str">
        <f>Inputs!K103</f>
        <v>-</v>
      </c>
      <c r="L169" s="135" t="str">
        <f>Inputs!L103</f>
        <v>-</v>
      </c>
      <c r="M169" s="135" t="str">
        <f>Inputs!M103</f>
        <v>-</v>
      </c>
      <c r="N169" s="135" t="str">
        <f>Inputs!N103</f>
        <v>-</v>
      </c>
      <c r="O169" s="135" t="str">
        <f>Inputs!O103</f>
        <v>-</v>
      </c>
      <c r="P169" s="135" t="str">
        <f>Inputs!P103</f>
        <v>-</v>
      </c>
      <c r="Q169" s="135" t="str">
        <f>Inputs!Q103</f>
        <v>-</v>
      </c>
      <c r="R169" s="135" t="str">
        <f>Inputs!R103</f>
        <v>-</v>
      </c>
      <c r="S169" s="135" t="str">
        <f>Inputs!S103</f>
        <v>-</v>
      </c>
      <c r="T169" s="135" t="str">
        <f>Inputs!T103</f>
        <v>-</v>
      </c>
      <c r="U169" s="135" t="str">
        <f>Inputs!U103</f>
        <v>-</v>
      </c>
      <c r="V169" s="135" t="str">
        <f>Inputs!V103</f>
        <v>-</v>
      </c>
      <c r="W169" s="135" t="str">
        <f>Inputs!W103</f>
        <v>-</v>
      </c>
      <c r="X169" s="135" t="str">
        <f>Inputs!X103</f>
        <v>-</v>
      </c>
      <c r="Y169" s="135" t="str">
        <f>Inputs!Y103</f>
        <v>-</v>
      </c>
      <c r="Z169" s="135" t="str">
        <f>Inputs!Z103</f>
        <v>-</v>
      </c>
      <c r="AA169" s="154"/>
    </row>
    <row r="170">
      <c r="A170" s="71"/>
      <c r="B170" s="72"/>
      <c r="C170" s="72"/>
      <c r="D170" s="72"/>
      <c r="E170" s="113" t="s">
        <v>499</v>
      </c>
      <c r="F170" s="115" t="str">
        <f>Inputs!F104</f>
        <v>%</v>
      </c>
      <c r="G170" s="231" t="str">
        <f>Inputs!G104</f>
        <v>input</v>
      </c>
      <c r="H170" s="279">
        <f>Inputs!H104</f>
        <v>-0.035</v>
      </c>
      <c r="I170" s="135" t="str">
        <f>Inputs!I104</f>
        <v>-</v>
      </c>
      <c r="J170" s="135" t="str">
        <f>Inputs!J104</f>
        <v>-</v>
      </c>
      <c r="K170" s="135" t="str">
        <f>Inputs!K104</f>
        <v>-</v>
      </c>
      <c r="L170" s="135" t="str">
        <f>Inputs!L104</f>
        <v>-</v>
      </c>
      <c r="M170" s="135" t="str">
        <f>Inputs!M104</f>
        <v>-</v>
      </c>
      <c r="N170" s="135" t="str">
        <f>Inputs!N104</f>
        <v>-</v>
      </c>
      <c r="O170" s="135" t="str">
        <f>Inputs!O104</f>
        <v>-</v>
      </c>
      <c r="P170" s="135" t="str">
        <f>Inputs!P104</f>
        <v>-</v>
      </c>
      <c r="Q170" s="135" t="str">
        <f>Inputs!Q104</f>
        <v>-</v>
      </c>
      <c r="R170" s="135" t="str">
        <f>Inputs!R104</f>
        <v>-</v>
      </c>
      <c r="S170" s="135" t="str">
        <f>Inputs!S104</f>
        <v>-</v>
      </c>
      <c r="T170" s="135" t="str">
        <f>Inputs!T104</f>
        <v>-</v>
      </c>
      <c r="U170" s="135" t="str">
        <f>Inputs!U104</f>
        <v>-</v>
      </c>
      <c r="V170" s="135" t="str">
        <f>Inputs!V104</f>
        <v>-</v>
      </c>
      <c r="W170" s="135" t="str">
        <f>Inputs!W104</f>
        <v>-</v>
      </c>
      <c r="X170" s="135" t="str">
        <f>Inputs!X104</f>
        <v>-</v>
      </c>
      <c r="Y170" s="135" t="str">
        <f>Inputs!Y104</f>
        <v>-</v>
      </c>
      <c r="Z170" s="135" t="str">
        <f>Inputs!Z104</f>
        <v>-</v>
      </c>
      <c r="AA170" s="154"/>
    </row>
    <row r="171">
      <c r="A171" s="71"/>
      <c r="B171" s="72"/>
      <c r="C171" s="72"/>
      <c r="D171" s="663" t="s">
        <v>569</v>
      </c>
      <c r="E171" s="100"/>
      <c r="F171" s="115"/>
      <c r="G171" s="231"/>
      <c r="H171" s="279"/>
      <c r="I171" s="135"/>
      <c r="J171" s="135"/>
      <c r="K171" s="135"/>
      <c r="L171" s="135"/>
      <c r="M171" s="135"/>
      <c r="N171" s="135"/>
      <c r="O171" s="135"/>
      <c r="P171" s="135"/>
      <c r="Q171" s="135"/>
      <c r="R171" s="135"/>
      <c r="S171" s="135"/>
      <c r="T171" s="135"/>
      <c r="U171" s="135"/>
      <c r="V171" s="135"/>
      <c r="W171" s="135"/>
      <c r="X171" s="135"/>
      <c r="Y171" s="135"/>
      <c r="Z171" s="135"/>
      <c r="AA171" s="154"/>
    </row>
    <row r="172">
      <c r="A172" s="71"/>
      <c r="B172" s="72"/>
      <c r="C172" s="72"/>
      <c r="D172" s="72"/>
      <c r="E172" s="113" t="s">
        <v>501</v>
      </c>
      <c r="F172" s="115" t="str">
        <f>Inputs!F105</f>
        <v>%</v>
      </c>
      <c r="G172" s="231" t="str">
        <f>Inputs!G105</f>
        <v>input</v>
      </c>
      <c r="H172" s="279">
        <f>Inputs!H105</f>
        <v>-0.04</v>
      </c>
      <c r="I172" s="135" t="str">
        <f>Inputs!I105</f>
        <v>-</v>
      </c>
      <c r="J172" s="135" t="str">
        <f>Inputs!J105</f>
        <v>-</v>
      </c>
      <c r="K172" s="135" t="str">
        <f>Inputs!K105</f>
        <v>-</v>
      </c>
      <c r="L172" s="135" t="str">
        <f>Inputs!L105</f>
        <v>-</v>
      </c>
      <c r="M172" s="135" t="str">
        <f>Inputs!M105</f>
        <v>-</v>
      </c>
      <c r="N172" s="135" t="str">
        <f>Inputs!N105</f>
        <v>-</v>
      </c>
      <c r="O172" s="135" t="str">
        <f>Inputs!O105</f>
        <v>-</v>
      </c>
      <c r="P172" s="135" t="str">
        <f>Inputs!P105</f>
        <v>-</v>
      </c>
      <c r="Q172" s="135" t="str">
        <f>Inputs!Q105</f>
        <v>-</v>
      </c>
      <c r="R172" s="135" t="str">
        <f>Inputs!R105</f>
        <v>-</v>
      </c>
      <c r="S172" s="135" t="str">
        <f>Inputs!S105</f>
        <v>-</v>
      </c>
      <c r="T172" s="135" t="str">
        <f>Inputs!T105</f>
        <v>-</v>
      </c>
      <c r="U172" s="135" t="str">
        <f>Inputs!U105</f>
        <v>-</v>
      </c>
      <c r="V172" s="135" t="str">
        <f>Inputs!V105</f>
        <v>-</v>
      </c>
      <c r="W172" s="135" t="str">
        <f>Inputs!W105</f>
        <v>-</v>
      </c>
      <c r="X172" s="135" t="str">
        <f>Inputs!X105</f>
        <v>-</v>
      </c>
      <c r="Y172" s="135" t="str">
        <f>Inputs!Y105</f>
        <v>-</v>
      </c>
      <c r="Z172" s="135" t="str">
        <f>Inputs!Z105</f>
        <v>-</v>
      </c>
      <c r="AA172" s="154"/>
    </row>
    <row r="173">
      <c r="A173" s="71"/>
      <c r="B173" s="72"/>
      <c r="C173" s="72"/>
      <c r="D173" s="72"/>
      <c r="E173" s="113" t="s">
        <v>503</v>
      </c>
      <c r="F173" s="115" t="str">
        <f>Inputs!F106</f>
        <v>%</v>
      </c>
      <c r="G173" s="231" t="str">
        <f>Inputs!G106</f>
        <v>input</v>
      </c>
      <c r="H173" s="279" t="str">
        <f>Inputs!H106</f>
        <v>-</v>
      </c>
      <c r="I173" s="135">
        <f>Inputs!I106</f>
        <v>-0.04</v>
      </c>
      <c r="J173" s="135">
        <f>Inputs!J106</f>
        <v>-0.04</v>
      </c>
      <c r="K173" s="135">
        <f>Inputs!K106</f>
        <v>-0.1</v>
      </c>
      <c r="L173" s="135">
        <f>Inputs!L106</f>
        <v>-0.1</v>
      </c>
      <c r="M173" s="135">
        <f>Inputs!M106</f>
        <v>-0.1</v>
      </c>
      <c r="N173" s="135">
        <f>Inputs!N106</f>
        <v>-0.1</v>
      </c>
      <c r="O173" s="135">
        <f>Inputs!O106</f>
        <v>-0.1</v>
      </c>
      <c r="P173" s="135">
        <f>Inputs!P106</f>
        <v>-0.04</v>
      </c>
      <c r="Q173" s="135">
        <f>Inputs!Q106</f>
        <v>-0.04</v>
      </c>
      <c r="R173" s="135">
        <f>Inputs!R106</f>
        <v>-0.04</v>
      </c>
      <c r="S173" s="135">
        <f>Inputs!S106</f>
        <v>-0.04</v>
      </c>
      <c r="T173" s="135">
        <f>Inputs!T106</f>
        <v>-0.04</v>
      </c>
      <c r="U173" s="135">
        <f>Inputs!U106</f>
        <v>-0.04</v>
      </c>
      <c r="V173" s="135">
        <f>Inputs!V106</f>
        <v>-0.04</v>
      </c>
      <c r="W173" s="135">
        <f>Inputs!W106</f>
        <v>-0.04</v>
      </c>
      <c r="X173" s="135">
        <f>Inputs!X106</f>
        <v>-0.04</v>
      </c>
      <c r="Y173" s="135">
        <f>Inputs!Y106</f>
        <v>-0.04</v>
      </c>
      <c r="Z173" s="135">
        <f>Inputs!Z106</f>
        <v>-0.1</v>
      </c>
      <c r="AA173" s="154"/>
    </row>
    <row r="174">
      <c r="A174" s="71"/>
      <c r="B174" s="72"/>
      <c r="C174" s="72"/>
      <c r="D174" s="72"/>
      <c r="E174" s="113" t="s">
        <v>507</v>
      </c>
      <c r="F174" s="115" t="str">
        <f>Inputs!F107</f>
        <v>%</v>
      </c>
      <c r="G174" s="231" t="str">
        <f>Inputs!G107</f>
        <v>input</v>
      </c>
      <c r="H174" s="279">
        <f>Inputs!H107</f>
        <v>0.032</v>
      </c>
      <c r="I174" s="135" t="str">
        <f>Inputs!I107</f>
        <v>-</v>
      </c>
      <c r="J174" s="135" t="str">
        <f>Inputs!J107</f>
        <v>-</v>
      </c>
      <c r="K174" s="135" t="str">
        <f>Inputs!K107</f>
        <v>-</v>
      </c>
      <c r="L174" s="135" t="str">
        <f>Inputs!L107</f>
        <v>-</v>
      </c>
      <c r="M174" s="135" t="str">
        <f>Inputs!M107</f>
        <v>-</v>
      </c>
      <c r="N174" s="135" t="str">
        <f>Inputs!N107</f>
        <v>-</v>
      </c>
      <c r="O174" s="135" t="str">
        <f>Inputs!O107</f>
        <v>-</v>
      </c>
      <c r="P174" s="135" t="str">
        <f>Inputs!P107</f>
        <v>-</v>
      </c>
      <c r="Q174" s="135" t="str">
        <f>Inputs!Q107</f>
        <v>-</v>
      </c>
      <c r="R174" s="135" t="str">
        <f>Inputs!R107</f>
        <v>-</v>
      </c>
      <c r="S174" s="135" t="str">
        <f>Inputs!S107</f>
        <v>-</v>
      </c>
      <c r="T174" s="135" t="str">
        <f>Inputs!T107</f>
        <v>-</v>
      </c>
      <c r="U174" s="135" t="str">
        <f>Inputs!U107</f>
        <v>-</v>
      </c>
      <c r="V174" s="135" t="str">
        <f>Inputs!V107</f>
        <v>-</v>
      </c>
      <c r="W174" s="135" t="str">
        <f>Inputs!W107</f>
        <v>-</v>
      </c>
      <c r="X174" s="135" t="str">
        <f>Inputs!X107</f>
        <v>-</v>
      </c>
      <c r="Y174" s="135" t="str">
        <f>Inputs!Y107</f>
        <v>-</v>
      </c>
      <c r="Z174" s="135" t="str">
        <f>Inputs!Z107</f>
        <v>-</v>
      </c>
      <c r="AA174" s="154"/>
    </row>
    <row r="175">
      <c r="A175" s="71"/>
      <c r="B175" s="72"/>
      <c r="C175" s="72"/>
      <c r="D175" s="72"/>
      <c r="E175" s="113" t="s">
        <v>509</v>
      </c>
      <c r="F175" s="115" t="str">
        <f>Inputs!F108</f>
        <v>%</v>
      </c>
      <c r="G175" s="231" t="str">
        <f>Inputs!G108</f>
        <v>input</v>
      </c>
      <c r="H175" s="279" t="str">
        <f>Inputs!H108</f>
        <v>-</v>
      </c>
      <c r="I175" s="135">
        <f>Inputs!I108</f>
        <v>-0.15</v>
      </c>
      <c r="J175" s="135">
        <f>Inputs!J108</f>
        <v>-0.1</v>
      </c>
      <c r="K175" s="135">
        <f>Inputs!K108</f>
        <v>0</v>
      </c>
      <c r="L175" s="135">
        <f>Inputs!L108</f>
        <v>0</v>
      </c>
      <c r="M175" s="135">
        <f>Inputs!M108</f>
        <v>0</v>
      </c>
      <c r="N175" s="135">
        <f>Inputs!N108</f>
        <v>0</v>
      </c>
      <c r="O175" s="135">
        <f>Inputs!O108</f>
        <v>0</v>
      </c>
      <c r="P175" s="135">
        <f>Inputs!P108</f>
        <v>0</v>
      </c>
      <c r="Q175" s="135">
        <f>Inputs!Q108</f>
        <v>0</v>
      </c>
      <c r="R175" s="135">
        <f>Inputs!R108</f>
        <v>0</v>
      </c>
      <c r="S175" s="135">
        <f>Inputs!S108</f>
        <v>0</v>
      </c>
      <c r="T175" s="135">
        <f>Inputs!T108</f>
        <v>0</v>
      </c>
      <c r="U175" s="135">
        <f>Inputs!U108</f>
        <v>0</v>
      </c>
      <c r="V175" s="135">
        <f>Inputs!V108</f>
        <v>0</v>
      </c>
      <c r="W175" s="135">
        <f>Inputs!W108</f>
        <v>0</v>
      </c>
      <c r="X175" s="135">
        <f>Inputs!X108</f>
        <v>0</v>
      </c>
      <c r="Y175" s="135">
        <f>Inputs!Y108</f>
        <v>-0.05</v>
      </c>
      <c r="Z175" s="135">
        <f>Inputs!Z108</f>
        <v>0</v>
      </c>
      <c r="AA175" s="154"/>
    </row>
    <row r="176">
      <c r="A176" s="71"/>
      <c r="B176" s="72"/>
      <c r="C176" s="72"/>
      <c r="D176" s="680"/>
      <c r="E176" s="119"/>
      <c r="F176" s="120"/>
      <c r="G176" s="168"/>
      <c r="H176" s="380"/>
      <c r="I176" s="85"/>
      <c r="J176" s="85"/>
      <c r="K176" s="85"/>
      <c r="L176" s="85"/>
      <c r="M176" s="85"/>
      <c r="N176" s="85"/>
      <c r="O176" s="85"/>
      <c r="P176" s="85"/>
      <c r="Q176" s="85"/>
      <c r="R176" s="85"/>
      <c r="S176" s="85"/>
      <c r="T176" s="85"/>
      <c r="U176" s="85"/>
      <c r="V176" s="85"/>
      <c r="W176" s="85"/>
      <c r="X176" s="85"/>
      <c r="Y176" s="85"/>
      <c r="Z176" s="85"/>
      <c r="AA176" s="310"/>
    </row>
    <row r="177">
      <c r="A177" s="71"/>
      <c r="B177" s="72"/>
      <c r="C177" s="72"/>
      <c r="D177" s="776" t="s">
        <v>201</v>
      </c>
      <c r="E177" s="15"/>
      <c r="F177" s="96" t="s">
        <v>99</v>
      </c>
      <c r="G177" s="176" t="s">
        <v>112</v>
      </c>
      <c r="H177" s="177" t="s">
        <v>124</v>
      </c>
      <c r="I177" s="643">
        <f t="shared" ref="I177:Z177" si="52">SUM($H165:$H176,I165:I176)</f>
        <v>0.191</v>
      </c>
      <c r="J177" s="643">
        <f t="shared" si="52"/>
        <v>0.241</v>
      </c>
      <c r="K177" s="643">
        <f t="shared" si="52"/>
        <v>0.281</v>
      </c>
      <c r="L177" s="643">
        <f t="shared" si="52"/>
        <v>0.281</v>
      </c>
      <c r="M177" s="643">
        <f t="shared" si="52"/>
        <v>0.281</v>
      </c>
      <c r="N177" s="643">
        <f t="shared" si="52"/>
        <v>0.281</v>
      </c>
      <c r="O177" s="643">
        <f t="shared" si="52"/>
        <v>0.281</v>
      </c>
      <c r="P177" s="643">
        <f t="shared" si="52"/>
        <v>0.341</v>
      </c>
      <c r="Q177" s="643">
        <f t="shared" si="52"/>
        <v>0.341</v>
      </c>
      <c r="R177" s="643">
        <f t="shared" si="52"/>
        <v>0.341</v>
      </c>
      <c r="S177" s="643">
        <f t="shared" si="52"/>
        <v>0.341</v>
      </c>
      <c r="T177" s="643">
        <f t="shared" si="52"/>
        <v>0.341</v>
      </c>
      <c r="U177" s="643">
        <f t="shared" si="52"/>
        <v>0.341</v>
      </c>
      <c r="V177" s="643">
        <f t="shared" si="52"/>
        <v>0.341</v>
      </c>
      <c r="W177" s="643">
        <f t="shared" si="52"/>
        <v>0.341</v>
      </c>
      <c r="X177" s="643">
        <f t="shared" si="52"/>
        <v>0.341</v>
      </c>
      <c r="Y177" s="643">
        <f t="shared" si="52"/>
        <v>0.291</v>
      </c>
      <c r="Z177" s="643">
        <f t="shared" si="52"/>
        <v>0.281</v>
      </c>
      <c r="AA177" s="118"/>
    </row>
    <row r="178">
      <c r="A178" s="71"/>
      <c r="B178" s="72"/>
      <c r="C178" s="72"/>
      <c r="D178" s="72"/>
      <c r="E178" s="74"/>
      <c r="F178" s="841"/>
      <c r="G178" s="77"/>
      <c r="H178" s="78"/>
      <c r="I178" s="85"/>
      <c r="J178" s="85"/>
      <c r="K178" s="85"/>
      <c r="L178" s="85"/>
      <c r="M178" s="85"/>
      <c r="N178" s="85"/>
      <c r="O178" s="85"/>
      <c r="P178" s="85"/>
      <c r="Q178" s="85"/>
      <c r="R178" s="85"/>
      <c r="S178" s="85"/>
      <c r="T178" s="85"/>
      <c r="U178" s="85"/>
      <c r="V178" s="85"/>
      <c r="W178" s="85"/>
      <c r="X178" s="85"/>
      <c r="Y178" s="85"/>
      <c r="Z178" s="85"/>
      <c r="AA178" s="81"/>
    </row>
    <row r="179">
      <c r="A179" s="71"/>
      <c r="B179" s="72"/>
      <c r="C179" s="188" t="s">
        <v>516</v>
      </c>
      <c r="F179" s="841"/>
      <c r="G179" s="77"/>
      <c r="H179" s="78"/>
      <c r="I179" s="85"/>
      <c r="J179" s="85"/>
      <c r="K179" s="85"/>
      <c r="L179" s="85"/>
      <c r="M179" s="85"/>
      <c r="N179" s="85"/>
      <c r="O179" s="85"/>
      <c r="P179" s="85"/>
      <c r="Q179" s="85"/>
      <c r="R179" s="85"/>
      <c r="S179" s="85"/>
      <c r="T179" s="85"/>
      <c r="U179" s="85"/>
      <c r="V179" s="85"/>
      <c r="W179" s="85"/>
      <c r="X179" s="85"/>
      <c r="Y179" s="85"/>
      <c r="Z179" s="85"/>
      <c r="AA179" s="81"/>
    </row>
    <row r="180">
      <c r="A180" s="71"/>
      <c r="B180" s="72"/>
      <c r="C180" s="72"/>
      <c r="D180" s="72"/>
      <c r="E180" s="113" t="s">
        <v>403</v>
      </c>
      <c r="F180" s="115" t="str">
        <f>LeverageFunging!F111</f>
        <v>%</v>
      </c>
      <c r="G180" s="231" t="s">
        <v>114</v>
      </c>
      <c r="H180" s="131" t="str">
        <f>LeverageFunging!H111</f>
        <v>-</v>
      </c>
      <c r="I180" s="132">
        <f>LeverageFunging!I111</f>
        <v>-0.002836339751</v>
      </c>
      <c r="J180" s="132">
        <f>LeverageFunging!J111</f>
        <v>-0.008995253969</v>
      </c>
      <c r="K180" s="132">
        <f>LeverageFunging!K111</f>
        <v>-0.0177305505</v>
      </c>
      <c r="L180" s="132">
        <f>LeverageFunging!L111</f>
        <v>-0.01489086544</v>
      </c>
      <c r="M180" s="132">
        <f>LeverageFunging!M111</f>
        <v>-0.0151427267</v>
      </c>
      <c r="N180" s="132">
        <f>LeverageFunging!N111</f>
        <v>-0.01077252744</v>
      </c>
      <c r="O180" s="132">
        <f>LeverageFunging!O111</f>
        <v>-0.01071664873</v>
      </c>
      <c r="P180" s="132">
        <f>LeverageFunging!P111</f>
        <v>-0.005587138932</v>
      </c>
      <c r="Q180" s="132">
        <f>LeverageFunging!Q111</f>
        <v>-0.008158529823</v>
      </c>
      <c r="R180" s="132">
        <f>LeverageFunging!R111</f>
        <v>-0.009155407931</v>
      </c>
      <c r="S180" s="132">
        <f>LeverageFunging!S111</f>
        <v>-0.003988673437</v>
      </c>
      <c r="T180" s="132">
        <f>LeverageFunging!T111</f>
        <v>-0.006970331038</v>
      </c>
      <c r="U180" s="132">
        <f>LeverageFunging!U111</f>
        <v>-0.005302869423</v>
      </c>
      <c r="V180" s="132">
        <f>LeverageFunging!V111</f>
        <v>-0.004852275773</v>
      </c>
      <c r="W180" s="132">
        <f>LeverageFunging!W111</f>
        <v>-0.007486122481</v>
      </c>
      <c r="X180" s="132">
        <f>LeverageFunging!X111</f>
        <v>-0.003933090646</v>
      </c>
      <c r="Y180" s="132">
        <f>LeverageFunging!Y111</f>
        <v>-0.002834737873</v>
      </c>
      <c r="Z180" s="132">
        <f>LeverageFunging!Z111</f>
        <v>-0.009663030069</v>
      </c>
      <c r="AA180" s="408"/>
    </row>
    <row r="181">
      <c r="A181" s="71"/>
      <c r="B181" s="72"/>
      <c r="C181" s="72"/>
      <c r="D181" s="72"/>
      <c r="E181" s="136" t="s">
        <v>406</v>
      </c>
      <c r="F181" s="139" t="str">
        <f>LeverageFunging!F112</f>
        <v>%</v>
      </c>
      <c r="G181" s="377" t="s">
        <v>114</v>
      </c>
      <c r="H181" s="149" t="str">
        <f>LeverageFunging!H112</f>
        <v>-</v>
      </c>
      <c r="I181" s="150">
        <f>LeverageFunging!I112</f>
        <v>-0.426621249</v>
      </c>
      <c r="J181" s="150">
        <f>LeverageFunging!J112</f>
        <v>-0.2598473716</v>
      </c>
      <c r="K181" s="150">
        <f>LeverageFunging!K112</f>
        <v>-0.06915863606</v>
      </c>
      <c r="L181" s="150">
        <f>LeverageFunging!L112</f>
        <v>-0.08210600695</v>
      </c>
      <c r="M181" s="150">
        <f>LeverageFunging!M112</f>
        <v>-0.08095766091</v>
      </c>
      <c r="N181" s="150">
        <f>LeverageFunging!N112</f>
        <v>-0.100883318</v>
      </c>
      <c r="O181" s="150">
        <f>LeverageFunging!O112</f>
        <v>-0.1307789658</v>
      </c>
      <c r="P181" s="150">
        <f>LeverageFunging!P112</f>
        <v>-0.1637379572</v>
      </c>
      <c r="Q181" s="150">
        <f>LeverageFunging!Q112</f>
        <v>-0.07646619323</v>
      </c>
      <c r="R181" s="150">
        <f>LeverageFunging!R112</f>
        <v>-0.07359063388</v>
      </c>
      <c r="S181" s="150">
        <f>LeverageFunging!S112</f>
        <v>-0.1741124306</v>
      </c>
      <c r="T181" s="150">
        <f>LeverageFunging!T112</f>
        <v>-0.07989362945</v>
      </c>
      <c r="U181" s="150">
        <f>LeverageFunging!U112</f>
        <v>-0.1655829432</v>
      </c>
      <c r="V181" s="150">
        <f>LeverageFunging!V112</f>
        <v>-0.1685074178</v>
      </c>
      <c r="W181" s="150">
        <f>LeverageFunging!W112</f>
        <v>-0.1514130403</v>
      </c>
      <c r="X181" s="150">
        <f>LeverageFunging!X112</f>
        <v>-0.1744731779</v>
      </c>
      <c r="Y181" s="150">
        <f>LeverageFunging!Y112</f>
        <v>-0.5115769106</v>
      </c>
      <c r="Z181" s="150">
        <f>LeverageFunging!Z112</f>
        <v>-0.1930020087</v>
      </c>
      <c r="AA181" s="426"/>
    </row>
    <row r="182">
      <c r="A182" s="71"/>
      <c r="B182" s="72"/>
      <c r="C182" s="72"/>
      <c r="D182" s="72"/>
      <c r="E182" s="119"/>
      <c r="F182" s="120"/>
      <c r="G182" s="168"/>
      <c r="H182" s="78"/>
      <c r="I182" s="624"/>
      <c r="J182" s="624"/>
      <c r="K182" s="624"/>
      <c r="L182" s="624"/>
      <c r="M182" s="624"/>
      <c r="N182" s="624"/>
      <c r="O182" s="624"/>
      <c r="P182" s="624"/>
      <c r="Q182" s="624"/>
      <c r="R182" s="624"/>
      <c r="S182" s="624"/>
      <c r="T182" s="624"/>
      <c r="U182" s="624"/>
      <c r="V182" s="624"/>
      <c r="W182" s="624"/>
      <c r="X182" s="624"/>
      <c r="Y182" s="624"/>
      <c r="Z182" s="624"/>
      <c r="AA182" s="81"/>
    </row>
    <row r="183">
      <c r="A183" s="71"/>
      <c r="B183" s="72"/>
      <c r="C183" s="72"/>
      <c r="D183" s="93" t="s">
        <v>570</v>
      </c>
      <c r="E183" s="15"/>
      <c r="F183" s="96" t="s">
        <v>99</v>
      </c>
      <c r="G183" s="176" t="s">
        <v>112</v>
      </c>
      <c r="H183" s="439" t="str">
        <f>LeverageFunging!H113</f>
        <v>-</v>
      </c>
      <c r="I183" s="643">
        <f>LeverageFunging!I113</f>
        <v>-0.4294575887</v>
      </c>
      <c r="J183" s="643">
        <f>LeverageFunging!J113</f>
        <v>-0.2688426256</v>
      </c>
      <c r="K183" s="643">
        <f>LeverageFunging!K113</f>
        <v>-0.08688918656</v>
      </c>
      <c r="L183" s="643">
        <f>LeverageFunging!L113</f>
        <v>-0.0969968724</v>
      </c>
      <c r="M183" s="643">
        <f>LeverageFunging!M113</f>
        <v>-0.09610038761</v>
      </c>
      <c r="N183" s="643">
        <f>LeverageFunging!N113</f>
        <v>-0.1116558454</v>
      </c>
      <c r="O183" s="643">
        <f>LeverageFunging!O113</f>
        <v>-0.1414956146</v>
      </c>
      <c r="P183" s="643">
        <f>LeverageFunging!P113</f>
        <v>-0.1693250961</v>
      </c>
      <c r="Q183" s="643">
        <f>LeverageFunging!Q113</f>
        <v>-0.08462472306</v>
      </c>
      <c r="R183" s="643">
        <f>LeverageFunging!R113</f>
        <v>-0.08274604181</v>
      </c>
      <c r="S183" s="643">
        <f>LeverageFunging!S113</f>
        <v>-0.178101104</v>
      </c>
      <c r="T183" s="643">
        <f>LeverageFunging!T113</f>
        <v>-0.08686396049</v>
      </c>
      <c r="U183" s="643">
        <f>LeverageFunging!U113</f>
        <v>-0.1708858126</v>
      </c>
      <c r="V183" s="643">
        <f>LeverageFunging!V113</f>
        <v>-0.1733596936</v>
      </c>
      <c r="W183" s="643">
        <f>LeverageFunging!W113</f>
        <v>-0.1588991628</v>
      </c>
      <c r="X183" s="643">
        <f>LeverageFunging!X113</f>
        <v>-0.1784062686</v>
      </c>
      <c r="Y183" s="643">
        <f>LeverageFunging!Y113</f>
        <v>-0.5144116485</v>
      </c>
      <c r="Z183" s="643">
        <f>LeverageFunging!Z113</f>
        <v>-0.2026650388</v>
      </c>
      <c r="AA183" s="847"/>
    </row>
    <row r="184">
      <c r="A184" s="71"/>
      <c r="B184" s="72"/>
      <c r="C184" s="72"/>
      <c r="D184" s="72"/>
      <c r="E184" s="74"/>
      <c r="F184" s="841"/>
      <c r="G184" s="77"/>
      <c r="H184" s="78"/>
      <c r="I184" s="85"/>
      <c r="J184" s="85"/>
      <c r="K184" s="85"/>
      <c r="L184" s="85"/>
      <c r="M184" s="85"/>
      <c r="N184" s="85"/>
      <c r="O184" s="85"/>
      <c r="P184" s="85"/>
      <c r="Q184" s="85"/>
      <c r="R184" s="85"/>
      <c r="S184" s="85"/>
      <c r="T184" s="85"/>
      <c r="U184" s="85"/>
      <c r="V184" s="85"/>
      <c r="W184" s="85"/>
      <c r="X184" s="85"/>
      <c r="Y184" s="85"/>
      <c r="Z184" s="85"/>
      <c r="AA184" s="81"/>
    </row>
    <row r="185">
      <c r="A185" s="66" t="s">
        <v>571</v>
      </c>
      <c r="B185" s="17"/>
      <c r="C185" s="17"/>
      <c r="D185" s="17"/>
      <c r="E185" s="17"/>
      <c r="F185" s="17"/>
      <c r="G185" s="17"/>
      <c r="H185" s="67"/>
      <c r="I185" s="91"/>
      <c r="J185" s="91"/>
      <c r="K185" s="91"/>
      <c r="L185" s="91"/>
      <c r="M185" s="91"/>
      <c r="N185" s="91"/>
      <c r="O185" s="91"/>
      <c r="P185" s="91"/>
      <c r="Q185" s="91"/>
      <c r="R185" s="91"/>
      <c r="S185" s="91"/>
      <c r="T185" s="91"/>
      <c r="U185" s="91"/>
      <c r="V185" s="91"/>
      <c r="W185" s="91"/>
      <c r="X185" s="91"/>
      <c r="Y185" s="91"/>
      <c r="Z185" s="91"/>
      <c r="AA185" s="69"/>
    </row>
    <row r="186">
      <c r="A186" s="71"/>
      <c r="B186" s="72"/>
      <c r="C186" s="72"/>
      <c r="D186" s="72"/>
      <c r="E186" s="74"/>
      <c r="F186" s="841"/>
      <c r="G186" s="77"/>
      <c r="H186" s="78"/>
      <c r="I186" s="85"/>
      <c r="J186" s="85"/>
      <c r="K186" s="85"/>
      <c r="L186" s="85"/>
      <c r="M186" s="85"/>
      <c r="N186" s="85"/>
      <c r="O186" s="85"/>
      <c r="P186" s="85"/>
      <c r="Q186" s="85"/>
      <c r="R186" s="85"/>
      <c r="S186" s="85"/>
      <c r="T186" s="85"/>
      <c r="U186" s="85"/>
      <c r="V186" s="85"/>
      <c r="W186" s="85"/>
      <c r="X186" s="85"/>
      <c r="Y186" s="85"/>
      <c r="Z186" s="85"/>
      <c r="AA186" s="81"/>
    </row>
    <row r="187">
      <c r="A187" s="71"/>
      <c r="B187" s="72"/>
      <c r="C187" s="124" t="s">
        <v>572</v>
      </c>
      <c r="F187" s="120"/>
      <c r="G187" s="848"/>
      <c r="H187" s="658"/>
      <c r="I187" s="655"/>
      <c r="J187" s="655"/>
      <c r="K187" s="655"/>
      <c r="L187" s="655"/>
      <c r="M187" s="655"/>
      <c r="N187" s="655"/>
      <c r="O187" s="659"/>
      <c r="P187" s="659"/>
      <c r="Q187" s="659"/>
      <c r="R187" s="659"/>
      <c r="S187" s="659"/>
      <c r="T187" s="659"/>
      <c r="U187" s="659"/>
      <c r="V187" s="659"/>
      <c r="W187" s="659"/>
      <c r="X187" s="659"/>
      <c r="Y187" s="659"/>
      <c r="Z187" s="659"/>
      <c r="AA187" s="81"/>
    </row>
    <row r="188">
      <c r="A188" s="71"/>
      <c r="B188" s="72"/>
      <c r="C188" s="35"/>
      <c r="D188" s="72"/>
      <c r="E188" s="113" t="s">
        <v>395</v>
      </c>
      <c r="F188" s="115" t="str">
        <f>LeverageFunging!F108</f>
        <v>UOV</v>
      </c>
      <c r="G188" s="849" t="s">
        <v>114</v>
      </c>
      <c r="H188" s="694" t="str">
        <f>LeverageFunging!H108</f>
        <v>-</v>
      </c>
      <c r="I188" s="850">
        <f t="shared" ref="I188:Z188" si="53">I131*(1+$H161)*(1+I177)*(1+I183)</f>
        <v>59998.16643</v>
      </c>
      <c r="J188" s="374">
        <f t="shared" si="53"/>
        <v>26703.69763</v>
      </c>
      <c r="K188" s="374">
        <f t="shared" si="53"/>
        <v>26147.5781</v>
      </c>
      <c r="L188" s="374">
        <f t="shared" si="53"/>
        <v>30789.27894</v>
      </c>
      <c r="M188" s="374">
        <f t="shared" si="53"/>
        <v>30307.23517</v>
      </c>
      <c r="N188" s="374">
        <f t="shared" si="53"/>
        <v>41869.12096</v>
      </c>
      <c r="O188" s="374">
        <f t="shared" si="53"/>
        <v>38281.1333</v>
      </c>
      <c r="P188" s="374">
        <f t="shared" si="53"/>
        <v>70706.47313</v>
      </c>
      <c r="Q188" s="374">
        <f t="shared" si="53"/>
        <v>60028.48068</v>
      </c>
      <c r="R188" s="374">
        <f t="shared" si="53"/>
        <v>53602.12082</v>
      </c>
      <c r="S188" s="374">
        <f t="shared" si="53"/>
        <v>97995.80213</v>
      </c>
      <c r="T188" s="374">
        <f t="shared" si="53"/>
        <v>70089.37026</v>
      </c>
      <c r="U188" s="374">
        <f t="shared" si="53"/>
        <v>74356.84761</v>
      </c>
      <c r="V188" s="374">
        <f t="shared" si="53"/>
        <v>81019.33194</v>
      </c>
      <c r="W188" s="374">
        <f t="shared" si="53"/>
        <v>53432.89352</v>
      </c>
      <c r="X188" s="374">
        <f t="shared" si="53"/>
        <v>99343.78837</v>
      </c>
      <c r="Y188" s="374">
        <f t="shared" si="53"/>
        <v>35190.33776</v>
      </c>
      <c r="Z188" s="374">
        <f t="shared" si="53"/>
        <v>34501.40598</v>
      </c>
      <c r="AA188" s="408"/>
    </row>
    <row r="189">
      <c r="A189" s="71"/>
      <c r="B189" s="72"/>
      <c r="C189" s="72"/>
      <c r="D189" s="72"/>
      <c r="E189" s="113" t="s">
        <v>129</v>
      </c>
      <c r="F189" s="115" t="str">
        <f>F19</f>
        <v>$</v>
      </c>
      <c r="G189" s="231" t="s">
        <v>38</v>
      </c>
      <c r="H189" s="199" t="str">
        <f t="shared" ref="H189:Z189" si="54">H19</f>
        <v>-</v>
      </c>
      <c r="I189" s="457">
        <f t="shared" si="54"/>
        <v>1000000</v>
      </c>
      <c r="J189" s="457">
        <f t="shared" si="54"/>
        <v>1000000</v>
      </c>
      <c r="K189" s="457">
        <f t="shared" si="54"/>
        <v>1000000</v>
      </c>
      <c r="L189" s="457">
        <f t="shared" si="54"/>
        <v>1000000</v>
      </c>
      <c r="M189" s="457">
        <f t="shared" si="54"/>
        <v>1000000</v>
      </c>
      <c r="N189" s="457">
        <f t="shared" si="54"/>
        <v>1000000</v>
      </c>
      <c r="O189" s="457">
        <f t="shared" si="54"/>
        <v>1000000</v>
      </c>
      <c r="P189" s="457">
        <f t="shared" si="54"/>
        <v>1000000</v>
      </c>
      <c r="Q189" s="457">
        <f t="shared" si="54"/>
        <v>1000000</v>
      </c>
      <c r="R189" s="457">
        <f t="shared" si="54"/>
        <v>1000000</v>
      </c>
      <c r="S189" s="457">
        <f t="shared" si="54"/>
        <v>1000000</v>
      </c>
      <c r="T189" s="457">
        <f t="shared" si="54"/>
        <v>1000000</v>
      </c>
      <c r="U189" s="457">
        <f t="shared" si="54"/>
        <v>1000000</v>
      </c>
      <c r="V189" s="457">
        <f t="shared" si="54"/>
        <v>1000000</v>
      </c>
      <c r="W189" s="457">
        <f t="shared" si="54"/>
        <v>1000000</v>
      </c>
      <c r="X189" s="457">
        <f t="shared" si="54"/>
        <v>1000000</v>
      </c>
      <c r="Y189" s="457">
        <f t="shared" si="54"/>
        <v>1000000</v>
      </c>
      <c r="Z189" s="457">
        <f t="shared" si="54"/>
        <v>1000000</v>
      </c>
      <c r="AA189" s="408"/>
    </row>
    <row r="190">
      <c r="A190" s="71"/>
      <c r="B190" s="72"/>
      <c r="C190" s="72"/>
      <c r="D190" s="72"/>
      <c r="E190" s="136" t="s">
        <v>573</v>
      </c>
      <c r="F190" s="139" t="s">
        <v>103</v>
      </c>
      <c r="G190" s="377" t="s">
        <v>112</v>
      </c>
      <c r="H190" s="851" t="s">
        <v>124</v>
      </c>
      <c r="I190" s="852">
        <f t="shared" ref="I190:Z190" si="55">I188/I189</f>
        <v>0.05999816643</v>
      </c>
      <c r="J190" s="852">
        <f t="shared" si="55"/>
        <v>0.02670369763</v>
      </c>
      <c r="K190" s="852">
        <f t="shared" si="55"/>
        <v>0.0261475781</v>
      </c>
      <c r="L190" s="852">
        <f t="shared" si="55"/>
        <v>0.03078927894</v>
      </c>
      <c r="M190" s="852">
        <f t="shared" si="55"/>
        <v>0.03030723517</v>
      </c>
      <c r="N190" s="852">
        <f t="shared" si="55"/>
        <v>0.04186912096</v>
      </c>
      <c r="O190" s="852">
        <f t="shared" si="55"/>
        <v>0.0382811333</v>
      </c>
      <c r="P190" s="852">
        <f t="shared" si="55"/>
        <v>0.07070647313</v>
      </c>
      <c r="Q190" s="852">
        <f t="shared" si="55"/>
        <v>0.06002848068</v>
      </c>
      <c r="R190" s="852">
        <f t="shared" si="55"/>
        <v>0.05360212082</v>
      </c>
      <c r="S190" s="852">
        <f t="shared" si="55"/>
        <v>0.09799580213</v>
      </c>
      <c r="T190" s="852">
        <f t="shared" si="55"/>
        <v>0.07008937026</v>
      </c>
      <c r="U190" s="852">
        <f t="shared" si="55"/>
        <v>0.07435684761</v>
      </c>
      <c r="V190" s="852">
        <f t="shared" si="55"/>
        <v>0.08101933194</v>
      </c>
      <c r="W190" s="852">
        <f t="shared" si="55"/>
        <v>0.05343289352</v>
      </c>
      <c r="X190" s="852">
        <f t="shared" si="55"/>
        <v>0.09934378837</v>
      </c>
      <c r="Y190" s="852">
        <f t="shared" si="55"/>
        <v>0.03519033776</v>
      </c>
      <c r="Z190" s="852">
        <f t="shared" si="55"/>
        <v>0.03450140598</v>
      </c>
      <c r="AA190" s="426"/>
    </row>
    <row r="191">
      <c r="A191" s="71"/>
      <c r="B191" s="72"/>
      <c r="C191" s="72"/>
      <c r="D191" s="72"/>
      <c r="E191" s="853" t="s">
        <v>574</v>
      </c>
      <c r="F191" s="725" t="s">
        <v>105</v>
      </c>
      <c r="G191" s="854" t="s">
        <v>112</v>
      </c>
      <c r="H191" s="855" t="s">
        <v>124</v>
      </c>
      <c r="I191" s="728">
        <f t="shared" ref="I191:Z191" si="56">I190/$H133</f>
        <v>18.0174674</v>
      </c>
      <c r="J191" s="728">
        <f t="shared" si="56"/>
        <v>8.019128417</v>
      </c>
      <c r="K191" s="728">
        <f t="shared" si="56"/>
        <v>7.852125556</v>
      </c>
      <c r="L191" s="728">
        <f t="shared" si="56"/>
        <v>9.246029712</v>
      </c>
      <c r="M191" s="728">
        <f t="shared" si="56"/>
        <v>9.101271824</v>
      </c>
      <c r="N191" s="728">
        <f t="shared" si="56"/>
        <v>12.5733096</v>
      </c>
      <c r="O191" s="728">
        <f t="shared" si="56"/>
        <v>11.49583583</v>
      </c>
      <c r="P191" s="728">
        <f t="shared" si="56"/>
        <v>21.23317512</v>
      </c>
      <c r="Q191" s="728">
        <f t="shared" si="56"/>
        <v>18.02657078</v>
      </c>
      <c r="R191" s="728">
        <f t="shared" si="56"/>
        <v>16.09673298</v>
      </c>
      <c r="S191" s="728">
        <f t="shared" si="56"/>
        <v>29.42816881</v>
      </c>
      <c r="T191" s="728">
        <f t="shared" si="56"/>
        <v>21.04785894</v>
      </c>
      <c r="U191" s="728">
        <f t="shared" si="56"/>
        <v>22.32938367</v>
      </c>
      <c r="V191" s="728">
        <f t="shared" si="56"/>
        <v>24.33012971</v>
      </c>
      <c r="W191" s="728">
        <f t="shared" si="56"/>
        <v>16.04591397</v>
      </c>
      <c r="X191" s="728">
        <f t="shared" si="56"/>
        <v>29.83296948</v>
      </c>
      <c r="Y191" s="728">
        <f t="shared" si="56"/>
        <v>10.567669</v>
      </c>
      <c r="Z191" s="728">
        <f t="shared" si="56"/>
        <v>10.36078258</v>
      </c>
      <c r="AA191" s="468"/>
    </row>
    <row r="192">
      <c r="A192" s="71"/>
      <c r="B192" s="72"/>
      <c r="C192" s="72"/>
      <c r="D192" s="72"/>
      <c r="E192" s="856"/>
      <c r="F192" s="764"/>
      <c r="G192" s="857"/>
      <c r="H192" s="858"/>
      <c r="I192" s="859"/>
      <c r="J192" s="859"/>
      <c r="K192" s="859"/>
      <c r="L192" s="859"/>
      <c r="M192" s="859"/>
      <c r="N192" s="859"/>
      <c r="O192" s="859"/>
      <c r="P192" s="859"/>
      <c r="Q192" s="859"/>
      <c r="R192" s="859"/>
      <c r="S192" s="859"/>
      <c r="T192" s="859"/>
      <c r="U192" s="859"/>
      <c r="V192" s="859"/>
      <c r="W192" s="859"/>
      <c r="X192" s="859"/>
      <c r="Y192" s="859"/>
      <c r="Z192" s="859"/>
      <c r="AA192" s="81"/>
    </row>
    <row r="193">
      <c r="A193" s="66" t="s">
        <v>575</v>
      </c>
      <c r="B193" s="17"/>
      <c r="C193" s="17"/>
      <c r="D193" s="17"/>
      <c r="E193" s="17"/>
      <c r="F193" s="17"/>
      <c r="G193" s="17"/>
      <c r="H193" s="67"/>
      <c r="I193" s="91"/>
      <c r="J193" s="91"/>
      <c r="K193" s="91"/>
      <c r="L193" s="91"/>
      <c r="M193" s="91"/>
      <c r="N193" s="91"/>
      <c r="O193" s="91"/>
      <c r="P193" s="91"/>
      <c r="Q193" s="91"/>
      <c r="R193" s="91"/>
      <c r="S193" s="91"/>
      <c r="T193" s="91"/>
      <c r="U193" s="91"/>
      <c r="V193" s="91"/>
      <c r="W193" s="91"/>
      <c r="X193" s="91"/>
      <c r="Y193" s="91"/>
      <c r="Z193" s="91"/>
      <c r="AA193" s="69"/>
    </row>
    <row r="194">
      <c r="A194" s="71"/>
      <c r="B194" s="72"/>
      <c r="C194" s="72"/>
      <c r="D194" s="72"/>
      <c r="E194" s="74"/>
      <c r="F194" s="75"/>
      <c r="G194" s="77"/>
      <c r="H194" s="78"/>
      <c r="I194" s="85"/>
      <c r="J194" s="85"/>
      <c r="K194" s="85"/>
      <c r="L194" s="85"/>
      <c r="M194" s="85"/>
      <c r="N194" s="85"/>
      <c r="O194" s="85"/>
      <c r="P194" s="85"/>
      <c r="Q194" s="85"/>
      <c r="R194" s="85"/>
      <c r="S194" s="85"/>
      <c r="T194" s="85"/>
      <c r="U194" s="85"/>
      <c r="V194" s="85"/>
      <c r="W194" s="85"/>
      <c r="X194" s="85"/>
      <c r="Y194" s="85"/>
      <c r="Z194" s="85"/>
      <c r="AA194" s="81"/>
    </row>
    <row r="195">
      <c r="A195" s="71"/>
      <c r="B195" s="72"/>
      <c r="C195" s="188" t="s">
        <v>576</v>
      </c>
      <c r="F195" s="75"/>
      <c r="G195" s="77"/>
      <c r="H195" s="78"/>
      <c r="I195" s="85"/>
      <c r="J195" s="85"/>
      <c r="K195" s="85"/>
      <c r="L195" s="85"/>
      <c r="M195" s="85"/>
      <c r="N195" s="85"/>
      <c r="O195" s="85"/>
      <c r="P195" s="85"/>
      <c r="Q195" s="85"/>
      <c r="R195" s="85"/>
      <c r="S195" s="85"/>
      <c r="T195" s="85"/>
      <c r="U195" s="85"/>
      <c r="V195" s="85"/>
      <c r="W195" s="85"/>
      <c r="X195" s="85"/>
      <c r="Y195" s="85"/>
      <c r="Z195" s="85"/>
      <c r="AA195" s="81"/>
    </row>
    <row r="196">
      <c r="A196" s="71"/>
      <c r="B196" s="72"/>
      <c r="C196" s="72"/>
      <c r="D196" s="72"/>
      <c r="E196" s="113" t="s">
        <v>198</v>
      </c>
      <c r="F196" s="115" t="str">
        <f>F161</f>
        <v>%</v>
      </c>
      <c r="G196" s="231" t="s">
        <v>38</v>
      </c>
      <c r="H196" s="296">
        <f t="shared" ref="H196:Z196" si="57">H161</f>
        <v>-0.08</v>
      </c>
      <c r="I196" s="132" t="str">
        <f t="shared" si="57"/>
        <v>-</v>
      </c>
      <c r="J196" s="132" t="str">
        <f t="shared" si="57"/>
        <v>-</v>
      </c>
      <c r="K196" s="132" t="str">
        <f t="shared" si="57"/>
        <v>-</v>
      </c>
      <c r="L196" s="132" t="str">
        <f t="shared" si="57"/>
        <v>-</v>
      </c>
      <c r="M196" s="132" t="str">
        <f t="shared" si="57"/>
        <v>-</v>
      </c>
      <c r="N196" s="132" t="str">
        <f t="shared" si="57"/>
        <v>-</v>
      </c>
      <c r="O196" s="132" t="str">
        <f t="shared" si="57"/>
        <v>-</v>
      </c>
      <c r="P196" s="132" t="str">
        <f t="shared" si="57"/>
        <v>-</v>
      </c>
      <c r="Q196" s="132" t="str">
        <f t="shared" si="57"/>
        <v>-</v>
      </c>
      <c r="R196" s="132" t="str">
        <f t="shared" si="57"/>
        <v>-</v>
      </c>
      <c r="S196" s="132" t="str">
        <f t="shared" si="57"/>
        <v>-</v>
      </c>
      <c r="T196" s="132" t="str">
        <f t="shared" si="57"/>
        <v>-</v>
      </c>
      <c r="U196" s="132" t="str">
        <f t="shared" si="57"/>
        <v>-</v>
      </c>
      <c r="V196" s="132" t="str">
        <f t="shared" si="57"/>
        <v>-</v>
      </c>
      <c r="W196" s="132" t="str">
        <f t="shared" si="57"/>
        <v>-</v>
      </c>
      <c r="X196" s="132" t="str">
        <f t="shared" si="57"/>
        <v>-</v>
      </c>
      <c r="Y196" s="132" t="str">
        <f t="shared" si="57"/>
        <v>-</v>
      </c>
      <c r="Z196" s="132" t="str">
        <f t="shared" si="57"/>
        <v>-</v>
      </c>
      <c r="AA196" s="408"/>
    </row>
    <row r="197">
      <c r="A197" s="71"/>
      <c r="B197" s="72"/>
      <c r="C197" s="72"/>
      <c r="D197" s="72"/>
      <c r="E197" s="864" t="s">
        <v>423</v>
      </c>
      <c r="F197" s="139" t="str">
        <f>LeverageFunging!F118</f>
        <v>%</v>
      </c>
      <c r="G197" s="377" t="s">
        <v>114</v>
      </c>
      <c r="H197" s="233" t="str">
        <f>LeverageFunging!H118</f>
        <v>-</v>
      </c>
      <c r="I197" s="150">
        <f>LeverageFunging!I118</f>
        <v>-0.4294575887</v>
      </c>
      <c r="J197" s="150">
        <f>LeverageFunging!J118</f>
        <v>-0.2688426256</v>
      </c>
      <c r="K197" s="150">
        <f>LeverageFunging!K118</f>
        <v>-0.08688918656</v>
      </c>
      <c r="L197" s="150">
        <f>LeverageFunging!L118</f>
        <v>-0.0969968724</v>
      </c>
      <c r="M197" s="150">
        <f>LeverageFunging!M118</f>
        <v>-0.09610038761</v>
      </c>
      <c r="N197" s="150">
        <f>LeverageFunging!N118</f>
        <v>-0.1116558454</v>
      </c>
      <c r="O197" s="150">
        <f>LeverageFunging!O118</f>
        <v>-0.1414956146</v>
      </c>
      <c r="P197" s="150">
        <f>LeverageFunging!P118</f>
        <v>-0.1693250961</v>
      </c>
      <c r="Q197" s="150">
        <f>LeverageFunging!Q118</f>
        <v>-0.08462472306</v>
      </c>
      <c r="R197" s="150">
        <f>LeverageFunging!R118</f>
        <v>-0.08274604181</v>
      </c>
      <c r="S197" s="150">
        <f>LeverageFunging!S118</f>
        <v>-0.178101104</v>
      </c>
      <c r="T197" s="150">
        <f>LeverageFunging!T118</f>
        <v>-0.08686396049</v>
      </c>
      <c r="U197" s="150">
        <f>LeverageFunging!U118</f>
        <v>-0.1708858126</v>
      </c>
      <c r="V197" s="150">
        <f>LeverageFunging!V118</f>
        <v>-0.1733596936</v>
      </c>
      <c r="W197" s="150">
        <f>LeverageFunging!W118</f>
        <v>-0.1588991628</v>
      </c>
      <c r="X197" s="150">
        <f>LeverageFunging!X118</f>
        <v>-0.1784062686</v>
      </c>
      <c r="Y197" s="150">
        <f>LeverageFunging!Y118</f>
        <v>-0.5144116485</v>
      </c>
      <c r="Z197" s="150">
        <f>LeverageFunging!Z118</f>
        <v>-0.2026650388</v>
      </c>
      <c r="AA197" s="426"/>
    </row>
    <row r="198">
      <c r="A198" s="71"/>
      <c r="B198" s="72"/>
      <c r="C198" s="72"/>
      <c r="D198" s="776" t="s">
        <v>577</v>
      </c>
      <c r="E198" s="15"/>
      <c r="F198" s="96" t="s">
        <v>99</v>
      </c>
      <c r="G198" s="176" t="s">
        <v>112</v>
      </c>
      <c r="H198" s="870" t="s">
        <v>124</v>
      </c>
      <c r="I198" s="785">
        <f t="shared" ref="I198:Z198" si="58">((1+$H196)*(1+I197))-1</f>
        <v>-0.4751009816</v>
      </c>
      <c r="J198" s="785">
        <f t="shared" si="58"/>
        <v>-0.3273352155</v>
      </c>
      <c r="K198" s="785">
        <f t="shared" si="58"/>
        <v>-0.1599380516</v>
      </c>
      <c r="L198" s="785">
        <f t="shared" si="58"/>
        <v>-0.1692371226</v>
      </c>
      <c r="M198" s="785">
        <f t="shared" si="58"/>
        <v>-0.1684123566</v>
      </c>
      <c r="N198" s="785">
        <f t="shared" si="58"/>
        <v>-0.1827233778</v>
      </c>
      <c r="O198" s="785">
        <f t="shared" si="58"/>
        <v>-0.2101759654</v>
      </c>
      <c r="P198" s="785">
        <f t="shared" si="58"/>
        <v>-0.2357790884</v>
      </c>
      <c r="Q198" s="785">
        <f t="shared" si="58"/>
        <v>-0.1578547452</v>
      </c>
      <c r="R198" s="785">
        <f t="shared" si="58"/>
        <v>-0.1561263585</v>
      </c>
      <c r="S198" s="785">
        <f t="shared" si="58"/>
        <v>-0.2438530157</v>
      </c>
      <c r="T198" s="785">
        <f t="shared" si="58"/>
        <v>-0.1599148437</v>
      </c>
      <c r="U198" s="785">
        <f t="shared" si="58"/>
        <v>-0.2372149476</v>
      </c>
      <c r="V198" s="785">
        <f t="shared" si="58"/>
        <v>-0.2394909181</v>
      </c>
      <c r="W198" s="785">
        <f t="shared" si="58"/>
        <v>-0.2261872298</v>
      </c>
      <c r="X198" s="785">
        <f t="shared" si="58"/>
        <v>-0.2441337671</v>
      </c>
      <c r="Y198" s="785">
        <f t="shared" si="58"/>
        <v>-0.5532587166</v>
      </c>
      <c r="Z198" s="785">
        <f t="shared" si="58"/>
        <v>-0.2664518357</v>
      </c>
      <c r="AA198" s="847"/>
    </row>
    <row r="199">
      <c r="A199" s="71"/>
      <c r="B199" s="72"/>
      <c r="C199" s="72"/>
      <c r="D199" s="72"/>
      <c r="E199" s="74"/>
      <c r="F199" s="75"/>
      <c r="G199" s="77"/>
      <c r="H199" s="78"/>
      <c r="I199" s="85"/>
      <c r="J199" s="85"/>
      <c r="K199" s="85"/>
      <c r="L199" s="85"/>
      <c r="M199" s="85"/>
      <c r="N199" s="85"/>
      <c r="O199" s="85"/>
      <c r="P199" s="85"/>
      <c r="Q199" s="85"/>
      <c r="R199" s="85"/>
      <c r="S199" s="85"/>
      <c r="T199" s="85"/>
      <c r="U199" s="85"/>
      <c r="V199" s="85"/>
      <c r="W199" s="85"/>
      <c r="X199" s="85"/>
      <c r="Y199" s="85"/>
      <c r="Z199" s="85"/>
      <c r="AA199" s="81"/>
    </row>
    <row r="200">
      <c r="A200" s="71"/>
      <c r="B200" s="72"/>
      <c r="C200" s="188" t="s">
        <v>578</v>
      </c>
      <c r="F200" s="75"/>
      <c r="G200" s="77"/>
      <c r="H200" s="78"/>
      <c r="I200" s="85"/>
      <c r="J200" s="85"/>
      <c r="K200" s="85"/>
      <c r="L200" s="85"/>
      <c r="M200" s="85"/>
      <c r="N200" s="85"/>
      <c r="O200" s="85"/>
      <c r="P200" s="85"/>
      <c r="Q200" s="85"/>
      <c r="R200" s="85"/>
      <c r="S200" s="85"/>
      <c r="T200" s="85"/>
      <c r="U200" s="85"/>
      <c r="V200" s="85"/>
      <c r="W200" s="85"/>
      <c r="X200" s="85"/>
      <c r="Y200" s="85"/>
      <c r="Z200" s="85"/>
      <c r="AA200" s="81"/>
    </row>
    <row r="201">
      <c r="A201" s="71"/>
      <c r="B201" s="72"/>
      <c r="C201" s="72"/>
      <c r="D201" s="72"/>
      <c r="E201" s="113" t="s">
        <v>198</v>
      </c>
      <c r="F201" s="115" t="str">
        <f>F161</f>
        <v>%</v>
      </c>
      <c r="G201" s="231" t="s">
        <v>38</v>
      </c>
      <c r="H201" s="296">
        <f t="shared" ref="H201:Z201" si="59">H161</f>
        <v>-0.08</v>
      </c>
      <c r="I201" s="132" t="str">
        <f t="shared" si="59"/>
        <v>-</v>
      </c>
      <c r="J201" s="132" t="str">
        <f t="shared" si="59"/>
        <v>-</v>
      </c>
      <c r="K201" s="132" t="str">
        <f t="shared" si="59"/>
        <v>-</v>
      </c>
      <c r="L201" s="132" t="str">
        <f t="shared" si="59"/>
        <v>-</v>
      </c>
      <c r="M201" s="132" t="str">
        <f t="shared" si="59"/>
        <v>-</v>
      </c>
      <c r="N201" s="132" t="str">
        <f t="shared" si="59"/>
        <v>-</v>
      </c>
      <c r="O201" s="132" t="str">
        <f t="shared" si="59"/>
        <v>-</v>
      </c>
      <c r="P201" s="132" t="str">
        <f t="shared" si="59"/>
        <v>-</v>
      </c>
      <c r="Q201" s="132" t="str">
        <f t="shared" si="59"/>
        <v>-</v>
      </c>
      <c r="R201" s="132" t="str">
        <f t="shared" si="59"/>
        <v>-</v>
      </c>
      <c r="S201" s="132" t="str">
        <f t="shared" si="59"/>
        <v>-</v>
      </c>
      <c r="T201" s="132" t="str">
        <f t="shared" si="59"/>
        <v>-</v>
      </c>
      <c r="U201" s="132" t="str">
        <f t="shared" si="59"/>
        <v>-</v>
      </c>
      <c r="V201" s="132" t="str">
        <f t="shared" si="59"/>
        <v>-</v>
      </c>
      <c r="W201" s="132" t="str">
        <f t="shared" si="59"/>
        <v>-</v>
      </c>
      <c r="X201" s="132" t="str">
        <f t="shared" si="59"/>
        <v>-</v>
      </c>
      <c r="Y201" s="132" t="str">
        <f t="shared" si="59"/>
        <v>-</v>
      </c>
      <c r="Z201" s="132" t="str">
        <f t="shared" si="59"/>
        <v>-</v>
      </c>
      <c r="AA201" s="408"/>
    </row>
    <row r="202">
      <c r="A202" s="71"/>
      <c r="B202" s="72"/>
      <c r="C202" s="72"/>
      <c r="D202" s="72"/>
      <c r="E202" s="136" t="s">
        <v>218</v>
      </c>
      <c r="F202" s="139" t="s">
        <v>99</v>
      </c>
      <c r="G202" s="377" t="s">
        <v>112</v>
      </c>
      <c r="H202" s="233" t="s">
        <v>124</v>
      </c>
      <c r="I202" s="150">
        <f t="shared" ref="I202:Z202" si="60">SUM($H172:$H176,I172:I176)</f>
        <v>-0.198</v>
      </c>
      <c r="J202" s="150">
        <f t="shared" si="60"/>
        <v>-0.148</v>
      </c>
      <c r="K202" s="150">
        <f t="shared" si="60"/>
        <v>-0.108</v>
      </c>
      <c r="L202" s="150">
        <f t="shared" si="60"/>
        <v>-0.108</v>
      </c>
      <c r="M202" s="150">
        <f t="shared" si="60"/>
        <v>-0.108</v>
      </c>
      <c r="N202" s="150">
        <f t="shared" si="60"/>
        <v>-0.108</v>
      </c>
      <c r="O202" s="150">
        <f t="shared" si="60"/>
        <v>-0.108</v>
      </c>
      <c r="P202" s="150">
        <f t="shared" si="60"/>
        <v>-0.048</v>
      </c>
      <c r="Q202" s="150">
        <f t="shared" si="60"/>
        <v>-0.048</v>
      </c>
      <c r="R202" s="150">
        <f t="shared" si="60"/>
        <v>-0.048</v>
      </c>
      <c r="S202" s="150">
        <f t="shared" si="60"/>
        <v>-0.048</v>
      </c>
      <c r="T202" s="150">
        <f t="shared" si="60"/>
        <v>-0.048</v>
      </c>
      <c r="U202" s="150">
        <f t="shared" si="60"/>
        <v>-0.048</v>
      </c>
      <c r="V202" s="150">
        <f t="shared" si="60"/>
        <v>-0.048</v>
      </c>
      <c r="W202" s="150">
        <f t="shared" si="60"/>
        <v>-0.048</v>
      </c>
      <c r="X202" s="150">
        <f t="shared" si="60"/>
        <v>-0.048</v>
      </c>
      <c r="Y202" s="150">
        <f t="shared" si="60"/>
        <v>-0.098</v>
      </c>
      <c r="Z202" s="150">
        <f t="shared" si="60"/>
        <v>-0.108</v>
      </c>
      <c r="AA202" s="426"/>
    </row>
    <row r="203">
      <c r="A203" s="71"/>
      <c r="B203" s="72"/>
      <c r="C203" s="72"/>
      <c r="D203" s="72"/>
      <c r="E203" s="864" t="s">
        <v>468</v>
      </c>
      <c r="F203" s="139" t="str">
        <f>LeverageFunging!F126</f>
        <v>%</v>
      </c>
      <c r="G203" s="377" t="s">
        <v>114</v>
      </c>
      <c r="H203" s="233" t="str">
        <f>LeverageFunging!H126</f>
        <v>-</v>
      </c>
      <c r="I203" s="150">
        <f>LeverageFunging!I126</f>
        <v>-0.4314760391</v>
      </c>
      <c r="J203" s="150">
        <f>LeverageFunging!J126</f>
        <v>-0.2770478534</v>
      </c>
      <c r="K203" s="150">
        <f>LeverageFunging!K126</f>
        <v>-0.1002717579</v>
      </c>
      <c r="L203" s="150">
        <f>LeverageFunging!L126</f>
        <v>-0.1083850684</v>
      </c>
      <c r="M203" s="150">
        <f>LeverageFunging!M126</f>
        <v>-0.1074195328</v>
      </c>
      <c r="N203" s="150">
        <f>LeverageFunging!N126</f>
        <v>-0.1184820015</v>
      </c>
      <c r="O203" s="150">
        <f>LeverageFunging!O126</f>
        <v>-0.1477057803</v>
      </c>
      <c r="P203" s="150">
        <f>LeverageFunging!P126</f>
        <v>-0.1733304084</v>
      </c>
      <c r="Q203" s="150">
        <f>LeverageFunging!Q126</f>
        <v>-0.09130981873</v>
      </c>
      <c r="R203" s="150">
        <f>LeverageFunging!R126</f>
        <v>-0.0898638179</v>
      </c>
      <c r="S203" s="150">
        <f>LeverageFunging!S126</f>
        <v>-0.1813714656</v>
      </c>
      <c r="T203" s="150">
        <f>LeverageFunging!T126</f>
        <v>-0.0921228948</v>
      </c>
      <c r="U203" s="150">
        <f>LeverageFunging!U126</f>
        <v>-0.17533753</v>
      </c>
      <c r="V203" s="150">
        <f>LeverageFunging!V126</f>
        <v>-0.1779547136</v>
      </c>
      <c r="W203" s="150">
        <f>LeverageFunging!W126</f>
        <v>-0.1650931491</v>
      </c>
      <c r="X203" s="150">
        <f>LeverageFunging!X126</f>
        <v>-0.1812687153</v>
      </c>
      <c r="Y203" s="150">
        <f>LeverageFunging!Y126</f>
        <v>-0.5173225927</v>
      </c>
      <c r="Z203" s="150">
        <f>LeverageFunging!Z126</f>
        <v>-0.2088466973</v>
      </c>
      <c r="AA203" s="426"/>
    </row>
    <row r="204">
      <c r="A204" s="71"/>
      <c r="B204" s="72"/>
      <c r="C204" s="72"/>
      <c r="D204" s="776" t="s">
        <v>579</v>
      </c>
      <c r="E204" s="15"/>
      <c r="F204" s="96" t="s">
        <v>99</v>
      </c>
      <c r="G204" s="176" t="s">
        <v>112</v>
      </c>
      <c r="H204" s="870" t="s">
        <v>124</v>
      </c>
      <c r="I204" s="785">
        <f t="shared" ref="I204:Z204" si="61">((1+$H201)*(1+I202)*(1+I203))-1</f>
        <v>-0.5805202807</v>
      </c>
      <c r="J204" s="785">
        <f t="shared" si="61"/>
        <v>-0.4333211894</v>
      </c>
      <c r="K204" s="785">
        <f t="shared" si="61"/>
        <v>-0.2616470154</v>
      </c>
      <c r="L204" s="785">
        <f t="shared" si="61"/>
        <v>-0.2683051225</v>
      </c>
      <c r="M204" s="785">
        <f t="shared" si="61"/>
        <v>-0.2675127654</v>
      </c>
      <c r="N204" s="785">
        <f t="shared" si="61"/>
        <v>-0.2765910697</v>
      </c>
      <c r="O204" s="785">
        <f t="shared" si="61"/>
        <v>-0.3005732716</v>
      </c>
      <c r="P204" s="785">
        <f t="shared" si="61"/>
        <v>-0.2759697049</v>
      </c>
      <c r="Q204" s="785">
        <f t="shared" si="61"/>
        <v>-0.2041327916</v>
      </c>
      <c r="R204" s="785">
        <f t="shared" si="61"/>
        <v>-0.2028663263</v>
      </c>
      <c r="S204" s="785">
        <f t="shared" si="61"/>
        <v>-0.2830123845</v>
      </c>
      <c r="T204" s="785">
        <f t="shared" si="61"/>
        <v>-0.2048449162</v>
      </c>
      <c r="U204" s="785">
        <f t="shared" si="61"/>
        <v>-0.2777276223</v>
      </c>
      <c r="V204" s="785">
        <f t="shared" si="61"/>
        <v>-0.2800198563</v>
      </c>
      <c r="W204" s="785">
        <f t="shared" si="61"/>
        <v>-0.2687551837</v>
      </c>
      <c r="X204" s="785">
        <f t="shared" si="61"/>
        <v>-0.2829223916</v>
      </c>
      <c r="Y204" s="785">
        <f t="shared" si="61"/>
        <v>-0.5994549804</v>
      </c>
      <c r="Z204" s="785">
        <f t="shared" si="61"/>
        <v>-0.3507479537</v>
      </c>
      <c r="AA204" s="847"/>
    </row>
    <row r="205">
      <c r="A205" s="71"/>
      <c r="B205" s="72"/>
      <c r="C205" s="72"/>
      <c r="D205" s="72"/>
      <c r="E205" s="74"/>
      <c r="F205" s="75"/>
      <c r="G205" s="77"/>
      <c r="H205" s="78"/>
      <c r="I205" s="85"/>
      <c r="J205" s="85"/>
      <c r="K205" s="85"/>
      <c r="L205" s="85"/>
      <c r="M205" s="85"/>
      <c r="N205" s="85"/>
      <c r="O205" s="85"/>
      <c r="P205" s="85"/>
      <c r="Q205" s="85"/>
      <c r="R205" s="85"/>
      <c r="S205" s="85"/>
      <c r="T205" s="85"/>
      <c r="U205" s="85"/>
      <c r="V205" s="85"/>
      <c r="W205" s="85"/>
      <c r="X205" s="85"/>
      <c r="Y205" s="85"/>
      <c r="Z205" s="85"/>
      <c r="AA205" s="81"/>
    </row>
    <row r="206">
      <c r="A206" s="71"/>
      <c r="B206" s="72"/>
      <c r="C206" s="188" t="s">
        <v>580</v>
      </c>
      <c r="F206" s="75"/>
      <c r="G206" s="77"/>
      <c r="H206" s="78"/>
      <c r="I206" s="85"/>
      <c r="J206" s="85"/>
      <c r="K206" s="85"/>
      <c r="L206" s="85"/>
      <c r="M206" s="85"/>
      <c r="N206" s="85"/>
      <c r="O206" s="85"/>
      <c r="P206" s="85"/>
      <c r="Q206" s="85"/>
      <c r="R206" s="85"/>
      <c r="S206" s="85"/>
      <c r="T206" s="85"/>
      <c r="U206" s="85"/>
      <c r="V206" s="85"/>
      <c r="W206" s="85"/>
      <c r="X206" s="85"/>
      <c r="Y206" s="85"/>
      <c r="Z206" s="85"/>
      <c r="AA206" s="81"/>
    </row>
    <row r="207">
      <c r="A207" s="71"/>
      <c r="B207" s="72"/>
      <c r="C207" s="72"/>
      <c r="D207" s="72"/>
      <c r="E207" s="113" t="s">
        <v>581</v>
      </c>
      <c r="F207" s="115" t="s">
        <v>88</v>
      </c>
      <c r="G207" s="231" t="s">
        <v>112</v>
      </c>
      <c r="H207" s="191" t="s">
        <v>124</v>
      </c>
      <c r="I207" s="123">
        <f t="shared" ref="I207:Z207" si="62">I36*(1+I$198)</f>
        <v>92268.35824</v>
      </c>
      <c r="J207" s="123">
        <f t="shared" si="62"/>
        <v>103879.2502</v>
      </c>
      <c r="K207" s="123">
        <f t="shared" si="62"/>
        <v>129730.3016</v>
      </c>
      <c r="L207" s="123">
        <f t="shared" si="62"/>
        <v>128294.2512</v>
      </c>
      <c r="M207" s="123">
        <f t="shared" si="62"/>
        <v>128421.6194</v>
      </c>
      <c r="N207" s="123">
        <f t="shared" si="62"/>
        <v>126211.5763</v>
      </c>
      <c r="O207" s="123">
        <f t="shared" si="62"/>
        <v>121972.0884</v>
      </c>
      <c r="P207" s="123">
        <f t="shared" si="62"/>
        <v>151548.8433</v>
      </c>
      <c r="Q207" s="123">
        <f t="shared" si="62"/>
        <v>167001.6317</v>
      </c>
      <c r="R207" s="123">
        <f t="shared" si="62"/>
        <v>133875.5036</v>
      </c>
      <c r="S207" s="123">
        <f t="shared" si="62"/>
        <v>149947.743</v>
      </c>
      <c r="T207" s="123">
        <f t="shared" si="62"/>
        <v>133274.4831</v>
      </c>
      <c r="U207" s="123">
        <f t="shared" si="62"/>
        <v>121011.2842</v>
      </c>
      <c r="V207" s="123">
        <f t="shared" si="62"/>
        <v>120650.215</v>
      </c>
      <c r="W207" s="123">
        <f t="shared" si="62"/>
        <v>122760.7656</v>
      </c>
      <c r="X207" s="123">
        <f t="shared" si="62"/>
        <v>149892.0686</v>
      </c>
      <c r="Y207" s="123">
        <f t="shared" si="62"/>
        <v>83136.77826</v>
      </c>
      <c r="Z207" s="123">
        <f t="shared" si="62"/>
        <v>90625.1495</v>
      </c>
      <c r="AA207" s="408"/>
    </row>
    <row r="208">
      <c r="A208" s="71"/>
      <c r="B208" s="72"/>
      <c r="C208" s="72"/>
      <c r="D208" s="72"/>
      <c r="E208" s="93" t="s">
        <v>582</v>
      </c>
      <c r="F208" s="96" t="s">
        <v>95</v>
      </c>
      <c r="G208" s="176" t="s">
        <v>112</v>
      </c>
      <c r="H208" s="177" t="s">
        <v>124</v>
      </c>
      <c r="I208" s="254">
        <f t="shared" ref="I208:Z208" si="63">I19/I207</f>
        <v>10.83795159</v>
      </c>
      <c r="J208" s="254">
        <f t="shared" si="63"/>
        <v>9.626561587</v>
      </c>
      <c r="K208" s="254">
        <f t="shared" si="63"/>
        <v>7.708299355</v>
      </c>
      <c r="L208" s="254">
        <f t="shared" si="63"/>
        <v>7.794581524</v>
      </c>
      <c r="M208" s="254">
        <f t="shared" si="63"/>
        <v>7.786850883</v>
      </c>
      <c r="N208" s="254">
        <f t="shared" si="63"/>
        <v>7.923203477</v>
      </c>
      <c r="O208" s="254">
        <f t="shared" si="63"/>
        <v>8.198597018</v>
      </c>
      <c r="P208" s="254">
        <f t="shared" si="63"/>
        <v>6.598532713</v>
      </c>
      <c r="Q208" s="254">
        <f t="shared" si="63"/>
        <v>5.987965445</v>
      </c>
      <c r="R208" s="254">
        <f t="shared" si="63"/>
        <v>7.46962643</v>
      </c>
      <c r="S208" s="254">
        <f t="shared" si="63"/>
        <v>6.668990011</v>
      </c>
      <c r="T208" s="254">
        <f t="shared" si="63"/>
        <v>7.503311788</v>
      </c>
      <c r="U208" s="254">
        <f t="shared" si="63"/>
        <v>8.263692159</v>
      </c>
      <c r="V208" s="254">
        <f t="shared" si="63"/>
        <v>8.288422856</v>
      </c>
      <c r="W208" s="254">
        <f t="shared" si="63"/>
        <v>8.145925085</v>
      </c>
      <c r="X208" s="254">
        <f t="shared" si="63"/>
        <v>6.671467074</v>
      </c>
      <c r="Y208" s="254">
        <f t="shared" si="63"/>
        <v>12.02837085</v>
      </c>
      <c r="Z208" s="254">
        <f t="shared" si="63"/>
        <v>11.03446456</v>
      </c>
      <c r="AA208" s="847"/>
    </row>
    <row r="209">
      <c r="A209" s="71"/>
      <c r="B209" s="72"/>
      <c r="C209" s="72"/>
      <c r="D209" s="72"/>
      <c r="E209" s="74"/>
      <c r="F209" s="75"/>
      <c r="G209" s="77"/>
      <c r="H209" s="78"/>
      <c r="I209" s="85"/>
      <c r="J209" s="85"/>
      <c r="K209" s="85"/>
      <c r="L209" s="85"/>
      <c r="M209" s="85"/>
      <c r="N209" s="85"/>
      <c r="O209" s="85"/>
      <c r="P209" s="85"/>
      <c r="Q209" s="85"/>
      <c r="R209" s="85"/>
      <c r="S209" s="85"/>
      <c r="T209" s="85"/>
      <c r="U209" s="85"/>
      <c r="V209" s="85"/>
      <c r="W209" s="85"/>
      <c r="X209" s="85"/>
      <c r="Y209" s="85"/>
      <c r="Z209" s="85"/>
      <c r="AA209" s="81"/>
    </row>
    <row r="210">
      <c r="A210" s="71"/>
      <c r="B210" s="72"/>
      <c r="C210" s="188" t="s">
        <v>583</v>
      </c>
      <c r="F210" s="75"/>
      <c r="G210" s="77"/>
      <c r="H210" s="78"/>
      <c r="I210" s="85"/>
      <c r="J210" s="85"/>
      <c r="K210" s="85"/>
      <c r="L210" s="85"/>
      <c r="M210" s="85"/>
      <c r="N210" s="85"/>
      <c r="O210" s="85"/>
      <c r="P210" s="85"/>
      <c r="Q210" s="85"/>
      <c r="R210" s="85"/>
      <c r="S210" s="85"/>
      <c r="T210" s="85"/>
      <c r="U210" s="85"/>
      <c r="V210" s="85"/>
      <c r="W210" s="85"/>
      <c r="X210" s="85"/>
      <c r="Y210" s="85"/>
      <c r="Z210" s="85"/>
      <c r="AA210" s="81"/>
    </row>
    <row r="211">
      <c r="A211" s="71"/>
      <c r="B211" s="72"/>
      <c r="C211" s="72"/>
      <c r="D211" s="72"/>
      <c r="E211" s="113" t="s">
        <v>584</v>
      </c>
      <c r="F211" s="115" t="s">
        <v>88</v>
      </c>
      <c r="G211" s="231" t="s">
        <v>112</v>
      </c>
      <c r="H211" s="191" t="s">
        <v>124</v>
      </c>
      <c r="I211" s="123">
        <f t="shared" ref="I211:Z211" si="64">I143*(1+I$204)</f>
        <v>300.4580597</v>
      </c>
      <c r="J211" s="123">
        <f t="shared" si="64"/>
        <v>118.7791343</v>
      </c>
      <c r="K211" s="123">
        <f t="shared" si="64"/>
        <v>126.2976344</v>
      </c>
      <c r="L211" s="123">
        <f t="shared" si="64"/>
        <v>148.181824</v>
      </c>
      <c r="M211" s="123">
        <f t="shared" si="64"/>
        <v>147.3174761</v>
      </c>
      <c r="N211" s="123">
        <f t="shared" si="64"/>
        <v>218.7653102</v>
      </c>
      <c r="O211" s="123">
        <f t="shared" si="64"/>
        <v>206.9725848</v>
      </c>
      <c r="P211" s="123">
        <f t="shared" si="64"/>
        <v>352.5471194</v>
      </c>
      <c r="Q211" s="123">
        <f t="shared" si="64"/>
        <v>281.7365394</v>
      </c>
      <c r="R211" s="123">
        <f t="shared" si="64"/>
        <v>257.3956323</v>
      </c>
      <c r="S211" s="123">
        <f t="shared" si="64"/>
        <v>461.3417841</v>
      </c>
      <c r="T211" s="123">
        <f t="shared" si="64"/>
        <v>341.6599121</v>
      </c>
      <c r="U211" s="123">
        <f t="shared" si="64"/>
        <v>345.8455229</v>
      </c>
      <c r="V211" s="123">
        <f t="shared" si="64"/>
        <v>355.9615087</v>
      </c>
      <c r="W211" s="123">
        <f t="shared" si="64"/>
        <v>249.6682276</v>
      </c>
      <c r="X211" s="123">
        <f t="shared" si="64"/>
        <v>492.87</v>
      </c>
      <c r="Y211" s="123">
        <f t="shared" si="64"/>
        <v>148.4501729</v>
      </c>
      <c r="Z211" s="123">
        <f t="shared" si="64"/>
        <v>179.5905598</v>
      </c>
      <c r="AA211" s="408"/>
    </row>
    <row r="212">
      <c r="A212" s="71"/>
      <c r="B212" s="72"/>
      <c r="C212" s="72"/>
      <c r="D212" s="72"/>
      <c r="E212" s="93" t="s">
        <v>585</v>
      </c>
      <c r="F212" s="96" t="s">
        <v>95</v>
      </c>
      <c r="G212" s="176" t="s">
        <v>112</v>
      </c>
      <c r="H212" s="177" t="s">
        <v>124</v>
      </c>
      <c r="I212" s="112">
        <f t="shared" ref="I212:Z212" si="65">I19/I211</f>
        <v>3328.251541</v>
      </c>
      <c r="J212" s="112">
        <f t="shared" si="65"/>
        <v>8418.987103</v>
      </c>
      <c r="K212" s="112">
        <f t="shared" si="65"/>
        <v>7917.804675</v>
      </c>
      <c r="L212" s="112">
        <f t="shared" si="65"/>
        <v>6748.465993</v>
      </c>
      <c r="M212" s="112">
        <f t="shared" si="65"/>
        <v>6788.060904</v>
      </c>
      <c r="N212" s="112">
        <f t="shared" si="65"/>
        <v>4571.108642</v>
      </c>
      <c r="O212" s="112">
        <f t="shared" si="65"/>
        <v>4831.55777</v>
      </c>
      <c r="P212" s="112">
        <f t="shared" si="65"/>
        <v>2836.500272</v>
      </c>
      <c r="Q212" s="112">
        <f t="shared" si="65"/>
        <v>3549.415359</v>
      </c>
      <c r="R212" s="112">
        <f t="shared" si="65"/>
        <v>3885.069808</v>
      </c>
      <c r="S212" s="112">
        <f t="shared" si="65"/>
        <v>2167.590351</v>
      </c>
      <c r="T212" s="112">
        <f t="shared" si="65"/>
        <v>2926.887131</v>
      </c>
      <c r="U212" s="112">
        <f t="shared" si="65"/>
        <v>2891.46435</v>
      </c>
      <c r="V212" s="112">
        <f t="shared" si="65"/>
        <v>2809.292509</v>
      </c>
      <c r="W212" s="112">
        <f t="shared" si="65"/>
        <v>4005.315413</v>
      </c>
      <c r="X212" s="112">
        <f t="shared" si="65"/>
        <v>2028.932579</v>
      </c>
      <c r="Y212" s="112">
        <f t="shared" si="65"/>
        <v>6736.266995</v>
      </c>
      <c r="Z212" s="112">
        <f t="shared" si="65"/>
        <v>5568.221408</v>
      </c>
      <c r="AA212" s="847"/>
    </row>
    <row r="213">
      <c r="A213" s="713"/>
      <c r="B213" s="714"/>
      <c r="C213" s="714"/>
      <c r="D213" s="714"/>
      <c r="E213" s="880"/>
      <c r="F213" s="716"/>
      <c r="G213" s="438"/>
      <c r="H213" s="439"/>
      <c r="I213" s="440"/>
      <c r="J213" s="440"/>
      <c r="K213" s="440"/>
      <c r="L213" s="440"/>
      <c r="M213" s="440"/>
      <c r="N213" s="440"/>
      <c r="O213" s="440"/>
      <c r="P213" s="440"/>
      <c r="Q213" s="440"/>
      <c r="R213" s="440"/>
      <c r="S213" s="440"/>
      <c r="T213" s="440"/>
      <c r="U213" s="440"/>
      <c r="V213" s="440"/>
      <c r="W213" s="440"/>
      <c r="X213" s="440"/>
      <c r="Y213" s="440"/>
      <c r="Z213" s="440"/>
      <c r="AA213" s="847"/>
    </row>
  </sheetData>
  <mergeCells count="49">
    <mergeCell ref="I1:Q1"/>
    <mergeCell ref="R1:Z1"/>
    <mergeCell ref="A3:E3"/>
    <mergeCell ref="A5:G5"/>
    <mergeCell ref="C7:E7"/>
    <mergeCell ref="C10:E10"/>
    <mergeCell ref="C15:E15"/>
    <mergeCell ref="C18:E18"/>
    <mergeCell ref="C23:E23"/>
    <mergeCell ref="C27:E27"/>
    <mergeCell ref="A33:G33"/>
    <mergeCell ref="C35:E35"/>
    <mergeCell ref="A38:G38"/>
    <mergeCell ref="C40:E40"/>
    <mergeCell ref="C58:E58"/>
    <mergeCell ref="C71:E71"/>
    <mergeCell ref="C83:E83"/>
    <mergeCell ref="A97:G97"/>
    <mergeCell ref="C99:E99"/>
    <mergeCell ref="C103:E103"/>
    <mergeCell ref="C107:E107"/>
    <mergeCell ref="A112:G112"/>
    <mergeCell ref="C114:E114"/>
    <mergeCell ref="C119:E119"/>
    <mergeCell ref="C124:E124"/>
    <mergeCell ref="C129:E129"/>
    <mergeCell ref="C136:E136"/>
    <mergeCell ref="C141:E141"/>
    <mergeCell ref="A146:G146"/>
    <mergeCell ref="C148:E148"/>
    <mergeCell ref="D149:E149"/>
    <mergeCell ref="D153:E153"/>
    <mergeCell ref="D156:E156"/>
    <mergeCell ref="D161:E161"/>
    <mergeCell ref="C163:E163"/>
    <mergeCell ref="A193:G193"/>
    <mergeCell ref="C195:E195"/>
    <mergeCell ref="D198:E198"/>
    <mergeCell ref="C200:E200"/>
    <mergeCell ref="D204:E204"/>
    <mergeCell ref="C206:E206"/>
    <mergeCell ref="C210:E210"/>
    <mergeCell ref="D164:E164"/>
    <mergeCell ref="D171:E171"/>
    <mergeCell ref="D177:E177"/>
    <mergeCell ref="C179:E179"/>
    <mergeCell ref="D183:E183"/>
    <mergeCell ref="A185:G185"/>
    <mergeCell ref="C187:E187"/>
  </mergeCells>
  <hyperlinks>
    <hyperlink display="Grant size" location="Inputs!E8" ref="E8"/>
    <hyperlink display="Percentage of total costs covered by the grantee" location="Inputs!E11" ref="E11"/>
    <hyperlink display="Percentage of total costs covered by other philanthropic actors" location="Inputs!E12" ref="E12"/>
    <hyperlink display="Percentage of total costs covered by domestic governments" location="Inputs!E13" ref="E13"/>
    <hyperlink display="Cost per seasonal malaria chemoprevention (SMC) cycle administered" location="Inputs!E16" ref="E28"/>
    <hyperlink display="Number of SMC cycles per year" location="Inputs!E17" ref="E29"/>
    <hyperlink display="Reduction in malaria incidence for children under age 5 targeted for SMC found in GiveWell's adjusted version of the Meremikwu et al. 2012 meta-analysis" location="Inputs!E45" ref="E41"/>
    <hyperlink display="Estimated proportion of children targeted for SMC in trials that received SMC" location="Inputs!E46" ref="E42"/>
    <hyperlink display="Internal validity adjustment" location="Inputs!E47" ref="E44"/>
    <hyperlink display="External validity adjustment" location="Inputs!E48" ref="E45"/>
    <hyperlink display="Adjustment for lower effectiveness outside the Sahel region of Africa" location="Inputs!E49" ref="E46"/>
    <hyperlink display="Ratio of the reduction in malaria mortality to the reduction in malaria incidence" location="Inputs!E50" ref="E48"/>
    <hyperlink display="Annual malaria mortality rate among 3-59-month-olds" location="'Counterfactual malaria'!E30" ref="E50"/>
    <hyperlink display="Indirect malaria deaths per direct malaria death" location="Inputs!E51" ref="E51"/>
    <hyperlink display="Proportion of annual malaria mortality that occurs during the SMC season" location="Inputs!E52" ref="E54"/>
    <hyperlink display="Reduction in malaria incidence among the SMC-eligible population found in Cisse et al. 2016" location="Inputs!E55" ref="E59"/>
    <hyperlink display="Reduction in malaria incidence among the population too old to be eligible for SMC found in Cisse et al. 2016" location="Inputs!E56" ref="E60"/>
    <hyperlink display="Adjustment for differences in program coverage and transmission intensity in the populations studied by the Cisse et al. 2016 trial and the populations targeted by grantee programs" location="Inputs!E57" ref="E62"/>
    <hyperlink display="Ratio of the reduction in malaria mortality to the reduction in malaria incidence" location="Inputs!E50" ref="E65"/>
    <hyperlink display="Malaria mortalities among people over age 5 per malaria mortality among 3-59-month-olds" location="'Counterfactual malaria'!E35" ref="E67"/>
    <hyperlink display="Adjusted malaria incidence among people age 1 to 4" location="'Counterfactual malaria'!E43" ref="E72"/>
    <hyperlink display="Adjusted malaria incidence among people age 5 to 14" location="'Counterfactual malaria'!E44" ref="E73"/>
    <hyperlink display="National population age 1 to 4" location="Inputs!E60" ref="E76"/>
    <hyperlink display="National population age 5 to 14" location="Inputs!E61" ref="E77"/>
    <hyperlink display="Increase in annual income per malaria case averted among people under age 15" location="Inputs!E64" ref="E84"/>
    <hyperlink display="Average number of years between receiving SMC and the beginning of long-term benefits" location="Inputs!E65" ref="E86"/>
    <hyperlink display="Discount rate for future benefits" location="Inputs!E66" ref="E87"/>
    <hyperlink display="Expected number of years the long-term benefits of receiving SMC will last" location="Inputs!E67" ref="E89"/>
    <hyperlink display="Multiplier for resource sharing within households" location="Inputs!E68" ref="E91"/>
    <hyperlink display="Value assigned to averting a malaria-attributable death of a person under age 5" location="Inputs!E73" ref="E100"/>
    <hyperlink display="Value assigned to averting a malaria-attributable death of a person age 5 or older" location="Inputs!E74" ref="E104"/>
    <hyperlink display="Value assigned to increasing ln(consumption) by one unit for one person for one year" location="Inputs!E76" ref="E108"/>
    <hyperlink display="Total deaths averted among people under age 5" location="'Main CEA'!E56" ref="E115"/>
    <hyperlink display="Total deaths averted among people age 5 and older" location="'Main CEA'!E69" ref="E116"/>
    <hyperlink display="Value assigned to averting a malaria-attributable death of a person under age 5" location="Inputs!E73" ref="E120"/>
    <hyperlink display="Value assigned to averting a malaria-attributable death of a person age 5 or older" location="'Main CEA'!E104" ref="E121"/>
    <hyperlink display="Total spending contributed by grantee" location="'Main CEA'!E19" ref="E130"/>
    <hyperlink display="Total spending contributed by grantee" location="'Main CEA'!E19" ref="E142"/>
    <hyperlink display="Double treatment" location="Inputs!E87" ref="E150"/>
    <hyperlink display="Ineffective goods" location="Inputs!E88" ref="E151"/>
    <hyperlink display="Goods purchased and left in storage until they expire / cash doesn't receive recipients or is taken back from them inappropriately" location="Inputs!E89" ref="E152"/>
    <hyperlink display="Misappropriation without monitoring results" location="Inputs!E91" ref="E154"/>
    <hyperlink display="False monitoring results" location="Inputs!E92" ref="E155"/>
    <hyperlink display="Change of priorities" location="Inputs!E94" ref="E157"/>
    <hyperlink display="Non-funding bottlenecks" location="Inputs!E95" ref="E158"/>
    <hyperlink display="Within-org fungibility" location="Inputs!E96" ref="E159"/>
    <hyperlink display="Malaria morbidity" location="Inputs!E99" ref="E165"/>
    <hyperlink display="Short-term anemia effects" location="Inputs!E100" ref="E166"/>
    <hyperlink display="Investment of income increases" location="Inputs!E101" ref="E167"/>
    <hyperlink display="Treatment costs averted from prevention" location="Inputs!E102" ref="E168"/>
    <hyperlink display="Serious adverse events due to side effects of treatment" location="Inputs!E103" ref="E169"/>
    <hyperlink display="Failure to ingest first day of treatment of SMC" location="Inputs!E104" ref="E170"/>
    <hyperlink display="Rebound effects / decreased immunity development" location="Inputs!E105" ref="E172"/>
    <hyperlink display="Drug resistance" location="Inputs!E106" ref="E173"/>
    <hyperlink display="Subnational adjustments" location="Inputs!E107" ref="E174"/>
    <hyperlink display="Marginal funding goes to lower priority areas" location="Inputs!E108" ref="E175"/>
    <hyperlink display="Adjustment for the possibility of crowding funding into the program (leverage)" location="LeverageFunging!E111" ref="E180"/>
    <hyperlink display="Adjustment for the possibility of crowding funding out of the program (funging)" location="LeverageFunging!E112" ref="E181"/>
    <hyperlink display="Total value generated by grantee spending after adjusting for leverage and funging" location="LeverageFunging!E108" ref="E188"/>
    <hyperlink display="Total spending contributed by grantee" location="'Main CEA'!E19" ref="E189"/>
    <hyperlink display="Total supplemental grantee-level adjustment" location="'Main CEA'!D161" ref="E196"/>
    <hyperlink display="Leverage and funging adjustment for counterfactual output estimates" location="LeverageFunging!E118" ref="E197"/>
    <hyperlink display="Total supplemental grantee-level adjustment" location="'Main CEA'!D161" ref="E201"/>
    <hyperlink display="Leverage and funging adjustment for counterfactual outcome estimates" location="LeverageFunging!E126" ref="E203"/>
  </hyperlink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26" width="12.13"/>
    <col customWidth="1" min="27" max="27" width="3.63"/>
  </cols>
  <sheetData>
    <row r="1">
      <c r="A1" s="1"/>
      <c r="B1" s="2"/>
      <c r="C1" s="2"/>
      <c r="D1" s="2"/>
      <c r="E1" s="5"/>
      <c r="F1" s="6"/>
      <c r="G1" s="6"/>
      <c r="H1" s="10"/>
      <c r="I1" s="14" t="s">
        <v>1</v>
      </c>
      <c r="J1" s="15"/>
      <c r="K1" s="15"/>
      <c r="L1" s="15"/>
      <c r="M1" s="15"/>
      <c r="N1" s="15"/>
      <c r="O1" s="15"/>
      <c r="P1" s="15"/>
      <c r="Q1" s="15"/>
      <c r="R1" s="18" t="s">
        <v>1</v>
      </c>
      <c r="S1" s="17"/>
      <c r="T1" s="17"/>
      <c r="U1" s="17"/>
      <c r="V1" s="17"/>
      <c r="W1" s="17"/>
      <c r="X1" s="17"/>
      <c r="Y1" s="17"/>
      <c r="Z1" s="17"/>
      <c r="AA1" s="19"/>
    </row>
    <row r="2">
      <c r="A2" s="21"/>
      <c r="B2" s="23"/>
      <c r="C2" s="23"/>
      <c r="D2" s="23"/>
      <c r="E2" s="25"/>
      <c r="F2" s="26"/>
      <c r="G2" s="26"/>
      <c r="H2" s="29"/>
      <c r="I2" s="31" t="s">
        <v>3</v>
      </c>
      <c r="J2" s="31" t="s">
        <v>4</v>
      </c>
      <c r="K2" s="31" t="s">
        <v>5</v>
      </c>
      <c r="L2" s="31" t="s">
        <v>5</v>
      </c>
      <c r="M2" s="31" t="s">
        <v>5</v>
      </c>
      <c r="N2" s="31" t="s">
        <v>5</v>
      </c>
      <c r="O2" s="31" t="s">
        <v>6</v>
      </c>
      <c r="P2" s="31" t="s">
        <v>7</v>
      </c>
      <c r="Q2" s="31" t="s">
        <v>7</v>
      </c>
      <c r="R2" s="31" t="s">
        <v>7</v>
      </c>
      <c r="S2" s="31" t="s">
        <v>7</v>
      </c>
      <c r="T2" s="31" t="s">
        <v>7</v>
      </c>
      <c r="U2" s="31" t="s">
        <v>7</v>
      </c>
      <c r="V2" s="31" t="s">
        <v>7</v>
      </c>
      <c r="W2" s="31" t="s">
        <v>7</v>
      </c>
      <c r="X2" s="31" t="s">
        <v>7</v>
      </c>
      <c r="Y2" s="31" t="s">
        <v>8</v>
      </c>
      <c r="Z2" s="31" t="s">
        <v>9</v>
      </c>
      <c r="AA2" s="37"/>
    </row>
    <row r="3">
      <c r="A3" s="39" t="s">
        <v>12</v>
      </c>
      <c r="B3" s="15"/>
      <c r="C3" s="15"/>
      <c r="D3" s="15"/>
      <c r="E3" s="15"/>
      <c r="F3" s="40"/>
      <c r="G3" s="40"/>
      <c r="H3" s="42" t="s">
        <v>16</v>
      </c>
      <c r="I3" s="44"/>
      <c r="J3" s="44"/>
      <c r="K3" s="44" t="s">
        <v>17</v>
      </c>
      <c r="L3" s="44" t="s">
        <v>18</v>
      </c>
      <c r="M3" s="44" t="s">
        <v>19</v>
      </c>
      <c r="N3" s="44" t="s">
        <v>20</v>
      </c>
      <c r="O3" s="44" t="s">
        <v>21</v>
      </c>
      <c r="P3" s="44" t="s">
        <v>22</v>
      </c>
      <c r="Q3" s="44" t="s">
        <v>23</v>
      </c>
      <c r="R3" s="44" t="s">
        <v>24</v>
      </c>
      <c r="S3" s="44" t="s">
        <v>25</v>
      </c>
      <c r="T3" s="44" t="s">
        <v>26</v>
      </c>
      <c r="U3" s="44" t="s">
        <v>27</v>
      </c>
      <c r="V3" s="44" t="s">
        <v>28</v>
      </c>
      <c r="W3" s="44" t="s">
        <v>29</v>
      </c>
      <c r="X3" s="44" t="s">
        <v>30</v>
      </c>
      <c r="Y3" s="44"/>
      <c r="Z3" s="44" t="s">
        <v>32</v>
      </c>
      <c r="AA3" s="48"/>
    </row>
    <row r="4">
      <c r="A4" s="50"/>
      <c r="B4" s="50"/>
      <c r="C4" s="50"/>
      <c r="D4" s="50"/>
      <c r="E4" s="52" t="s">
        <v>33</v>
      </c>
      <c r="F4" s="57" t="str">
        <f>'Main CEA'!F191</f>
        <v>xbenchmark</v>
      </c>
      <c r="G4" s="59" t="s">
        <v>37</v>
      </c>
      <c r="H4" s="62" t="str">
        <f>'Main CEA'!H191</f>
        <v>-</v>
      </c>
      <c r="I4" s="64">
        <f>'Main CEA'!I191</f>
        <v>18.0174674</v>
      </c>
      <c r="J4" s="64">
        <f>'Main CEA'!J191</f>
        <v>8.019128417</v>
      </c>
      <c r="K4" s="64">
        <f>'Main CEA'!K191</f>
        <v>7.852125556</v>
      </c>
      <c r="L4" s="64">
        <f>'Main CEA'!L191</f>
        <v>9.246029712</v>
      </c>
      <c r="M4" s="64">
        <f>'Main CEA'!M191</f>
        <v>9.101271824</v>
      </c>
      <c r="N4" s="64">
        <f>'Main CEA'!N191</f>
        <v>12.5733096</v>
      </c>
      <c r="O4" s="64">
        <f>'Main CEA'!O191</f>
        <v>11.49583583</v>
      </c>
      <c r="P4" s="64">
        <f>'Main CEA'!P191</f>
        <v>21.23317512</v>
      </c>
      <c r="Q4" s="64">
        <f>'Main CEA'!Q191</f>
        <v>18.02657078</v>
      </c>
      <c r="R4" s="64">
        <f>'Main CEA'!R191</f>
        <v>16.09673298</v>
      </c>
      <c r="S4" s="64">
        <f>'Main CEA'!S191</f>
        <v>29.42816881</v>
      </c>
      <c r="T4" s="64">
        <f>'Main CEA'!T191</f>
        <v>21.04785894</v>
      </c>
      <c r="U4" s="64">
        <f>'Main CEA'!U191</f>
        <v>22.32938367</v>
      </c>
      <c r="V4" s="64">
        <f>'Main CEA'!V191</f>
        <v>24.33012971</v>
      </c>
      <c r="W4" s="64">
        <f>'Main CEA'!W191</f>
        <v>16.04591397</v>
      </c>
      <c r="X4" s="64">
        <f>'Main CEA'!X191</f>
        <v>29.83296948</v>
      </c>
      <c r="Y4" s="64">
        <f>'Main CEA'!Y191</f>
        <v>10.567669</v>
      </c>
      <c r="Z4" s="64">
        <f>'Main CEA'!Z191</f>
        <v>10.36078258</v>
      </c>
      <c r="AA4" s="86"/>
    </row>
    <row r="5">
      <c r="A5" s="51" t="s">
        <v>55</v>
      </c>
      <c r="B5" s="15"/>
      <c r="C5" s="15"/>
      <c r="D5" s="15"/>
      <c r="E5" s="15"/>
      <c r="F5" s="15"/>
      <c r="G5" s="15"/>
      <c r="H5" s="67"/>
      <c r="I5" s="91"/>
      <c r="J5" s="91"/>
      <c r="K5" s="91"/>
      <c r="L5" s="91"/>
      <c r="M5" s="91"/>
      <c r="N5" s="91"/>
      <c r="O5" s="91"/>
      <c r="P5" s="91"/>
      <c r="Q5" s="91"/>
      <c r="R5" s="91"/>
      <c r="S5" s="91"/>
      <c r="T5" s="91"/>
      <c r="U5" s="91"/>
      <c r="V5" s="91"/>
      <c r="W5" s="91"/>
      <c r="X5" s="91"/>
      <c r="Y5" s="91"/>
      <c r="Z5" s="91"/>
      <c r="AA5" s="92"/>
    </row>
    <row r="6">
      <c r="A6" s="71"/>
      <c r="B6" s="72"/>
      <c r="C6" s="72"/>
      <c r="D6" s="72"/>
      <c r="E6" s="74"/>
      <c r="F6" s="75"/>
      <c r="G6" s="75"/>
      <c r="H6" s="78"/>
      <c r="I6" s="85"/>
      <c r="J6" s="85"/>
      <c r="K6" s="85"/>
      <c r="L6" s="85"/>
      <c r="M6" s="85"/>
      <c r="N6" s="85"/>
      <c r="O6" s="85"/>
      <c r="P6" s="85"/>
      <c r="Q6" s="85"/>
      <c r="R6" s="85"/>
      <c r="S6" s="85"/>
      <c r="T6" s="85"/>
      <c r="U6" s="85"/>
      <c r="V6" s="85"/>
      <c r="W6" s="85"/>
      <c r="X6" s="85"/>
      <c r="Y6" s="85"/>
      <c r="Z6" s="85"/>
      <c r="AA6" s="84"/>
    </row>
    <row r="7">
      <c r="A7" s="71"/>
      <c r="B7" s="72"/>
      <c r="C7" s="107" t="s">
        <v>61</v>
      </c>
      <c r="F7" s="75"/>
      <c r="G7" s="108"/>
      <c r="H7" s="78"/>
      <c r="I7" s="85"/>
      <c r="J7" s="85"/>
      <c r="K7" s="85"/>
      <c r="L7" s="85"/>
      <c r="M7" s="85"/>
      <c r="N7" s="85"/>
      <c r="O7" s="85"/>
      <c r="P7" s="85"/>
      <c r="Q7" s="85"/>
      <c r="R7" s="85"/>
      <c r="S7" s="85"/>
      <c r="T7" s="85"/>
      <c r="U7" s="85"/>
      <c r="V7" s="85"/>
      <c r="W7" s="85"/>
      <c r="X7" s="85"/>
      <c r="Y7" s="85"/>
      <c r="Z7" s="85"/>
      <c r="AA7" s="84"/>
    </row>
    <row r="8">
      <c r="A8" s="71"/>
      <c r="B8" s="72"/>
      <c r="C8" s="107"/>
      <c r="D8" s="72"/>
      <c r="E8" s="113" t="s">
        <v>61</v>
      </c>
      <c r="F8" s="115" t="str">
        <f>Inputs!F22</f>
        <v>#</v>
      </c>
      <c r="G8" s="115" t="str">
        <f>Inputs!G22</f>
        <v>input</v>
      </c>
      <c r="H8" s="121" t="str">
        <f>Inputs!H22</f>
        <v>-</v>
      </c>
      <c r="I8" s="123">
        <f>Inputs!I22</f>
        <v>16395.36949</v>
      </c>
      <c r="J8" s="123">
        <f>Inputs!J22</f>
        <v>4525.732446</v>
      </c>
      <c r="K8" s="123">
        <f>Inputs!K22</f>
        <v>4108.13667</v>
      </c>
      <c r="L8" s="123">
        <f>Inputs!L22</f>
        <v>3604.38625</v>
      </c>
      <c r="M8" s="123">
        <f>Inputs!M22</f>
        <v>1046.91257</v>
      </c>
      <c r="N8" s="123">
        <f>Inputs!N22</f>
        <v>3752.05856</v>
      </c>
      <c r="O8" s="123">
        <f>Inputs!O22</f>
        <v>3006.92809</v>
      </c>
      <c r="P8" s="123">
        <f>Inputs!P22</f>
        <v>3593.574945</v>
      </c>
      <c r="Q8" s="123">
        <f>Inputs!Q22</f>
        <v>1707.805365</v>
      </c>
      <c r="R8" s="123">
        <f>Inputs!R22</f>
        <v>1882.032542</v>
      </c>
      <c r="S8" s="123">
        <f>Inputs!S22</f>
        <v>3140.509316</v>
      </c>
      <c r="T8" s="123">
        <f>Inputs!T22</f>
        <v>800.9679515</v>
      </c>
      <c r="U8" s="123">
        <f>Inputs!U22</f>
        <v>2258.288279</v>
      </c>
      <c r="V8" s="123">
        <f>Inputs!V22</f>
        <v>1857.078678</v>
      </c>
      <c r="W8" s="123">
        <f>Inputs!W22</f>
        <v>3181.704964</v>
      </c>
      <c r="X8" s="123">
        <f>Inputs!X22</f>
        <v>4918.708785</v>
      </c>
      <c r="Y8" s="123">
        <f>Inputs!Y22</f>
        <v>1880.407943</v>
      </c>
      <c r="Z8" s="123">
        <f>Inputs!Z22</f>
        <v>3723.99317</v>
      </c>
      <c r="AA8" s="53"/>
    </row>
    <row r="9">
      <c r="A9" s="71"/>
      <c r="B9" s="72"/>
      <c r="C9" s="107"/>
      <c r="D9" s="72"/>
      <c r="E9" s="136" t="s">
        <v>86</v>
      </c>
      <c r="F9" s="139" t="str">
        <f>Inputs!F23</f>
        <v>#</v>
      </c>
      <c r="G9" s="139" t="str">
        <f>Inputs!G23</f>
        <v>input</v>
      </c>
      <c r="H9" s="141" t="str">
        <f>Inputs!H23</f>
        <v>-</v>
      </c>
      <c r="I9" s="145">
        <f>Inputs!I23</f>
        <v>0</v>
      </c>
      <c r="J9" s="145">
        <f>Inputs!J23</f>
        <v>0</v>
      </c>
      <c r="K9" s="145">
        <f>Inputs!K23</f>
        <v>0</v>
      </c>
      <c r="L9" s="145">
        <f>Inputs!L23</f>
        <v>0</v>
      </c>
      <c r="M9" s="145">
        <f>Inputs!M23</f>
        <v>0</v>
      </c>
      <c r="N9" s="145">
        <f>Inputs!N23</f>
        <v>0</v>
      </c>
      <c r="O9" s="145">
        <f>Inputs!O23</f>
        <v>0</v>
      </c>
      <c r="P9" s="145">
        <f>Inputs!P23</f>
        <v>0</v>
      </c>
      <c r="Q9" s="145">
        <f>Inputs!Q23</f>
        <v>0</v>
      </c>
      <c r="R9" s="145">
        <f>Inputs!R23</f>
        <v>0</v>
      </c>
      <c r="S9" s="145">
        <f>Inputs!S23</f>
        <v>0</v>
      </c>
      <c r="T9" s="145">
        <f>Inputs!T23</f>
        <v>0</v>
      </c>
      <c r="U9" s="145">
        <f>Inputs!U23</f>
        <v>0</v>
      </c>
      <c r="V9" s="145">
        <f>Inputs!V23</f>
        <v>0</v>
      </c>
      <c r="W9" s="145">
        <f>Inputs!W23</f>
        <v>0</v>
      </c>
      <c r="X9" s="145">
        <f>Inputs!X23</f>
        <v>0</v>
      </c>
      <c r="Y9" s="145">
        <f>Inputs!Y23</f>
        <v>0</v>
      </c>
      <c r="Z9" s="145">
        <f>Inputs!Z23</f>
        <v>0</v>
      </c>
      <c r="AA9" s="61"/>
    </row>
    <row r="10">
      <c r="A10" s="71"/>
      <c r="B10" s="72"/>
      <c r="C10" s="107"/>
      <c r="D10" s="107"/>
      <c r="E10" s="136" t="s">
        <v>107</v>
      </c>
      <c r="F10" s="155" t="str">
        <f>Inputs!F24</f>
        <v>#</v>
      </c>
      <c r="G10" s="155" t="str">
        <f>Inputs!G24</f>
        <v>input</v>
      </c>
      <c r="H10" s="141" t="str">
        <f>Inputs!H24</f>
        <v>-</v>
      </c>
      <c r="I10" s="145">
        <f>Inputs!I24</f>
        <v>683.0121005</v>
      </c>
      <c r="J10" s="145">
        <f>Inputs!J24</f>
        <v>207.9859133</v>
      </c>
      <c r="K10" s="145">
        <f>Inputs!K24</f>
        <v>288.24933</v>
      </c>
      <c r="L10" s="145">
        <f>Inputs!L24</f>
        <v>252.90345</v>
      </c>
      <c r="M10" s="145">
        <f>Inputs!M24</f>
        <v>73.45711</v>
      </c>
      <c r="N10" s="145">
        <f>Inputs!N24</f>
        <v>263.26495</v>
      </c>
      <c r="O10" s="145">
        <f>Inputs!O24</f>
        <v>119.56005</v>
      </c>
      <c r="P10" s="145">
        <f>Inputs!P24</f>
        <v>77.56124047</v>
      </c>
      <c r="Q10" s="145">
        <f>Inputs!Q24</f>
        <v>67.45050889</v>
      </c>
      <c r="R10" s="145">
        <f>Inputs!R24</f>
        <v>112.9551112</v>
      </c>
      <c r="S10" s="145">
        <f>Inputs!S24</f>
        <v>84.23526307</v>
      </c>
      <c r="T10" s="145">
        <f>Inputs!T24</f>
        <v>49.43917069</v>
      </c>
      <c r="U10" s="145">
        <f>Inputs!U24</f>
        <v>97.97276234</v>
      </c>
      <c r="V10" s="145">
        <f>Inputs!V24</f>
        <v>155.6540484</v>
      </c>
      <c r="W10" s="145">
        <f>Inputs!W24</f>
        <v>160.3877065</v>
      </c>
      <c r="X10" s="145">
        <f>Inputs!X24</f>
        <v>107.7832724</v>
      </c>
      <c r="Y10" s="145">
        <f>Inputs!Y24</f>
        <v>82.14384564</v>
      </c>
      <c r="Z10" s="145">
        <f>Inputs!Z24</f>
        <v>214.2493</v>
      </c>
      <c r="AA10" s="61"/>
    </row>
    <row r="11">
      <c r="A11" s="71"/>
      <c r="B11" s="72"/>
      <c r="C11" s="107"/>
      <c r="D11" s="107"/>
      <c r="E11" s="171" t="s">
        <v>121</v>
      </c>
      <c r="F11" s="175" t="str">
        <f>Inputs!F25</f>
        <v>#</v>
      </c>
      <c r="G11" s="175" t="str">
        <f>Inputs!G25</f>
        <v>input</v>
      </c>
      <c r="H11" s="181" t="str">
        <f>Inputs!H25</f>
        <v>-</v>
      </c>
      <c r="I11" s="182">
        <f>Inputs!I25</f>
        <v>5135.61437</v>
      </c>
      <c r="J11" s="182">
        <f>Inputs!J25</f>
        <v>1402.471659</v>
      </c>
      <c r="K11" s="182">
        <f>Inputs!K25</f>
        <v>1632.34355</v>
      </c>
      <c r="L11" s="182">
        <f>Inputs!L25</f>
        <v>1432.18133</v>
      </c>
      <c r="M11" s="182">
        <f>Inputs!M25</f>
        <v>415.98445</v>
      </c>
      <c r="N11" s="182">
        <f>Inputs!N25</f>
        <v>1490.85804</v>
      </c>
      <c r="O11" s="182">
        <f>Inputs!O25</f>
        <v>1570.00564</v>
      </c>
      <c r="P11" s="182">
        <f>Inputs!P25</f>
        <v>514.1128436</v>
      </c>
      <c r="Q11" s="182">
        <f>Inputs!Q25</f>
        <v>362.4923754</v>
      </c>
      <c r="R11" s="182">
        <f>Inputs!R25</f>
        <v>590.6183608</v>
      </c>
      <c r="S11" s="182">
        <f>Inputs!S25</f>
        <v>501.3440327</v>
      </c>
      <c r="T11" s="182">
        <f>Inputs!T25</f>
        <v>249.8757855</v>
      </c>
      <c r="U11" s="182">
        <f>Inputs!U25</f>
        <v>584.2162297</v>
      </c>
      <c r="V11" s="182">
        <f>Inputs!V25</f>
        <v>658.0187831</v>
      </c>
      <c r="W11" s="182">
        <f>Inputs!W25</f>
        <v>921.5288306</v>
      </c>
      <c r="X11" s="182">
        <f>Inputs!X25</f>
        <v>726.8852489</v>
      </c>
      <c r="Y11" s="182">
        <f>Inputs!Y25</f>
        <v>575.0844424</v>
      </c>
      <c r="Z11" s="182">
        <f>Inputs!Z25</f>
        <v>1595.46372</v>
      </c>
      <c r="AA11" s="80"/>
    </row>
    <row r="12">
      <c r="A12" s="71"/>
      <c r="B12" s="72"/>
      <c r="C12" s="107"/>
      <c r="D12" s="107"/>
      <c r="E12" s="119"/>
      <c r="F12" s="75"/>
      <c r="G12" s="108"/>
      <c r="H12" s="78"/>
      <c r="I12" s="85"/>
      <c r="J12" s="85"/>
      <c r="K12" s="85"/>
      <c r="L12" s="85"/>
      <c r="M12" s="85"/>
      <c r="N12" s="85"/>
      <c r="O12" s="85"/>
      <c r="P12" s="85"/>
      <c r="Q12" s="85"/>
      <c r="R12" s="85"/>
      <c r="S12" s="85"/>
      <c r="T12" s="85"/>
      <c r="U12" s="85"/>
      <c r="V12" s="85"/>
      <c r="W12" s="85"/>
      <c r="X12" s="85"/>
      <c r="Y12" s="85"/>
      <c r="Z12" s="85"/>
      <c r="AA12" s="84"/>
    </row>
    <row r="13">
      <c r="A13" s="71"/>
      <c r="B13" s="72"/>
      <c r="C13" s="107" t="s">
        <v>131</v>
      </c>
      <c r="F13" s="75"/>
      <c r="G13" s="108"/>
      <c r="H13" s="78"/>
      <c r="I13" s="85"/>
      <c r="J13" s="85"/>
      <c r="K13" s="85"/>
      <c r="L13" s="85"/>
      <c r="M13" s="85"/>
      <c r="N13" s="85"/>
      <c r="O13" s="85"/>
      <c r="P13" s="85"/>
      <c r="Q13" s="85"/>
      <c r="R13" s="85"/>
      <c r="S13" s="85"/>
      <c r="T13" s="85"/>
      <c r="U13" s="85"/>
      <c r="V13" s="85"/>
      <c r="W13" s="85"/>
      <c r="X13" s="85"/>
      <c r="Y13" s="85"/>
      <c r="Z13" s="85"/>
      <c r="AA13" s="84"/>
    </row>
    <row r="14">
      <c r="A14" s="71"/>
      <c r="B14" s="72"/>
      <c r="C14" s="72"/>
      <c r="D14" s="72"/>
      <c r="E14" s="113" t="s">
        <v>134</v>
      </c>
      <c r="F14" s="115" t="str">
        <f>Inputs!F26</f>
        <v>#</v>
      </c>
      <c r="G14" s="197" t="str">
        <f>Inputs!G26</f>
        <v>input</v>
      </c>
      <c r="H14" s="199">
        <f>Inputs!H26</f>
        <v>11</v>
      </c>
      <c r="I14" s="200" t="str">
        <f>Inputs!I26</f>
        <v>-</v>
      </c>
      <c r="J14" s="200" t="str">
        <f>Inputs!J26</f>
        <v>-</v>
      </c>
      <c r="K14" s="200" t="str">
        <f>Inputs!K26</f>
        <v>-</v>
      </c>
      <c r="L14" s="200" t="str">
        <f>Inputs!L26</f>
        <v>-</v>
      </c>
      <c r="M14" s="200" t="str">
        <f>Inputs!M26</f>
        <v>-</v>
      </c>
      <c r="N14" s="200" t="str">
        <f>Inputs!N26</f>
        <v>-</v>
      </c>
      <c r="O14" s="200" t="str">
        <f>Inputs!O26</f>
        <v>-</v>
      </c>
      <c r="P14" s="200" t="str">
        <f>Inputs!P26</f>
        <v>-</v>
      </c>
      <c r="Q14" s="200" t="str">
        <f>Inputs!Q26</f>
        <v>-</v>
      </c>
      <c r="R14" s="200" t="str">
        <f>Inputs!R26</f>
        <v>-</v>
      </c>
      <c r="S14" s="200" t="str">
        <f>Inputs!S26</f>
        <v>-</v>
      </c>
      <c r="T14" s="200" t="str">
        <f>Inputs!T26</f>
        <v>-</v>
      </c>
      <c r="U14" s="200" t="str">
        <f>Inputs!U26</f>
        <v>-</v>
      </c>
      <c r="V14" s="200" t="str">
        <f>Inputs!V26</f>
        <v>-</v>
      </c>
      <c r="W14" s="200" t="str">
        <f>Inputs!W26</f>
        <v>-</v>
      </c>
      <c r="X14" s="200" t="str">
        <f>Inputs!X26</f>
        <v>-</v>
      </c>
      <c r="Y14" s="200" t="str">
        <f>Inputs!Y26</f>
        <v>-</v>
      </c>
      <c r="Z14" s="200" t="str">
        <f>Inputs!Z26</f>
        <v>-</v>
      </c>
      <c r="AA14" s="53"/>
    </row>
    <row r="15">
      <c r="A15" s="71"/>
      <c r="B15" s="72"/>
      <c r="C15" s="107"/>
      <c r="D15" s="72"/>
      <c r="E15" s="113" t="s">
        <v>141</v>
      </c>
      <c r="F15" s="139" t="str">
        <f>Inputs!F27</f>
        <v>#</v>
      </c>
      <c r="G15" s="139" t="str">
        <f>Inputs!G27</f>
        <v>input</v>
      </c>
      <c r="H15" s="141">
        <f>Inputs!H27</f>
        <v>2</v>
      </c>
      <c r="I15" s="216" t="str">
        <f>Inputs!I27</f>
        <v>-</v>
      </c>
      <c r="J15" s="216" t="str">
        <f>Inputs!J27</f>
        <v>-</v>
      </c>
      <c r="K15" s="216" t="str">
        <f>Inputs!K27</f>
        <v>-</v>
      </c>
      <c r="L15" s="216" t="str">
        <f>Inputs!L27</f>
        <v>-</v>
      </c>
      <c r="M15" s="216" t="str">
        <f>Inputs!M27</f>
        <v>-</v>
      </c>
      <c r="N15" s="216" t="str">
        <f>Inputs!N27</f>
        <v>-</v>
      </c>
      <c r="O15" s="216" t="str">
        <f>Inputs!O27</f>
        <v>-</v>
      </c>
      <c r="P15" s="216" t="str">
        <f>Inputs!P27</f>
        <v>-</v>
      </c>
      <c r="Q15" s="216" t="str">
        <f>Inputs!Q27</f>
        <v>-</v>
      </c>
      <c r="R15" s="216" t="str">
        <f>Inputs!R27</f>
        <v>-</v>
      </c>
      <c r="S15" s="216" t="str">
        <f>Inputs!S27</f>
        <v>-</v>
      </c>
      <c r="T15" s="216" t="str">
        <f>Inputs!T27</f>
        <v>-</v>
      </c>
      <c r="U15" s="216" t="str">
        <f>Inputs!U27</f>
        <v>-</v>
      </c>
      <c r="V15" s="216" t="str">
        <f>Inputs!V27</f>
        <v>-</v>
      </c>
      <c r="W15" s="216" t="str">
        <f>Inputs!W27</f>
        <v>-</v>
      </c>
      <c r="X15" s="216" t="str">
        <f>Inputs!X27</f>
        <v>-</v>
      </c>
      <c r="Y15" s="216" t="str">
        <f>Inputs!Y27</f>
        <v>-</v>
      </c>
      <c r="Z15" s="216" t="str">
        <f>Inputs!Z27</f>
        <v>-</v>
      </c>
      <c r="AA15" s="61"/>
    </row>
    <row r="16">
      <c r="A16" s="71"/>
      <c r="B16" s="72"/>
      <c r="C16" s="107"/>
      <c r="D16" s="72"/>
      <c r="E16" s="136" t="s">
        <v>148</v>
      </c>
      <c r="F16" s="139" t="s">
        <v>99</v>
      </c>
      <c r="G16" s="139" t="s">
        <v>112</v>
      </c>
      <c r="H16" s="228">
        <f>H15/H14</f>
        <v>0.1818181818</v>
      </c>
      <c r="I16" s="230" t="s">
        <v>124</v>
      </c>
      <c r="J16" s="230" t="s">
        <v>124</v>
      </c>
      <c r="K16" s="230" t="s">
        <v>124</v>
      </c>
      <c r="L16" s="230" t="s">
        <v>124</v>
      </c>
      <c r="M16" s="230" t="s">
        <v>124</v>
      </c>
      <c r="N16" s="230" t="s">
        <v>124</v>
      </c>
      <c r="O16" s="230" t="s">
        <v>124</v>
      </c>
      <c r="P16" s="230" t="s">
        <v>124</v>
      </c>
      <c r="Q16" s="230" t="s">
        <v>124</v>
      </c>
      <c r="R16" s="230" t="s">
        <v>124</v>
      </c>
      <c r="S16" s="230" t="s">
        <v>124</v>
      </c>
      <c r="T16" s="230" t="s">
        <v>124</v>
      </c>
      <c r="U16" s="230" t="s">
        <v>124</v>
      </c>
      <c r="V16" s="230" t="s">
        <v>124</v>
      </c>
      <c r="W16" s="230" t="s">
        <v>124</v>
      </c>
      <c r="X16" s="230" t="s">
        <v>124</v>
      </c>
      <c r="Y16" s="230" t="s">
        <v>124</v>
      </c>
      <c r="Z16" s="230" t="s">
        <v>124</v>
      </c>
      <c r="AA16" s="61"/>
    </row>
    <row r="17">
      <c r="A17" s="71"/>
      <c r="B17" s="72"/>
      <c r="C17" s="107"/>
      <c r="D17" s="72"/>
      <c r="E17" s="136" t="s">
        <v>151</v>
      </c>
      <c r="F17" s="139" t="s">
        <v>88</v>
      </c>
      <c r="G17" s="139" t="s">
        <v>112</v>
      </c>
      <c r="H17" s="233" t="s">
        <v>124</v>
      </c>
      <c r="I17" s="230">
        <f t="shared" ref="I17:Z17" si="1">I11*$H16</f>
        <v>933.7480673</v>
      </c>
      <c r="J17" s="230">
        <f t="shared" si="1"/>
        <v>254.9948471</v>
      </c>
      <c r="K17" s="230">
        <f t="shared" si="1"/>
        <v>296.7897364</v>
      </c>
      <c r="L17" s="230">
        <f t="shared" si="1"/>
        <v>260.3966055</v>
      </c>
      <c r="M17" s="230">
        <f t="shared" si="1"/>
        <v>75.63353636</v>
      </c>
      <c r="N17" s="230">
        <f t="shared" si="1"/>
        <v>271.0650982</v>
      </c>
      <c r="O17" s="230">
        <f t="shared" si="1"/>
        <v>285.4555709</v>
      </c>
      <c r="P17" s="230">
        <f t="shared" si="1"/>
        <v>93.47506247</v>
      </c>
      <c r="Q17" s="230">
        <f t="shared" si="1"/>
        <v>65.90770462</v>
      </c>
      <c r="R17" s="230">
        <f t="shared" si="1"/>
        <v>107.3851565</v>
      </c>
      <c r="S17" s="230">
        <f t="shared" si="1"/>
        <v>91.15346049</v>
      </c>
      <c r="T17" s="230">
        <f t="shared" si="1"/>
        <v>45.431961</v>
      </c>
      <c r="U17" s="230">
        <f t="shared" si="1"/>
        <v>106.2211327</v>
      </c>
      <c r="V17" s="230">
        <f t="shared" si="1"/>
        <v>119.6397787</v>
      </c>
      <c r="W17" s="230">
        <f t="shared" si="1"/>
        <v>167.5506965</v>
      </c>
      <c r="X17" s="230">
        <f t="shared" si="1"/>
        <v>132.1609543</v>
      </c>
      <c r="Y17" s="230">
        <f t="shared" si="1"/>
        <v>104.5608077</v>
      </c>
      <c r="Z17" s="230">
        <f t="shared" si="1"/>
        <v>290.0843127</v>
      </c>
      <c r="AA17" s="61"/>
    </row>
    <row r="18">
      <c r="A18" s="71"/>
      <c r="B18" s="72"/>
      <c r="C18" s="107"/>
      <c r="D18" s="72"/>
      <c r="E18" s="136" t="s">
        <v>152</v>
      </c>
      <c r="F18" s="139" t="s">
        <v>88</v>
      </c>
      <c r="G18" s="139" t="s">
        <v>112</v>
      </c>
      <c r="H18" s="233" t="s">
        <v>124</v>
      </c>
      <c r="I18" s="230">
        <f t="shared" ref="I18:Z18" si="2">I8-SUM(I9:I10,I17)</f>
        <v>14778.60932</v>
      </c>
      <c r="J18" s="230">
        <f t="shared" si="2"/>
        <v>4062.751686</v>
      </c>
      <c r="K18" s="230">
        <f t="shared" si="2"/>
        <v>3523.097604</v>
      </c>
      <c r="L18" s="230">
        <f t="shared" si="2"/>
        <v>3091.086195</v>
      </c>
      <c r="M18" s="230">
        <f t="shared" si="2"/>
        <v>897.8219236</v>
      </c>
      <c r="N18" s="230">
        <f t="shared" si="2"/>
        <v>3217.728512</v>
      </c>
      <c r="O18" s="230">
        <f t="shared" si="2"/>
        <v>2601.912469</v>
      </c>
      <c r="P18" s="230">
        <f t="shared" si="2"/>
        <v>3422.538642</v>
      </c>
      <c r="Q18" s="230">
        <f t="shared" si="2"/>
        <v>1574.447151</v>
      </c>
      <c r="R18" s="230">
        <f t="shared" si="2"/>
        <v>1661.692274</v>
      </c>
      <c r="S18" s="230">
        <f t="shared" si="2"/>
        <v>2965.120592</v>
      </c>
      <c r="T18" s="230">
        <f t="shared" si="2"/>
        <v>706.0968198</v>
      </c>
      <c r="U18" s="230">
        <f t="shared" si="2"/>
        <v>2054.094384</v>
      </c>
      <c r="V18" s="230">
        <f t="shared" si="2"/>
        <v>1581.784851</v>
      </c>
      <c r="W18" s="230">
        <f t="shared" si="2"/>
        <v>2853.766561</v>
      </c>
      <c r="X18" s="230">
        <f t="shared" si="2"/>
        <v>4678.764558</v>
      </c>
      <c r="Y18" s="230">
        <f t="shared" si="2"/>
        <v>1693.70329</v>
      </c>
      <c r="Z18" s="230">
        <f t="shared" si="2"/>
        <v>3219.659557</v>
      </c>
      <c r="AA18" s="61"/>
    </row>
    <row r="19">
      <c r="A19" s="71"/>
      <c r="B19" s="72"/>
      <c r="C19" s="72"/>
      <c r="D19" s="72"/>
      <c r="E19" s="171" t="s">
        <v>154</v>
      </c>
      <c r="F19" s="204" t="s">
        <v>99</v>
      </c>
      <c r="G19" s="241" t="s">
        <v>112</v>
      </c>
      <c r="H19" s="242" t="s">
        <v>124</v>
      </c>
      <c r="I19" s="243">
        <f t="shared" ref="I19:Z19" si="3">I18/I8</f>
        <v>0.9013892204</v>
      </c>
      <c r="J19" s="243">
        <f t="shared" si="3"/>
        <v>0.8977003688</v>
      </c>
      <c r="K19" s="243">
        <f t="shared" si="3"/>
        <v>0.8575901647</v>
      </c>
      <c r="L19" s="243">
        <f t="shared" si="3"/>
        <v>0.8575901638</v>
      </c>
      <c r="M19" s="243">
        <f t="shared" si="3"/>
        <v>0.857590165</v>
      </c>
      <c r="N19" s="243">
        <f t="shared" si="3"/>
        <v>0.8575901629</v>
      </c>
      <c r="O19" s="243">
        <f t="shared" si="3"/>
        <v>0.8653058508</v>
      </c>
      <c r="P19" s="243">
        <f t="shared" si="3"/>
        <v>0.9524049712</v>
      </c>
      <c r="Q19" s="243">
        <f t="shared" si="3"/>
        <v>0.9219125222</v>
      </c>
      <c r="R19" s="243">
        <f t="shared" si="3"/>
        <v>0.8829243051</v>
      </c>
      <c r="S19" s="243">
        <f t="shared" si="3"/>
        <v>0.9441527772</v>
      </c>
      <c r="T19" s="243">
        <f t="shared" si="3"/>
        <v>0.8815543974</v>
      </c>
      <c r="U19" s="243">
        <f t="shared" si="3"/>
        <v>0.9095802352</v>
      </c>
      <c r="V19" s="243">
        <f t="shared" si="3"/>
        <v>0.8517597394</v>
      </c>
      <c r="W19" s="243">
        <f t="shared" si="3"/>
        <v>0.8969299773</v>
      </c>
      <c r="X19" s="243">
        <f t="shared" si="3"/>
        <v>0.9512180458</v>
      </c>
      <c r="Y19" s="243">
        <f t="shared" si="3"/>
        <v>0.9007105591</v>
      </c>
      <c r="Z19" s="243">
        <f t="shared" si="3"/>
        <v>0.8645718212</v>
      </c>
      <c r="AA19" s="80"/>
    </row>
    <row r="20">
      <c r="A20" s="71"/>
      <c r="B20" s="72"/>
      <c r="C20" s="72"/>
      <c r="D20" s="72"/>
      <c r="E20" s="119"/>
      <c r="F20" s="120"/>
      <c r="G20" s="249"/>
      <c r="H20" s="250"/>
      <c r="I20" s="85"/>
      <c r="J20" s="85"/>
      <c r="K20" s="85"/>
      <c r="L20" s="85"/>
      <c r="M20" s="85"/>
      <c r="N20" s="85"/>
      <c r="O20" s="85"/>
      <c r="P20" s="85"/>
      <c r="Q20" s="85"/>
      <c r="R20" s="85"/>
      <c r="S20" s="85"/>
      <c r="T20" s="85"/>
      <c r="U20" s="85"/>
      <c r="V20" s="85"/>
      <c r="W20" s="85"/>
      <c r="X20" s="85"/>
      <c r="Y20" s="85"/>
      <c r="Z20" s="85"/>
      <c r="AA20" s="84"/>
    </row>
    <row r="21">
      <c r="A21" s="71"/>
      <c r="B21" s="72"/>
      <c r="C21" s="107" t="s">
        <v>156</v>
      </c>
      <c r="F21" s="120"/>
      <c r="G21" s="249"/>
      <c r="H21" s="250"/>
      <c r="I21" s="85"/>
      <c r="J21" s="85"/>
      <c r="K21" s="85"/>
      <c r="L21" s="85"/>
      <c r="M21" s="85"/>
      <c r="N21" s="85"/>
      <c r="O21" s="85"/>
      <c r="P21" s="85"/>
      <c r="Q21" s="85"/>
      <c r="R21" s="85"/>
      <c r="S21" s="85"/>
      <c r="T21" s="85"/>
      <c r="U21" s="85"/>
      <c r="V21" s="85"/>
      <c r="W21" s="85"/>
      <c r="X21" s="85"/>
      <c r="Y21" s="85"/>
      <c r="Z21" s="85"/>
      <c r="AA21" s="84"/>
    </row>
    <row r="22">
      <c r="A22" s="71"/>
      <c r="B22" s="72"/>
      <c r="C22" s="72"/>
      <c r="D22" s="72"/>
      <c r="E22" s="113" t="s">
        <v>158</v>
      </c>
      <c r="F22" s="115" t="str">
        <f>Inputs!F30</f>
        <v>per 100k</v>
      </c>
      <c r="G22" s="256" t="str">
        <f>Inputs!G30</f>
        <v>input</v>
      </c>
      <c r="H22" s="259" t="str">
        <f>Inputs!H30</f>
        <v>-</v>
      </c>
      <c r="I22" s="261">
        <f>Inputs!I30</f>
        <v>405.3286161</v>
      </c>
      <c r="J22" s="261">
        <f>Inputs!J30</f>
        <v>135.7991375</v>
      </c>
      <c r="K22" s="261">
        <f>Inputs!K30</f>
        <v>203.80315</v>
      </c>
      <c r="L22" s="261">
        <f>Inputs!L30</f>
        <v>241.29295</v>
      </c>
      <c r="M22" s="261">
        <f>Inputs!M30</f>
        <v>239.62599</v>
      </c>
      <c r="N22" s="261">
        <f>Inputs!N30</f>
        <v>360.30833</v>
      </c>
      <c r="O22" s="261">
        <f>Inputs!O30</f>
        <v>304.75977</v>
      </c>
      <c r="P22" s="261">
        <f>Inputs!P30</f>
        <v>255.6551987</v>
      </c>
      <c r="Q22" s="261">
        <f>Inputs!Q30</f>
        <v>178.1742523</v>
      </c>
      <c r="R22" s="261">
        <f>Inputs!R30</f>
        <v>288.3183134</v>
      </c>
      <c r="S22" s="261">
        <f>Inputs!S30</f>
        <v>331.5302296</v>
      </c>
      <c r="T22" s="261">
        <f>Inputs!T30</f>
        <v>240.036585</v>
      </c>
      <c r="U22" s="261">
        <f>Inputs!U30</f>
        <v>298.6653229</v>
      </c>
      <c r="V22" s="261">
        <f>Inputs!V30</f>
        <v>261.8332491</v>
      </c>
      <c r="W22" s="261">
        <f>Inputs!W30</f>
        <v>210.2157784</v>
      </c>
      <c r="X22" s="261">
        <f>Inputs!X30</f>
        <v>361.0521294</v>
      </c>
      <c r="Y22" s="261">
        <f>Inputs!Y30</f>
        <v>168.6683554</v>
      </c>
      <c r="Z22" s="261">
        <f>Inputs!Z30</f>
        <v>339.43659</v>
      </c>
      <c r="AA22" s="53"/>
    </row>
    <row r="23">
      <c r="A23" s="71"/>
      <c r="B23" s="72"/>
      <c r="C23" s="72"/>
      <c r="D23" s="72"/>
      <c r="E23" s="136" t="s">
        <v>168</v>
      </c>
      <c r="F23" s="139" t="s">
        <v>88</v>
      </c>
      <c r="G23" s="277" t="s">
        <v>112</v>
      </c>
      <c r="H23" s="233" t="s">
        <v>124</v>
      </c>
      <c r="I23" s="145">
        <f t="shared" ref="I23:Z23" si="4">I8/I22*100000</f>
        <v>4044957.311</v>
      </c>
      <c r="J23" s="145">
        <f t="shared" si="4"/>
        <v>3332666.561</v>
      </c>
      <c r="K23" s="145">
        <f t="shared" si="4"/>
        <v>2015737.573</v>
      </c>
      <c r="L23" s="145">
        <f t="shared" si="4"/>
        <v>1493780.175</v>
      </c>
      <c r="M23" s="145">
        <f t="shared" si="4"/>
        <v>436894.4162</v>
      </c>
      <c r="N23" s="145">
        <f t="shared" si="4"/>
        <v>1041346.604</v>
      </c>
      <c r="O23" s="145">
        <f t="shared" si="4"/>
        <v>986655.1907</v>
      </c>
      <c r="P23" s="145">
        <f t="shared" si="4"/>
        <v>1405633.433</v>
      </c>
      <c r="Q23" s="145">
        <f t="shared" si="4"/>
        <v>958502.8942</v>
      </c>
      <c r="R23" s="145">
        <f t="shared" si="4"/>
        <v>652762.0531</v>
      </c>
      <c r="S23" s="145">
        <f t="shared" si="4"/>
        <v>947276.9104</v>
      </c>
      <c r="T23" s="145">
        <f t="shared" si="4"/>
        <v>333685.7802</v>
      </c>
      <c r="U23" s="145">
        <f t="shared" si="4"/>
        <v>756126.7097</v>
      </c>
      <c r="V23" s="145">
        <f t="shared" si="4"/>
        <v>709260.067</v>
      </c>
      <c r="W23" s="145">
        <f t="shared" si="4"/>
        <v>1513542.413</v>
      </c>
      <c r="X23" s="145">
        <f t="shared" si="4"/>
        <v>1362326.485</v>
      </c>
      <c r="Y23" s="145">
        <f t="shared" si="4"/>
        <v>1114855.207</v>
      </c>
      <c r="Z23" s="145">
        <f t="shared" si="4"/>
        <v>1097110.117</v>
      </c>
      <c r="AA23" s="61"/>
    </row>
    <row r="24">
      <c r="A24" s="71"/>
      <c r="B24" s="72"/>
      <c r="C24" s="72"/>
      <c r="D24" s="72"/>
      <c r="E24" s="136" t="s">
        <v>172</v>
      </c>
      <c r="F24" s="139" t="str">
        <f>Inputs!F31</f>
        <v>#</v>
      </c>
      <c r="G24" s="277" t="str">
        <f>Inputs!G31</f>
        <v>input</v>
      </c>
      <c r="H24" s="286">
        <f>Inputs!H31</f>
        <v>60</v>
      </c>
      <c r="I24" s="216" t="str">
        <f>Inputs!I31</f>
        <v>-</v>
      </c>
      <c r="J24" s="216" t="str">
        <f>Inputs!J31</f>
        <v>-</v>
      </c>
      <c r="K24" s="216" t="str">
        <f>Inputs!K31</f>
        <v>-</v>
      </c>
      <c r="L24" s="216" t="str">
        <f>Inputs!L31</f>
        <v>-</v>
      </c>
      <c r="M24" s="216" t="str">
        <f>Inputs!M31</f>
        <v>-</v>
      </c>
      <c r="N24" s="216" t="str">
        <f>Inputs!N31</f>
        <v>-</v>
      </c>
      <c r="O24" s="216" t="str">
        <f>Inputs!O31</f>
        <v>-</v>
      </c>
      <c r="P24" s="216" t="str">
        <f>Inputs!P31</f>
        <v>-</v>
      </c>
      <c r="Q24" s="216" t="str">
        <f>Inputs!Q31</f>
        <v>-</v>
      </c>
      <c r="R24" s="216" t="str">
        <f>Inputs!R31</f>
        <v>-</v>
      </c>
      <c r="S24" s="216" t="str">
        <f>Inputs!S31</f>
        <v>-</v>
      </c>
      <c r="T24" s="216" t="str">
        <f>Inputs!T31</f>
        <v>-</v>
      </c>
      <c r="U24" s="216" t="str">
        <f>Inputs!U31</f>
        <v>-</v>
      </c>
      <c r="V24" s="216" t="str">
        <f>Inputs!V31</f>
        <v>-</v>
      </c>
      <c r="W24" s="216" t="str">
        <f>Inputs!W31</f>
        <v>-</v>
      </c>
      <c r="X24" s="216" t="str">
        <f>Inputs!X31</f>
        <v>-</v>
      </c>
      <c r="Y24" s="216" t="str">
        <f>Inputs!Y31</f>
        <v>-</v>
      </c>
      <c r="Z24" s="216" t="str">
        <f>Inputs!Z31</f>
        <v>-</v>
      </c>
      <c r="AA24" s="61"/>
    </row>
    <row r="25">
      <c r="A25" s="71"/>
      <c r="B25" s="72"/>
      <c r="C25" s="72"/>
      <c r="D25" s="72"/>
      <c r="E25" s="136" t="str">
        <f>HYPERLINK(buildUrl(CELL("address", Inputs!E32)), Inputs!E32)</f>
        <v>#ERROR!</v>
      </c>
      <c r="F25" s="139" t="str">
        <f>Inputs!F32</f>
        <v>#</v>
      </c>
      <c r="G25" s="277" t="str">
        <f>Inputs!G32</f>
        <v>input</v>
      </c>
      <c r="H25" s="286">
        <f>Inputs!H32</f>
        <v>3</v>
      </c>
      <c r="I25" s="216" t="str">
        <f>Inputs!I32</f>
        <v>-</v>
      </c>
      <c r="J25" s="216" t="str">
        <f>Inputs!J32</f>
        <v>-</v>
      </c>
      <c r="K25" s="216" t="str">
        <f>Inputs!K32</f>
        <v>-</v>
      </c>
      <c r="L25" s="216" t="str">
        <f>Inputs!L32</f>
        <v>-</v>
      </c>
      <c r="M25" s="216" t="str">
        <f>Inputs!M32</f>
        <v>-</v>
      </c>
      <c r="N25" s="216" t="str">
        <f>Inputs!N32</f>
        <v>-</v>
      </c>
      <c r="O25" s="216" t="str">
        <f>Inputs!O32</f>
        <v>-</v>
      </c>
      <c r="P25" s="216" t="str">
        <f>Inputs!P32</f>
        <v>-</v>
      </c>
      <c r="Q25" s="216" t="str">
        <f>Inputs!Q32</f>
        <v>-</v>
      </c>
      <c r="R25" s="216" t="str">
        <f>Inputs!R32</f>
        <v>-</v>
      </c>
      <c r="S25" s="216" t="str">
        <f>Inputs!S32</f>
        <v>-</v>
      </c>
      <c r="T25" s="216" t="str">
        <f>Inputs!T32</f>
        <v>-</v>
      </c>
      <c r="U25" s="216" t="str">
        <f>Inputs!U32</f>
        <v>-</v>
      </c>
      <c r="V25" s="216" t="str">
        <f>Inputs!V32</f>
        <v>-</v>
      </c>
      <c r="W25" s="216" t="str">
        <f>Inputs!W32</f>
        <v>-</v>
      </c>
      <c r="X25" s="216" t="str">
        <f>Inputs!X32</f>
        <v>-</v>
      </c>
      <c r="Y25" s="216" t="str">
        <f>Inputs!Y32</f>
        <v>-</v>
      </c>
      <c r="Z25" s="216" t="str">
        <f>Inputs!Z32</f>
        <v>-</v>
      </c>
      <c r="AA25" s="61"/>
    </row>
    <row r="26">
      <c r="A26" s="71"/>
      <c r="B26" s="72"/>
      <c r="C26" s="72"/>
      <c r="D26" s="72"/>
      <c r="E26" s="136" t="s">
        <v>183</v>
      </c>
      <c r="F26" s="139" t="s">
        <v>99</v>
      </c>
      <c r="G26" s="277" t="s">
        <v>112</v>
      </c>
      <c r="H26" s="228">
        <f>(H24-H25)/H24</f>
        <v>0.95</v>
      </c>
      <c r="I26" s="318" t="s">
        <v>124</v>
      </c>
      <c r="J26" s="318" t="s">
        <v>124</v>
      </c>
      <c r="K26" s="318" t="s">
        <v>124</v>
      </c>
      <c r="L26" s="318" t="s">
        <v>124</v>
      </c>
      <c r="M26" s="318" t="s">
        <v>124</v>
      </c>
      <c r="N26" s="318" t="s">
        <v>124</v>
      </c>
      <c r="O26" s="318" t="s">
        <v>124</v>
      </c>
      <c r="P26" s="318" t="s">
        <v>124</v>
      </c>
      <c r="Q26" s="318" t="s">
        <v>124</v>
      </c>
      <c r="R26" s="318" t="s">
        <v>124</v>
      </c>
      <c r="S26" s="318" t="s">
        <v>124</v>
      </c>
      <c r="T26" s="318" t="s">
        <v>124</v>
      </c>
      <c r="U26" s="318" t="s">
        <v>124</v>
      </c>
      <c r="V26" s="318" t="s">
        <v>124</v>
      </c>
      <c r="W26" s="318" t="s">
        <v>124</v>
      </c>
      <c r="X26" s="318" t="s">
        <v>124</v>
      </c>
      <c r="Y26" s="318" t="s">
        <v>124</v>
      </c>
      <c r="Z26" s="318" t="s">
        <v>124</v>
      </c>
      <c r="AA26" s="61"/>
    </row>
    <row r="27">
      <c r="A27" s="71"/>
      <c r="B27" s="72"/>
      <c r="C27" s="72"/>
      <c r="D27" s="72"/>
      <c r="E27" s="136" t="s">
        <v>184</v>
      </c>
      <c r="F27" s="139" t="s">
        <v>88</v>
      </c>
      <c r="G27" s="277" t="s">
        <v>112</v>
      </c>
      <c r="H27" s="233" t="s">
        <v>124</v>
      </c>
      <c r="I27" s="145">
        <f t="shared" ref="I27:Z27" si="5">I23*$H26</f>
        <v>3842709.445</v>
      </c>
      <c r="J27" s="145">
        <f t="shared" si="5"/>
        <v>3166033.233</v>
      </c>
      <c r="K27" s="145">
        <f t="shared" si="5"/>
        <v>1914950.695</v>
      </c>
      <c r="L27" s="145">
        <f t="shared" si="5"/>
        <v>1419091.166</v>
      </c>
      <c r="M27" s="145">
        <f t="shared" si="5"/>
        <v>415049.6954</v>
      </c>
      <c r="N27" s="145">
        <f t="shared" si="5"/>
        <v>989279.2742</v>
      </c>
      <c r="O27" s="145">
        <f t="shared" si="5"/>
        <v>937322.4312</v>
      </c>
      <c r="P27" s="145">
        <f t="shared" si="5"/>
        <v>1335351.761</v>
      </c>
      <c r="Q27" s="145">
        <f t="shared" si="5"/>
        <v>910577.7495</v>
      </c>
      <c r="R27" s="145">
        <f t="shared" si="5"/>
        <v>620123.9504</v>
      </c>
      <c r="S27" s="145">
        <f t="shared" si="5"/>
        <v>899913.0649</v>
      </c>
      <c r="T27" s="145">
        <f t="shared" si="5"/>
        <v>317001.4912</v>
      </c>
      <c r="U27" s="145">
        <f t="shared" si="5"/>
        <v>718320.3742</v>
      </c>
      <c r="V27" s="145">
        <f t="shared" si="5"/>
        <v>673797.0637</v>
      </c>
      <c r="W27" s="145">
        <f t="shared" si="5"/>
        <v>1437865.292</v>
      </c>
      <c r="X27" s="145">
        <f t="shared" si="5"/>
        <v>1294210.161</v>
      </c>
      <c r="Y27" s="145">
        <f t="shared" si="5"/>
        <v>1059112.447</v>
      </c>
      <c r="Z27" s="145">
        <f t="shared" si="5"/>
        <v>1042254.611</v>
      </c>
      <c r="AA27" s="61"/>
    </row>
    <row r="28">
      <c r="A28" s="71"/>
      <c r="B28" s="72"/>
      <c r="C28" s="72"/>
      <c r="D28" s="72"/>
      <c r="E28" s="136" t="s">
        <v>186</v>
      </c>
      <c r="F28" s="139" t="s">
        <v>99</v>
      </c>
      <c r="G28" s="277" t="s">
        <v>112</v>
      </c>
      <c r="H28" s="233" t="s">
        <v>124</v>
      </c>
      <c r="I28" s="329">
        <f t="shared" ref="I28:Z28" si="6">I18/I27</f>
        <v>0.003845882582</v>
      </c>
      <c r="J28" s="329">
        <f t="shared" si="6"/>
        <v>0.001283230903</v>
      </c>
      <c r="K28" s="329">
        <f t="shared" si="6"/>
        <v>0.001839785021</v>
      </c>
      <c r="L28" s="329">
        <f t="shared" si="6"/>
        <v>0.002178215374</v>
      </c>
      <c r="M28" s="329">
        <f t="shared" si="6"/>
        <v>0.002163167287</v>
      </c>
      <c r="N28" s="329">
        <f t="shared" si="6"/>
        <v>0.003252598731</v>
      </c>
      <c r="O28" s="329">
        <f t="shared" si="6"/>
        <v>0.002775899074</v>
      </c>
      <c r="P28" s="329">
        <f t="shared" si="6"/>
        <v>0.002563024023</v>
      </c>
      <c r="Q28" s="329">
        <f t="shared" si="6"/>
        <v>0.00172906394</v>
      </c>
      <c r="R28" s="329">
        <f t="shared" si="6"/>
        <v>0.002679613121</v>
      </c>
      <c r="S28" s="329">
        <f t="shared" si="6"/>
        <v>0.003294896705</v>
      </c>
      <c r="T28" s="329">
        <f t="shared" si="6"/>
        <v>0.002227424285</v>
      </c>
      <c r="U28" s="329">
        <f t="shared" si="6"/>
        <v>0.002859579733</v>
      </c>
      <c r="V28" s="329">
        <f t="shared" si="6"/>
        <v>0.002347568632</v>
      </c>
      <c r="W28" s="329">
        <f t="shared" si="6"/>
        <v>0.001984724561</v>
      </c>
      <c r="X28" s="329">
        <f t="shared" si="6"/>
        <v>0.003615150536</v>
      </c>
      <c r="Y28" s="329">
        <f t="shared" si="6"/>
        <v>0.001599172302</v>
      </c>
      <c r="Z28" s="329">
        <f t="shared" si="6"/>
        <v>0.003089129587</v>
      </c>
      <c r="AA28" s="61"/>
    </row>
    <row r="29">
      <c r="A29" s="71"/>
      <c r="B29" s="72"/>
      <c r="C29" s="72"/>
      <c r="D29" s="72"/>
      <c r="E29" s="113" t="s">
        <v>188</v>
      </c>
      <c r="F29" s="115" t="str">
        <f>Inputs!F33</f>
        <v>%</v>
      </c>
      <c r="G29" s="256" t="str">
        <f>Inputs!G33</f>
        <v>input</v>
      </c>
      <c r="H29" s="338" t="str">
        <f>Inputs!H33</f>
        <v>-</v>
      </c>
      <c r="I29" s="132">
        <f>Inputs!I33</f>
        <v>0</v>
      </c>
      <c r="J29" s="132">
        <f>Inputs!J33</f>
        <v>0</v>
      </c>
      <c r="K29" s="132">
        <f>Inputs!K33</f>
        <v>0</v>
      </c>
      <c r="L29" s="132">
        <f>Inputs!L33</f>
        <v>0</v>
      </c>
      <c r="M29" s="132">
        <f>Inputs!M33</f>
        <v>0</v>
      </c>
      <c r="N29" s="132">
        <f>Inputs!N33</f>
        <v>0</v>
      </c>
      <c r="O29" s="132">
        <f>Inputs!O33</f>
        <v>0</v>
      </c>
      <c r="P29" s="132">
        <f>Inputs!P33</f>
        <v>-0.05</v>
      </c>
      <c r="Q29" s="132">
        <f>Inputs!Q33</f>
        <v>-0.05</v>
      </c>
      <c r="R29" s="132">
        <f>Inputs!R33</f>
        <v>-0.3512063</v>
      </c>
      <c r="S29" s="132">
        <f>Inputs!S33</f>
        <v>-0.05</v>
      </c>
      <c r="T29" s="132">
        <f>Inputs!T33</f>
        <v>-0.05</v>
      </c>
      <c r="U29" s="132">
        <f>Inputs!U33</f>
        <v>-0.05</v>
      </c>
      <c r="V29" s="132">
        <f>Inputs!V33</f>
        <v>-0.05</v>
      </c>
      <c r="W29" s="132">
        <f>Inputs!W33</f>
        <v>-0.05</v>
      </c>
      <c r="X29" s="132">
        <f>Inputs!X33</f>
        <v>-0.05</v>
      </c>
      <c r="Y29" s="132">
        <f>Inputs!Y33</f>
        <v>0</v>
      </c>
      <c r="Z29" s="132">
        <f>Inputs!Z33</f>
        <v>0</v>
      </c>
      <c r="AA29" s="53"/>
    </row>
    <row r="30">
      <c r="A30" s="71"/>
      <c r="B30" s="72"/>
      <c r="C30" s="72"/>
      <c r="D30" s="72"/>
      <c r="E30" s="93" t="s">
        <v>190</v>
      </c>
      <c r="F30" s="96" t="s">
        <v>99</v>
      </c>
      <c r="G30" s="348" t="s">
        <v>112</v>
      </c>
      <c r="H30" s="177" t="s">
        <v>124</v>
      </c>
      <c r="I30" s="351">
        <f t="shared" ref="I30:Z30" si="7">I28*(1+I29)</f>
        <v>0.003845882582</v>
      </c>
      <c r="J30" s="351">
        <f t="shared" si="7"/>
        <v>0.001283230903</v>
      </c>
      <c r="K30" s="351">
        <f t="shared" si="7"/>
        <v>0.001839785021</v>
      </c>
      <c r="L30" s="351">
        <f t="shared" si="7"/>
        <v>0.002178215374</v>
      </c>
      <c r="M30" s="351">
        <f t="shared" si="7"/>
        <v>0.002163167287</v>
      </c>
      <c r="N30" s="351">
        <f t="shared" si="7"/>
        <v>0.003252598731</v>
      </c>
      <c r="O30" s="351">
        <f t="shared" si="7"/>
        <v>0.002775899074</v>
      </c>
      <c r="P30" s="351">
        <f t="shared" si="7"/>
        <v>0.002434872822</v>
      </c>
      <c r="Q30" s="351">
        <f t="shared" si="7"/>
        <v>0.001642610743</v>
      </c>
      <c r="R30" s="351">
        <f t="shared" si="7"/>
        <v>0.001738516111</v>
      </c>
      <c r="S30" s="351">
        <f t="shared" si="7"/>
        <v>0.00313015187</v>
      </c>
      <c r="T30" s="351">
        <f t="shared" si="7"/>
        <v>0.00211605307</v>
      </c>
      <c r="U30" s="351">
        <f t="shared" si="7"/>
        <v>0.002716600747</v>
      </c>
      <c r="V30" s="351">
        <f t="shared" si="7"/>
        <v>0.0022301902</v>
      </c>
      <c r="W30" s="351">
        <f t="shared" si="7"/>
        <v>0.001885488333</v>
      </c>
      <c r="X30" s="351">
        <f t="shared" si="7"/>
        <v>0.00343439301</v>
      </c>
      <c r="Y30" s="351">
        <f t="shared" si="7"/>
        <v>0.001599172302</v>
      </c>
      <c r="Z30" s="351">
        <f t="shared" si="7"/>
        <v>0.003089129587</v>
      </c>
      <c r="AA30" s="117"/>
    </row>
    <row r="31">
      <c r="A31" s="71"/>
      <c r="B31" s="72"/>
      <c r="C31" s="72"/>
      <c r="D31" s="72"/>
      <c r="E31" s="119"/>
      <c r="F31" s="120"/>
      <c r="G31" s="249"/>
      <c r="H31" s="250"/>
      <c r="I31" s="85"/>
      <c r="J31" s="85"/>
      <c r="K31" s="85"/>
      <c r="L31" s="85"/>
      <c r="M31" s="85"/>
      <c r="N31" s="85"/>
      <c r="O31" s="85"/>
      <c r="P31" s="85"/>
      <c r="Q31" s="85"/>
      <c r="R31" s="85"/>
      <c r="S31" s="85"/>
      <c r="T31" s="85"/>
      <c r="U31" s="85"/>
      <c r="V31" s="85"/>
      <c r="W31" s="85"/>
      <c r="X31" s="85"/>
      <c r="Y31" s="85"/>
      <c r="Z31" s="85"/>
      <c r="AA31" s="84"/>
    </row>
    <row r="32">
      <c r="A32" s="71"/>
      <c r="B32" s="72"/>
      <c r="C32" s="188" t="s">
        <v>196</v>
      </c>
      <c r="F32" s="120"/>
      <c r="G32" s="249"/>
      <c r="H32" s="250"/>
      <c r="I32" s="85"/>
      <c r="J32" s="85"/>
      <c r="K32" s="85"/>
      <c r="L32" s="85"/>
      <c r="M32" s="85"/>
      <c r="N32" s="85"/>
      <c r="O32" s="85"/>
      <c r="P32" s="85"/>
      <c r="Q32" s="85"/>
      <c r="R32" s="85"/>
      <c r="S32" s="85"/>
      <c r="T32" s="85"/>
      <c r="U32" s="85"/>
      <c r="V32" s="85"/>
      <c r="W32" s="85"/>
      <c r="X32" s="85"/>
      <c r="Y32" s="85"/>
      <c r="Z32" s="85"/>
      <c r="AA32" s="84"/>
    </row>
    <row r="33">
      <c r="A33" s="71"/>
      <c r="B33" s="72"/>
      <c r="C33" s="72"/>
      <c r="D33" s="72"/>
      <c r="E33" s="113" t="s">
        <v>197</v>
      </c>
      <c r="F33" s="115" t="str">
        <f>Inputs!F36</f>
        <v>#</v>
      </c>
      <c r="G33" s="256" t="str">
        <f>Inputs!G36</f>
        <v>input</v>
      </c>
      <c r="H33" s="259" t="str">
        <f>Inputs!H36</f>
        <v>-</v>
      </c>
      <c r="I33" s="123">
        <f>Inputs!I36</f>
        <v>26304.7468</v>
      </c>
      <c r="J33" s="123">
        <f>Inputs!J36</f>
        <v>7194.19944</v>
      </c>
      <c r="K33" s="123">
        <f>Inputs!K36</f>
        <v>5327.419</v>
      </c>
      <c r="L33" s="123">
        <f>Inputs!L36</f>
        <v>4674.157</v>
      </c>
      <c r="M33" s="123">
        <f>Inputs!M36</f>
        <v>1357.633</v>
      </c>
      <c r="N33" s="123">
        <f>Inputs!N36</f>
        <v>4865.658</v>
      </c>
      <c r="O33" s="123">
        <f>Inputs!O36</f>
        <v>6890</v>
      </c>
      <c r="P33" s="123">
        <f>Inputs!P36</f>
        <v>4545.106485</v>
      </c>
      <c r="Q33" s="123">
        <f>Inputs!Q36</f>
        <v>3093.504749</v>
      </c>
      <c r="R33" s="123">
        <f>Inputs!R36</f>
        <v>4417.546406</v>
      </c>
      <c r="S33" s="123">
        <f>Inputs!S36</f>
        <v>4606.794083</v>
      </c>
      <c r="T33" s="123">
        <f>Inputs!T36</f>
        <v>2471.067612</v>
      </c>
      <c r="U33" s="123">
        <f>Inputs!U36</f>
        <v>4449.598839</v>
      </c>
      <c r="V33" s="123">
        <f>Inputs!V36</f>
        <v>7026.505839</v>
      </c>
      <c r="W33" s="123">
        <f>Inputs!W36</f>
        <v>6892.924992</v>
      </c>
      <c r="X33" s="123">
        <f>Inputs!X36</f>
        <v>6247.24128</v>
      </c>
      <c r="Y33" s="123">
        <f>Inputs!Y36</f>
        <v>5436.187861</v>
      </c>
      <c r="Z33" s="123">
        <f>Inputs!Z36</f>
        <v>4838</v>
      </c>
      <c r="AA33" s="53"/>
    </row>
    <row r="34">
      <c r="A34" s="71"/>
      <c r="B34" s="72"/>
      <c r="C34" s="72"/>
      <c r="D34" s="72"/>
      <c r="E34" s="119" t="s">
        <v>200</v>
      </c>
      <c r="F34" s="120" t="s">
        <v>88</v>
      </c>
      <c r="G34" s="249" t="s">
        <v>112</v>
      </c>
      <c r="H34" s="380" t="s">
        <v>124</v>
      </c>
      <c r="I34" s="383">
        <f t="shared" ref="I34:Z34" si="8">I33-I8</f>
        <v>9909.37731</v>
      </c>
      <c r="J34" s="383">
        <f t="shared" si="8"/>
        <v>2668.466994</v>
      </c>
      <c r="K34" s="383">
        <f t="shared" si="8"/>
        <v>1219.28233</v>
      </c>
      <c r="L34" s="383">
        <f t="shared" si="8"/>
        <v>1069.77075</v>
      </c>
      <c r="M34" s="383">
        <f t="shared" si="8"/>
        <v>310.72043</v>
      </c>
      <c r="N34" s="383">
        <f t="shared" si="8"/>
        <v>1113.59944</v>
      </c>
      <c r="O34" s="383">
        <f t="shared" si="8"/>
        <v>3883.07191</v>
      </c>
      <c r="P34" s="383">
        <f t="shared" si="8"/>
        <v>951.53154</v>
      </c>
      <c r="Q34" s="383">
        <f t="shared" si="8"/>
        <v>1385.699384</v>
      </c>
      <c r="R34" s="383">
        <f t="shared" si="8"/>
        <v>2535.513864</v>
      </c>
      <c r="S34" s="383">
        <f t="shared" si="8"/>
        <v>1466.284767</v>
      </c>
      <c r="T34" s="383">
        <f t="shared" si="8"/>
        <v>1670.099661</v>
      </c>
      <c r="U34" s="383">
        <f t="shared" si="8"/>
        <v>2191.31056</v>
      </c>
      <c r="V34" s="383">
        <f t="shared" si="8"/>
        <v>5169.427161</v>
      </c>
      <c r="W34" s="383">
        <f t="shared" si="8"/>
        <v>3711.220028</v>
      </c>
      <c r="X34" s="383">
        <f t="shared" si="8"/>
        <v>1328.532495</v>
      </c>
      <c r="Y34" s="383">
        <f t="shared" si="8"/>
        <v>3555.779918</v>
      </c>
      <c r="Z34" s="383">
        <f t="shared" si="8"/>
        <v>1114.00683</v>
      </c>
      <c r="AA34" s="84"/>
    </row>
    <row r="35">
      <c r="A35" s="71"/>
      <c r="B35" s="72"/>
      <c r="C35" s="72"/>
      <c r="D35" s="72"/>
      <c r="E35" s="171" t="s">
        <v>204</v>
      </c>
      <c r="F35" s="204" t="s">
        <v>88</v>
      </c>
      <c r="G35" s="241" t="s">
        <v>112</v>
      </c>
      <c r="H35" s="242" t="s">
        <v>124</v>
      </c>
      <c r="I35" s="392">
        <f t="shared" ref="I35:Z35" si="9">I34/I18</f>
        <v>0.6705216366</v>
      </c>
      <c r="J35" s="392">
        <f t="shared" si="9"/>
        <v>0.6568127222</v>
      </c>
      <c r="K35" s="392">
        <f t="shared" si="9"/>
        <v>0.3460824726</v>
      </c>
      <c r="L35" s="392">
        <f t="shared" si="9"/>
        <v>0.3460824716</v>
      </c>
      <c r="M35" s="392">
        <f t="shared" si="9"/>
        <v>0.3460824712</v>
      </c>
      <c r="N35" s="392">
        <f t="shared" si="9"/>
        <v>0.3460824727</v>
      </c>
      <c r="O35" s="392">
        <f t="shared" si="9"/>
        <v>1.492391445</v>
      </c>
      <c r="P35" s="392">
        <f t="shared" si="9"/>
        <v>0.2780192248</v>
      </c>
      <c r="Q35" s="392">
        <f t="shared" si="9"/>
        <v>0.8801180673</v>
      </c>
      <c r="R35" s="392">
        <f t="shared" si="9"/>
        <v>1.525862462</v>
      </c>
      <c r="S35" s="392">
        <f t="shared" si="9"/>
        <v>0.494511006</v>
      </c>
      <c r="T35" s="392">
        <f t="shared" si="9"/>
        <v>2.365255888</v>
      </c>
      <c r="U35" s="392">
        <f t="shared" si="9"/>
        <v>1.0668013</v>
      </c>
      <c r="V35" s="392">
        <f t="shared" si="9"/>
        <v>3.268097528</v>
      </c>
      <c r="W35" s="392">
        <f t="shared" si="9"/>
        <v>1.300463773</v>
      </c>
      <c r="X35" s="392">
        <f t="shared" si="9"/>
        <v>0.2839494226</v>
      </c>
      <c r="Y35" s="392">
        <f t="shared" si="9"/>
        <v>2.099411354</v>
      </c>
      <c r="Z35" s="392">
        <f t="shared" si="9"/>
        <v>0.3460014359</v>
      </c>
      <c r="AA35" s="80"/>
    </row>
    <row r="36">
      <c r="A36" s="71"/>
      <c r="B36" s="72"/>
      <c r="C36" s="72"/>
      <c r="D36" s="72"/>
      <c r="E36" s="119"/>
      <c r="F36" s="120"/>
      <c r="G36" s="249"/>
      <c r="H36" s="250"/>
      <c r="I36" s="85"/>
      <c r="J36" s="85"/>
      <c r="K36" s="85"/>
      <c r="L36" s="85"/>
      <c r="M36" s="85"/>
      <c r="N36" s="85"/>
      <c r="O36" s="85"/>
      <c r="P36" s="85"/>
      <c r="Q36" s="85"/>
      <c r="R36" s="85"/>
      <c r="S36" s="85"/>
      <c r="T36" s="85"/>
      <c r="U36" s="85"/>
      <c r="V36" s="85"/>
      <c r="W36" s="85"/>
      <c r="X36" s="85"/>
      <c r="Y36" s="85"/>
      <c r="Z36" s="85"/>
      <c r="AA36" s="84"/>
    </row>
    <row r="37">
      <c r="A37" s="66" t="s">
        <v>208</v>
      </c>
      <c r="B37" s="17"/>
      <c r="C37" s="17"/>
      <c r="D37" s="17"/>
      <c r="E37" s="17"/>
      <c r="F37" s="17"/>
      <c r="G37" s="17"/>
      <c r="H37" s="67"/>
      <c r="I37" s="91"/>
      <c r="J37" s="91"/>
      <c r="K37" s="91"/>
      <c r="L37" s="91"/>
      <c r="M37" s="91"/>
      <c r="N37" s="91"/>
      <c r="O37" s="91"/>
      <c r="P37" s="91"/>
      <c r="Q37" s="91"/>
      <c r="R37" s="91"/>
      <c r="S37" s="91"/>
      <c r="T37" s="91"/>
      <c r="U37" s="91"/>
      <c r="V37" s="91"/>
      <c r="W37" s="91"/>
      <c r="X37" s="91"/>
      <c r="Y37" s="91"/>
      <c r="Z37" s="91"/>
      <c r="AA37" s="92"/>
    </row>
    <row r="38">
      <c r="A38" s="71"/>
      <c r="B38" s="72"/>
      <c r="C38" s="72"/>
      <c r="D38" s="72"/>
      <c r="E38" s="119"/>
      <c r="F38" s="120"/>
      <c r="G38" s="249"/>
      <c r="H38" s="250"/>
      <c r="I38" s="85"/>
      <c r="J38" s="85"/>
      <c r="K38" s="85"/>
      <c r="L38" s="85"/>
      <c r="M38" s="85"/>
      <c r="N38" s="85"/>
      <c r="O38" s="85"/>
      <c r="P38" s="85"/>
      <c r="Q38" s="85"/>
      <c r="R38" s="85"/>
      <c r="S38" s="85"/>
      <c r="T38" s="85"/>
      <c r="U38" s="85"/>
      <c r="V38" s="85"/>
      <c r="W38" s="85"/>
      <c r="X38" s="85"/>
      <c r="Y38" s="85"/>
      <c r="Z38" s="85"/>
      <c r="AA38" s="84"/>
    </row>
    <row r="39">
      <c r="A39" s="71"/>
      <c r="B39" s="72"/>
      <c r="C39" s="107" t="s">
        <v>209</v>
      </c>
      <c r="F39" s="120"/>
      <c r="G39" s="249"/>
      <c r="H39" s="250"/>
      <c r="I39" s="85"/>
      <c r="J39" s="85"/>
      <c r="K39" s="85"/>
      <c r="L39" s="85"/>
      <c r="M39" s="85"/>
      <c r="N39" s="85"/>
      <c r="O39" s="85"/>
      <c r="P39" s="85"/>
      <c r="Q39" s="85"/>
      <c r="R39" s="85"/>
      <c r="S39" s="85"/>
      <c r="T39" s="85"/>
      <c r="U39" s="85"/>
      <c r="V39" s="85"/>
      <c r="W39" s="85"/>
      <c r="X39" s="85"/>
      <c r="Y39" s="85"/>
      <c r="Z39" s="85"/>
      <c r="AA39" s="84"/>
    </row>
    <row r="40">
      <c r="A40" s="71"/>
      <c r="B40" s="72"/>
      <c r="C40" s="72"/>
      <c r="D40" s="72"/>
      <c r="E40" s="113" t="s">
        <v>210</v>
      </c>
      <c r="F40" s="115" t="str">
        <f>Inputs!F39</f>
        <v>per 100k</v>
      </c>
      <c r="G40" s="256" t="str">
        <f>Inputs!G39</f>
        <v>input</v>
      </c>
      <c r="H40" s="191" t="str">
        <f>Inputs!H39</f>
        <v>-</v>
      </c>
      <c r="I40" s="123">
        <f>Inputs!I39</f>
        <v>60060.98378</v>
      </c>
      <c r="J40" s="123">
        <f>Inputs!J39</f>
        <v>37423.26557</v>
      </c>
      <c r="K40" s="123">
        <f>Inputs!K39</f>
        <v>30731.36</v>
      </c>
      <c r="L40" s="123">
        <f>Inputs!L39</f>
        <v>37447.9</v>
      </c>
      <c r="M40" s="123">
        <f>Inputs!M39</f>
        <v>35364.66</v>
      </c>
      <c r="N40" s="123">
        <f>Inputs!N39</f>
        <v>35102.89</v>
      </c>
      <c r="O40" s="123">
        <f>Inputs!O39</f>
        <v>36327.33</v>
      </c>
      <c r="P40" s="123">
        <f>Inputs!P39</f>
        <v>47661.90624</v>
      </c>
      <c r="Q40" s="123">
        <f>Inputs!Q39</f>
        <v>49206.23234</v>
      </c>
      <c r="R40" s="123">
        <f>Inputs!R39</f>
        <v>81529.9384</v>
      </c>
      <c r="S40" s="123">
        <f>Inputs!S39</f>
        <v>85869.02616</v>
      </c>
      <c r="T40" s="123">
        <f>Inputs!T39</f>
        <v>76182.96693</v>
      </c>
      <c r="U40" s="123">
        <f>Inputs!U39</f>
        <v>89798.63281</v>
      </c>
      <c r="V40" s="123">
        <f>Inputs!V39</f>
        <v>130288.462</v>
      </c>
      <c r="W40" s="123">
        <f>Inputs!W39</f>
        <v>63655.29509</v>
      </c>
      <c r="X40" s="123">
        <f>Inputs!X39</f>
        <v>69580.73086</v>
      </c>
      <c r="Y40" s="123">
        <f>Inputs!Y39</f>
        <v>79106.01535</v>
      </c>
      <c r="Z40" s="123">
        <f>Inputs!Z39</f>
        <v>34522.23</v>
      </c>
      <c r="AA40" s="53"/>
    </row>
    <row r="41">
      <c r="A41" s="71"/>
      <c r="B41" s="72"/>
      <c r="C41" s="72"/>
      <c r="D41" s="72"/>
      <c r="E41" s="136" t="s">
        <v>215</v>
      </c>
      <c r="F41" s="139" t="str">
        <f>Inputs!F40</f>
        <v>per 100k</v>
      </c>
      <c r="G41" s="277" t="str">
        <f>Inputs!G40</f>
        <v>input</v>
      </c>
      <c r="H41" s="233" t="str">
        <f>Inputs!H40</f>
        <v>-</v>
      </c>
      <c r="I41" s="145">
        <f>Inputs!I40</f>
        <v>24693.60871</v>
      </c>
      <c r="J41" s="145">
        <f>Inputs!J40</f>
        <v>16222.6214</v>
      </c>
      <c r="K41" s="145">
        <f>Inputs!K40</f>
        <v>30731.36</v>
      </c>
      <c r="L41" s="145">
        <f>Inputs!L40</f>
        <v>37447.9</v>
      </c>
      <c r="M41" s="145">
        <f>Inputs!M40</f>
        <v>35364.66</v>
      </c>
      <c r="N41" s="145">
        <f>Inputs!N40</f>
        <v>35102.89</v>
      </c>
      <c r="O41" s="145">
        <f>Inputs!O40</f>
        <v>36327.33</v>
      </c>
      <c r="P41" s="145">
        <f>Inputs!P40</f>
        <v>19593.14817</v>
      </c>
      <c r="Q41" s="145">
        <f>Inputs!Q40</f>
        <v>20783.80124</v>
      </c>
      <c r="R41" s="145">
        <f>Inputs!R40</f>
        <v>31209.9027</v>
      </c>
      <c r="S41" s="145">
        <f>Inputs!S40</f>
        <v>33795.62909</v>
      </c>
      <c r="T41" s="145">
        <f>Inputs!T40</f>
        <v>29812.0385</v>
      </c>
      <c r="U41" s="145">
        <f>Inputs!U40</f>
        <v>33528.33274</v>
      </c>
      <c r="V41" s="145">
        <f>Inputs!V40</f>
        <v>48687.08739</v>
      </c>
      <c r="W41" s="145">
        <f>Inputs!W40</f>
        <v>25166.99536</v>
      </c>
      <c r="X41" s="145">
        <f>Inputs!X40</f>
        <v>28680.35419</v>
      </c>
      <c r="Y41" s="145">
        <f>Inputs!Y40</f>
        <v>30845.0741</v>
      </c>
      <c r="Z41" s="145">
        <f>Inputs!Z40</f>
        <v>34522.23</v>
      </c>
      <c r="AA41" s="61"/>
    </row>
    <row r="42">
      <c r="A42" s="71"/>
      <c r="B42" s="72"/>
      <c r="C42" s="72"/>
      <c r="D42" s="415"/>
      <c r="E42" s="136" t="s">
        <v>188</v>
      </c>
      <c r="F42" s="139" t="str">
        <f>Inputs!F33</f>
        <v>%</v>
      </c>
      <c r="G42" s="421" t="str">
        <f>Inputs!G33</f>
        <v>input</v>
      </c>
      <c r="H42" s="423" t="str">
        <f>Inputs!H33</f>
        <v>-</v>
      </c>
      <c r="I42" s="337">
        <f>Inputs!I33</f>
        <v>0</v>
      </c>
      <c r="J42" s="337">
        <f>Inputs!J33</f>
        <v>0</v>
      </c>
      <c r="K42" s="337">
        <f>Inputs!K33</f>
        <v>0</v>
      </c>
      <c r="L42" s="337">
        <f>Inputs!L33</f>
        <v>0</v>
      </c>
      <c r="M42" s="337">
        <f>Inputs!M33</f>
        <v>0</v>
      </c>
      <c r="N42" s="337">
        <f>Inputs!N33</f>
        <v>0</v>
      </c>
      <c r="O42" s="337">
        <f>Inputs!O33</f>
        <v>0</v>
      </c>
      <c r="P42" s="337">
        <f>Inputs!P33</f>
        <v>-0.05</v>
      </c>
      <c r="Q42" s="337">
        <f>Inputs!Q33</f>
        <v>-0.05</v>
      </c>
      <c r="R42" s="337">
        <f>Inputs!R33</f>
        <v>-0.3512063</v>
      </c>
      <c r="S42" s="337">
        <f>Inputs!S33</f>
        <v>-0.05</v>
      </c>
      <c r="T42" s="337">
        <f>Inputs!T33</f>
        <v>-0.05</v>
      </c>
      <c r="U42" s="337">
        <f>Inputs!U33</f>
        <v>-0.05</v>
      </c>
      <c r="V42" s="337">
        <f>Inputs!V33</f>
        <v>-0.05</v>
      </c>
      <c r="W42" s="337">
        <f>Inputs!W33</f>
        <v>-0.05</v>
      </c>
      <c r="X42" s="337">
        <f>Inputs!X33</f>
        <v>-0.05</v>
      </c>
      <c r="Y42" s="337">
        <f>Inputs!Y33</f>
        <v>0</v>
      </c>
      <c r="Z42" s="337">
        <f>Inputs!Z33</f>
        <v>0</v>
      </c>
      <c r="AA42" s="61"/>
    </row>
    <row r="43">
      <c r="A43" s="71"/>
      <c r="B43" s="72"/>
      <c r="C43" s="72"/>
      <c r="D43" s="415"/>
      <c r="E43" s="136" t="s">
        <v>226</v>
      </c>
      <c r="F43" s="139" t="s">
        <v>99</v>
      </c>
      <c r="G43" s="421" t="s">
        <v>112</v>
      </c>
      <c r="H43" s="423" t="s">
        <v>124</v>
      </c>
      <c r="I43" s="337">
        <f t="shared" ref="I43:Z43" si="10">(I40/100000)*(1+I42)</f>
        <v>0.6006098378</v>
      </c>
      <c r="J43" s="337">
        <f t="shared" si="10"/>
        <v>0.3742326557</v>
      </c>
      <c r="K43" s="337">
        <f t="shared" si="10"/>
        <v>0.3073136</v>
      </c>
      <c r="L43" s="337">
        <f t="shared" si="10"/>
        <v>0.374479</v>
      </c>
      <c r="M43" s="337">
        <f t="shared" si="10"/>
        <v>0.3536466</v>
      </c>
      <c r="N43" s="337">
        <f t="shared" si="10"/>
        <v>0.3510289</v>
      </c>
      <c r="O43" s="337">
        <f t="shared" si="10"/>
        <v>0.3632733</v>
      </c>
      <c r="P43" s="337">
        <f t="shared" si="10"/>
        <v>0.4527881093</v>
      </c>
      <c r="Q43" s="337">
        <f t="shared" si="10"/>
        <v>0.4674592072</v>
      </c>
      <c r="R43" s="337">
        <f t="shared" si="10"/>
        <v>0.528961104</v>
      </c>
      <c r="S43" s="337">
        <f t="shared" si="10"/>
        <v>0.8157557485</v>
      </c>
      <c r="T43" s="337">
        <f t="shared" si="10"/>
        <v>0.7237381858</v>
      </c>
      <c r="U43" s="337">
        <f t="shared" si="10"/>
        <v>0.8530870117</v>
      </c>
      <c r="V43" s="337">
        <f t="shared" si="10"/>
        <v>1.237740389</v>
      </c>
      <c r="W43" s="337">
        <f t="shared" si="10"/>
        <v>0.6047253034</v>
      </c>
      <c r="X43" s="337">
        <f t="shared" si="10"/>
        <v>0.6610169432</v>
      </c>
      <c r="Y43" s="337">
        <f t="shared" si="10"/>
        <v>0.7910601535</v>
      </c>
      <c r="Z43" s="337">
        <f t="shared" si="10"/>
        <v>0.3452223</v>
      </c>
      <c r="AA43" s="61"/>
    </row>
    <row r="44">
      <c r="A44" s="71"/>
      <c r="B44" s="72"/>
      <c r="C44" s="72"/>
      <c r="D44" s="72"/>
      <c r="E44" s="171" t="s">
        <v>230</v>
      </c>
      <c r="F44" s="204" t="s">
        <v>99</v>
      </c>
      <c r="G44" s="431" t="s">
        <v>112</v>
      </c>
      <c r="H44" s="432" t="s">
        <v>124</v>
      </c>
      <c r="I44" s="243">
        <f t="shared" ref="I44:Z44" si="11">(I41/100000)*(1+I42)</f>
        <v>0.2469360871</v>
      </c>
      <c r="J44" s="243">
        <f t="shared" si="11"/>
        <v>0.162226214</v>
      </c>
      <c r="K44" s="243">
        <f t="shared" si="11"/>
        <v>0.3073136</v>
      </c>
      <c r="L44" s="243">
        <f t="shared" si="11"/>
        <v>0.374479</v>
      </c>
      <c r="M44" s="243">
        <f t="shared" si="11"/>
        <v>0.3536466</v>
      </c>
      <c r="N44" s="243">
        <f t="shared" si="11"/>
        <v>0.3510289</v>
      </c>
      <c r="O44" s="243">
        <f t="shared" si="11"/>
        <v>0.3632733</v>
      </c>
      <c r="P44" s="243">
        <f t="shared" si="11"/>
        <v>0.1861349076</v>
      </c>
      <c r="Q44" s="243">
        <f t="shared" si="11"/>
        <v>0.1974461118</v>
      </c>
      <c r="R44" s="243">
        <f t="shared" si="11"/>
        <v>0.2024878825</v>
      </c>
      <c r="S44" s="243">
        <f t="shared" si="11"/>
        <v>0.3210584764</v>
      </c>
      <c r="T44" s="243">
        <f t="shared" si="11"/>
        <v>0.2832143658</v>
      </c>
      <c r="U44" s="243">
        <f t="shared" si="11"/>
        <v>0.318519161</v>
      </c>
      <c r="V44" s="243">
        <f t="shared" si="11"/>
        <v>0.4625273302</v>
      </c>
      <c r="W44" s="243">
        <f t="shared" si="11"/>
        <v>0.2390864559</v>
      </c>
      <c r="X44" s="243">
        <f t="shared" si="11"/>
        <v>0.2724633648</v>
      </c>
      <c r="Y44" s="243">
        <f t="shared" si="11"/>
        <v>0.308450741</v>
      </c>
      <c r="Z44" s="243">
        <f t="shared" si="11"/>
        <v>0.3452223</v>
      </c>
      <c r="AA44" s="80"/>
    </row>
    <row r="45">
      <c r="A45" s="235"/>
      <c r="B45" s="116"/>
      <c r="C45" s="116"/>
      <c r="D45" s="116"/>
      <c r="E45" s="437"/>
      <c r="F45" s="116"/>
      <c r="G45" s="116"/>
      <c r="H45" s="439"/>
      <c r="I45" s="440"/>
      <c r="J45" s="440"/>
      <c r="K45" s="440"/>
      <c r="L45" s="440"/>
      <c r="M45" s="440"/>
      <c r="N45" s="440"/>
      <c r="O45" s="440"/>
      <c r="P45" s="440"/>
      <c r="Q45" s="440"/>
      <c r="R45" s="440"/>
      <c r="S45" s="440"/>
      <c r="T45" s="440"/>
      <c r="U45" s="440"/>
      <c r="V45" s="440"/>
      <c r="W45" s="440"/>
      <c r="X45" s="440"/>
      <c r="Y45" s="440"/>
      <c r="Z45" s="440"/>
      <c r="AA45" s="117"/>
    </row>
  </sheetData>
  <mergeCells count="10">
    <mergeCell ref="C32:E32"/>
    <mergeCell ref="A37:G37"/>
    <mergeCell ref="C39:E39"/>
    <mergeCell ref="I1:Q1"/>
    <mergeCell ref="R1:Z1"/>
    <mergeCell ref="A3:E3"/>
    <mergeCell ref="A5:G5"/>
    <mergeCell ref="C7:E7"/>
    <mergeCell ref="C13:E13"/>
    <mergeCell ref="C21:E21"/>
  </mergeCells>
  <hyperlinks>
    <hyperlink display="Malaria mortalities per year among people under age 5" location="Inputs!E22" ref="E8"/>
    <hyperlink display="Early neonatal malaria mortalities per year (babies under 7 days old)" location="Inputs!E23" ref="E9"/>
    <hyperlink display="Late neonatal malaria mortalities per year (babies between 7 and 27 days old)" location="Inputs!E24" ref="E10"/>
    <hyperlink display="Post-neonatal malaria mortalities per year (babies between 28 and 364 days old)" location="Inputs!E25" ref="E11"/>
    <hyperlink display="Number of post-neonatal months of life in which children are under 1 year old" location="Inputs!E26" ref="E14"/>
    <hyperlink display="Number of post-neonatal months of life in which children are under 3 months old" location="Inputs!E27" ref="E15"/>
    <hyperlink display="Annual malaria mortality rate among people under age 5" location="Inputs!E30" ref="E22"/>
    <hyperlink display="Total number of months of life in which children are under 5 years old" location="Inputs!E31" ref="E24"/>
    <hyperlink display="Adjustment for malaria averted by ITN distributions not accounted for in GBD 2019" location="Inputs!E33" ref="E29"/>
    <hyperlink display="Total malaria mortalities per year" location="Inputs!E36" ref="E33"/>
    <hyperlink display="Malaria incidence among people age 1 to 4" location="Inputs!E39" ref="E40"/>
    <hyperlink display="Malaria incidence among people age 5 to 14" location="Inputs!E40" ref="E41"/>
    <hyperlink display="Adjustment for malaria averted by ITN distributions not accounted for in GBD 2019" location="Inputs!E33" ref="E42"/>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26" width="12.13"/>
    <col customWidth="1" min="27" max="27" width="3.63"/>
  </cols>
  <sheetData>
    <row r="1">
      <c r="A1" s="1"/>
      <c r="B1" s="2"/>
      <c r="C1" s="2"/>
      <c r="D1" s="2"/>
      <c r="E1" s="7"/>
      <c r="F1" s="6"/>
      <c r="G1" s="9"/>
      <c r="H1" s="12"/>
      <c r="I1" s="14" t="s">
        <v>1</v>
      </c>
      <c r="J1" s="15"/>
      <c r="K1" s="15"/>
      <c r="L1" s="15"/>
      <c r="M1" s="15"/>
      <c r="N1" s="15"/>
      <c r="O1" s="15"/>
      <c r="P1" s="15"/>
      <c r="Q1" s="15"/>
      <c r="R1" s="18" t="s">
        <v>1</v>
      </c>
      <c r="S1" s="17"/>
      <c r="T1" s="17"/>
      <c r="U1" s="17"/>
      <c r="V1" s="17"/>
      <c r="W1" s="17"/>
      <c r="X1" s="17"/>
      <c r="Y1" s="17"/>
      <c r="Z1" s="17"/>
      <c r="AA1" s="19"/>
    </row>
    <row r="2">
      <c r="A2" s="21"/>
      <c r="B2" s="23"/>
      <c r="C2" s="23"/>
      <c r="D2" s="23"/>
      <c r="E2" s="24"/>
      <c r="F2" s="26"/>
      <c r="G2" s="27"/>
      <c r="H2" s="28"/>
      <c r="I2" s="31" t="s">
        <v>3</v>
      </c>
      <c r="J2" s="31" t="s">
        <v>4</v>
      </c>
      <c r="K2" s="31" t="s">
        <v>5</v>
      </c>
      <c r="L2" s="31" t="s">
        <v>5</v>
      </c>
      <c r="M2" s="31" t="s">
        <v>5</v>
      </c>
      <c r="N2" s="31" t="s">
        <v>5</v>
      </c>
      <c r="O2" s="31" t="s">
        <v>6</v>
      </c>
      <c r="P2" s="31" t="s">
        <v>7</v>
      </c>
      <c r="Q2" s="31" t="s">
        <v>7</v>
      </c>
      <c r="R2" s="31" t="s">
        <v>7</v>
      </c>
      <c r="S2" s="31" t="s">
        <v>7</v>
      </c>
      <c r="T2" s="31" t="s">
        <v>7</v>
      </c>
      <c r="U2" s="31" t="s">
        <v>7</v>
      </c>
      <c r="V2" s="31" t="s">
        <v>7</v>
      </c>
      <c r="W2" s="31" t="s">
        <v>7</v>
      </c>
      <c r="X2" s="31" t="s">
        <v>7</v>
      </c>
      <c r="Y2" s="31" t="s">
        <v>8</v>
      </c>
      <c r="Z2" s="31" t="s">
        <v>9</v>
      </c>
      <c r="AA2" s="37"/>
    </row>
    <row r="3">
      <c r="A3" s="39" t="s">
        <v>11</v>
      </c>
      <c r="B3" s="15"/>
      <c r="C3" s="15"/>
      <c r="D3" s="15"/>
      <c r="E3" s="15"/>
      <c r="F3" s="40" t="s">
        <v>14</v>
      </c>
      <c r="G3" s="41" t="s">
        <v>15</v>
      </c>
      <c r="H3" s="43" t="s">
        <v>16</v>
      </c>
      <c r="I3" s="44"/>
      <c r="J3" s="44"/>
      <c r="K3" s="44" t="s">
        <v>17</v>
      </c>
      <c r="L3" s="44" t="s">
        <v>18</v>
      </c>
      <c r="M3" s="44" t="s">
        <v>19</v>
      </c>
      <c r="N3" s="44" t="s">
        <v>20</v>
      </c>
      <c r="O3" s="44" t="s">
        <v>21</v>
      </c>
      <c r="P3" s="44" t="s">
        <v>22</v>
      </c>
      <c r="Q3" s="44" t="s">
        <v>23</v>
      </c>
      <c r="R3" s="44" t="s">
        <v>24</v>
      </c>
      <c r="S3" s="44" t="s">
        <v>25</v>
      </c>
      <c r="T3" s="44" t="s">
        <v>26</v>
      </c>
      <c r="U3" s="44" t="s">
        <v>27</v>
      </c>
      <c r="V3" s="44" t="s">
        <v>28</v>
      </c>
      <c r="W3" s="44" t="s">
        <v>29</v>
      </c>
      <c r="X3" s="44" t="s">
        <v>30</v>
      </c>
      <c r="Y3" s="44"/>
      <c r="Z3" s="44" t="s">
        <v>32</v>
      </c>
      <c r="AA3" s="48"/>
    </row>
    <row r="4">
      <c r="A4" s="51"/>
      <c r="B4" s="50"/>
      <c r="C4" s="50"/>
      <c r="D4" s="50"/>
      <c r="E4" s="54" t="s">
        <v>33</v>
      </c>
      <c r="F4" s="57" t="str">
        <f>'Main CEA'!F191</f>
        <v>xbenchmark</v>
      </c>
      <c r="G4" s="59" t="s">
        <v>37</v>
      </c>
      <c r="H4" s="63" t="str">
        <f>'Main CEA'!H191</f>
        <v>-</v>
      </c>
      <c r="I4" s="64">
        <f>'Main CEA'!I191</f>
        <v>18.0174674</v>
      </c>
      <c r="J4" s="64">
        <f>'Main CEA'!J191</f>
        <v>8.019128417</v>
      </c>
      <c r="K4" s="64">
        <f>'Main CEA'!K191</f>
        <v>7.852125556</v>
      </c>
      <c r="L4" s="64">
        <f>'Main CEA'!L191</f>
        <v>9.246029712</v>
      </c>
      <c r="M4" s="64">
        <f>'Main CEA'!M191</f>
        <v>9.101271824</v>
      </c>
      <c r="N4" s="64">
        <f>'Main CEA'!N191</f>
        <v>12.5733096</v>
      </c>
      <c r="O4" s="64">
        <f>'Main CEA'!O191</f>
        <v>11.49583583</v>
      </c>
      <c r="P4" s="64">
        <f>'Main CEA'!P191</f>
        <v>21.23317512</v>
      </c>
      <c r="Q4" s="64">
        <f>'Main CEA'!Q191</f>
        <v>18.02657078</v>
      </c>
      <c r="R4" s="64">
        <f>'Main CEA'!R191</f>
        <v>16.09673298</v>
      </c>
      <c r="S4" s="64">
        <f>'Main CEA'!S191</f>
        <v>29.42816881</v>
      </c>
      <c r="T4" s="64">
        <f>'Main CEA'!T191</f>
        <v>21.04785894</v>
      </c>
      <c r="U4" s="64">
        <f>'Main CEA'!U191</f>
        <v>22.32938367</v>
      </c>
      <c r="V4" s="64">
        <f>'Main CEA'!V191</f>
        <v>24.33012971</v>
      </c>
      <c r="W4" s="64">
        <f>'Main CEA'!W191</f>
        <v>16.04591397</v>
      </c>
      <c r="X4" s="64">
        <f>'Main CEA'!X191</f>
        <v>29.83296948</v>
      </c>
      <c r="Y4" s="64">
        <f>'Main CEA'!Y191</f>
        <v>10.567669</v>
      </c>
      <c r="Z4" s="64">
        <f>'Main CEA'!Z191</f>
        <v>10.36078258</v>
      </c>
      <c r="AA4" s="86"/>
    </row>
    <row r="5">
      <c r="A5" s="66" t="s">
        <v>46</v>
      </c>
      <c r="B5" s="17"/>
      <c r="C5" s="17"/>
      <c r="D5" s="17"/>
      <c r="E5" s="17"/>
      <c r="F5" s="17"/>
      <c r="G5" s="87"/>
      <c r="H5" s="90"/>
      <c r="I5" s="91"/>
      <c r="J5" s="91"/>
      <c r="K5" s="91"/>
      <c r="L5" s="91"/>
      <c r="M5" s="91"/>
      <c r="N5" s="91"/>
      <c r="O5" s="91"/>
      <c r="P5" s="91"/>
      <c r="Q5" s="91"/>
      <c r="R5" s="91"/>
      <c r="S5" s="91"/>
      <c r="T5" s="91"/>
      <c r="U5" s="91"/>
      <c r="V5" s="91"/>
      <c r="W5" s="91"/>
      <c r="X5" s="91"/>
      <c r="Y5" s="91"/>
      <c r="Z5" s="91"/>
      <c r="AA5" s="92"/>
    </row>
    <row r="6">
      <c r="A6" s="71"/>
      <c r="B6" s="72"/>
      <c r="C6" s="72"/>
      <c r="D6" s="72"/>
      <c r="E6" s="95"/>
      <c r="F6" s="75"/>
      <c r="G6" s="77"/>
      <c r="H6" s="98"/>
      <c r="I6" s="85"/>
      <c r="J6" s="85"/>
      <c r="K6" s="85"/>
      <c r="L6" s="85"/>
      <c r="M6" s="85"/>
      <c r="N6" s="85"/>
      <c r="O6" s="85"/>
      <c r="P6" s="85"/>
      <c r="Q6" s="85"/>
      <c r="R6" s="85"/>
      <c r="S6" s="85"/>
      <c r="T6" s="85"/>
      <c r="U6" s="85"/>
      <c r="V6" s="85"/>
      <c r="W6" s="85"/>
      <c r="X6" s="85"/>
      <c r="Y6" s="85"/>
      <c r="Z6" s="85"/>
      <c r="AA6" s="84"/>
    </row>
    <row r="7">
      <c r="A7" s="71"/>
      <c r="B7" s="72"/>
      <c r="C7" s="82" t="s">
        <v>50</v>
      </c>
      <c r="F7" s="75"/>
      <c r="G7" s="83"/>
      <c r="H7" s="98"/>
      <c r="I7" s="85"/>
      <c r="J7" s="85"/>
      <c r="K7" s="85"/>
      <c r="L7" s="85"/>
      <c r="M7" s="85"/>
      <c r="N7" s="85"/>
      <c r="O7" s="85"/>
      <c r="P7" s="85"/>
      <c r="Q7" s="85"/>
      <c r="R7" s="85"/>
      <c r="S7" s="85"/>
      <c r="T7" s="85"/>
      <c r="U7" s="85"/>
      <c r="V7" s="85"/>
      <c r="W7" s="85"/>
      <c r="X7" s="85"/>
      <c r="Y7" s="85"/>
      <c r="Z7" s="85"/>
      <c r="AA7" s="84"/>
    </row>
    <row r="8">
      <c r="A8" s="71"/>
      <c r="B8" s="72"/>
      <c r="C8" s="72"/>
      <c r="D8" s="72"/>
      <c r="E8" s="93" t="s">
        <v>52</v>
      </c>
      <c r="F8" s="96" t="str">
        <f>Inputs!F8</f>
        <v>$</v>
      </c>
      <c r="G8" s="101" t="str">
        <f>Inputs!G8</f>
        <v>input</v>
      </c>
      <c r="H8" s="110">
        <f>Inputs!H8</f>
        <v>1000000</v>
      </c>
      <c r="I8" s="112" t="str">
        <f>Inputs!I8</f>
        <v>-</v>
      </c>
      <c r="J8" s="112" t="str">
        <f>Inputs!J8</f>
        <v>-</v>
      </c>
      <c r="K8" s="112" t="str">
        <f>Inputs!K8</f>
        <v>-</v>
      </c>
      <c r="L8" s="112" t="str">
        <f>Inputs!L8</f>
        <v>-</v>
      </c>
      <c r="M8" s="112" t="str">
        <f>Inputs!M8</f>
        <v>-</v>
      </c>
      <c r="N8" s="112" t="str">
        <f>Inputs!N8</f>
        <v>-</v>
      </c>
      <c r="O8" s="112" t="str">
        <f>Inputs!O8</f>
        <v>-</v>
      </c>
      <c r="P8" s="112" t="str">
        <f>Inputs!P8</f>
        <v>-</v>
      </c>
      <c r="Q8" s="112" t="str">
        <f>Inputs!Q8</f>
        <v>-</v>
      </c>
      <c r="R8" s="112" t="str">
        <f>Inputs!R8</f>
        <v>-</v>
      </c>
      <c r="S8" s="112" t="str">
        <f>Inputs!S8</f>
        <v>-</v>
      </c>
      <c r="T8" s="112" t="str">
        <f>Inputs!T8</f>
        <v>-</v>
      </c>
      <c r="U8" s="112" t="str">
        <f>Inputs!U8</f>
        <v>-</v>
      </c>
      <c r="V8" s="112" t="str">
        <f>Inputs!V8</f>
        <v>-</v>
      </c>
      <c r="W8" s="112" t="str">
        <f>Inputs!W8</f>
        <v>-</v>
      </c>
      <c r="X8" s="112" t="str">
        <f>Inputs!X8</f>
        <v>-</v>
      </c>
      <c r="Y8" s="112" t="str">
        <f>Inputs!Y8</f>
        <v>-</v>
      </c>
      <c r="Z8" s="112" t="str">
        <f>Inputs!Z8</f>
        <v>-</v>
      </c>
      <c r="AA8" s="117"/>
    </row>
    <row r="9">
      <c r="A9" s="71"/>
      <c r="B9" s="72"/>
      <c r="C9" s="124"/>
      <c r="D9" s="124"/>
      <c r="E9" s="129"/>
      <c r="F9" s="125"/>
      <c r="G9" s="126"/>
      <c r="H9" s="98"/>
      <c r="I9" s="85"/>
      <c r="J9" s="85"/>
      <c r="K9" s="85"/>
      <c r="L9" s="85"/>
      <c r="M9" s="85"/>
      <c r="N9" s="85"/>
      <c r="O9" s="85"/>
      <c r="P9" s="85"/>
      <c r="Q9" s="85"/>
      <c r="R9" s="85"/>
      <c r="S9" s="85"/>
      <c r="T9" s="85"/>
      <c r="U9" s="85"/>
      <c r="V9" s="85"/>
      <c r="W9" s="85"/>
      <c r="X9" s="85"/>
      <c r="Y9" s="85"/>
      <c r="Z9" s="85"/>
      <c r="AA9" s="84"/>
    </row>
    <row r="10">
      <c r="A10" s="71"/>
      <c r="B10" s="72"/>
      <c r="C10" s="124" t="s">
        <v>71</v>
      </c>
      <c r="F10" s="125"/>
      <c r="G10" s="126"/>
      <c r="H10" s="98"/>
      <c r="I10" s="85"/>
      <c r="J10" s="85"/>
      <c r="K10" s="85"/>
      <c r="L10" s="85"/>
      <c r="M10" s="85"/>
      <c r="N10" s="85"/>
      <c r="O10" s="85"/>
      <c r="P10" s="85"/>
      <c r="Q10" s="85"/>
      <c r="R10" s="85"/>
      <c r="S10" s="85"/>
      <c r="T10" s="85"/>
      <c r="U10" s="85"/>
      <c r="V10" s="85"/>
      <c r="W10" s="85"/>
      <c r="X10" s="85"/>
      <c r="Y10" s="85"/>
      <c r="Z10" s="85"/>
      <c r="AA10" s="84"/>
    </row>
    <row r="11">
      <c r="A11" s="71"/>
      <c r="B11" s="72"/>
      <c r="C11" s="35"/>
      <c r="D11" s="35"/>
      <c r="E11" s="133" t="s">
        <v>74</v>
      </c>
      <c r="F11" s="128" t="str">
        <f>Inputs!F11</f>
        <v>%</v>
      </c>
      <c r="G11" s="130" t="str">
        <f>Inputs!G11</f>
        <v>input</v>
      </c>
      <c r="H11" s="134" t="str">
        <f>Inputs!H11</f>
        <v>-</v>
      </c>
      <c r="I11" s="135">
        <f>Inputs!I11</f>
        <v>0.8872139</v>
      </c>
      <c r="J11" s="135">
        <f>Inputs!J11</f>
        <v>0.8943595</v>
      </c>
      <c r="K11" s="135">
        <f>Inputs!K11</f>
        <v>0.8943595</v>
      </c>
      <c r="L11" s="135">
        <f>Inputs!L11</f>
        <v>0.8943595</v>
      </c>
      <c r="M11" s="135">
        <f>Inputs!M11</f>
        <v>0.8943595</v>
      </c>
      <c r="N11" s="135">
        <f>Inputs!N11</f>
        <v>0.8943595</v>
      </c>
      <c r="O11" s="135">
        <f>Inputs!O11</f>
        <v>0.8943595</v>
      </c>
      <c r="P11" s="135">
        <f>Inputs!P11</f>
        <v>0.8604484</v>
      </c>
      <c r="Q11" s="135">
        <f>Inputs!Q11</f>
        <v>0.8604484</v>
      </c>
      <c r="R11" s="135">
        <f>Inputs!R11</f>
        <v>0.8604484</v>
      </c>
      <c r="S11" s="135">
        <f>Inputs!S11</f>
        <v>0.8604484</v>
      </c>
      <c r="T11" s="135">
        <f>Inputs!T11</f>
        <v>0.8604484</v>
      </c>
      <c r="U11" s="135">
        <f>Inputs!U11</f>
        <v>0.8604484</v>
      </c>
      <c r="V11" s="135">
        <f>Inputs!V11</f>
        <v>0.8604484</v>
      </c>
      <c r="W11" s="135">
        <f>Inputs!W11</f>
        <v>0.8604484</v>
      </c>
      <c r="X11" s="135">
        <f>Inputs!X11</f>
        <v>0.8604484</v>
      </c>
      <c r="Y11" s="135">
        <f>Inputs!Y11</f>
        <v>0.874083</v>
      </c>
      <c r="Z11" s="135">
        <f>Inputs!Z11</f>
        <v>0.8943595</v>
      </c>
      <c r="AA11" s="53"/>
    </row>
    <row r="12">
      <c r="A12" s="71"/>
      <c r="B12" s="72"/>
      <c r="C12" s="35"/>
      <c r="D12" s="35"/>
      <c r="E12" s="148" t="s">
        <v>91</v>
      </c>
      <c r="F12" s="146" t="str">
        <f>Inputs!F12</f>
        <v>%</v>
      </c>
      <c r="G12" s="147" t="str">
        <f>Inputs!G12</f>
        <v>input</v>
      </c>
      <c r="H12" s="151" t="str">
        <f>Inputs!H12</f>
        <v>-</v>
      </c>
      <c r="I12" s="150">
        <f>Inputs!I12</f>
        <v>0.0081278</v>
      </c>
      <c r="J12" s="150">
        <f>Inputs!J12</f>
        <v>0</v>
      </c>
      <c r="K12" s="150">
        <f>Inputs!K12</f>
        <v>0</v>
      </c>
      <c r="L12" s="150">
        <f>Inputs!L12</f>
        <v>0</v>
      </c>
      <c r="M12" s="150">
        <f>Inputs!M12</f>
        <v>0</v>
      </c>
      <c r="N12" s="150">
        <f>Inputs!N12</f>
        <v>0</v>
      </c>
      <c r="O12" s="150">
        <f>Inputs!O12</f>
        <v>0</v>
      </c>
      <c r="P12" s="150">
        <f>Inputs!P12</f>
        <v>0.0384031</v>
      </c>
      <c r="Q12" s="150">
        <f>Inputs!Q12</f>
        <v>0.0384031</v>
      </c>
      <c r="R12" s="150">
        <f>Inputs!R12</f>
        <v>0.0384031</v>
      </c>
      <c r="S12" s="150">
        <f>Inputs!S12</f>
        <v>0.0384031</v>
      </c>
      <c r="T12" s="150">
        <f>Inputs!T12</f>
        <v>0.0384031</v>
      </c>
      <c r="U12" s="150">
        <f>Inputs!U12</f>
        <v>0.0384031</v>
      </c>
      <c r="V12" s="150">
        <f>Inputs!V12</f>
        <v>0.0384031</v>
      </c>
      <c r="W12" s="150">
        <f>Inputs!W12</f>
        <v>0.0384031</v>
      </c>
      <c r="X12" s="150">
        <f>Inputs!X12</f>
        <v>0.0384031</v>
      </c>
      <c r="Y12" s="150">
        <f>Inputs!Y12</f>
        <v>0.0244652</v>
      </c>
      <c r="Z12" s="150">
        <f>Inputs!Z12</f>
        <v>0</v>
      </c>
      <c r="AA12" s="61"/>
    </row>
    <row r="13">
      <c r="A13" s="71"/>
      <c r="B13" s="72"/>
      <c r="C13" s="35"/>
      <c r="D13" s="35"/>
      <c r="E13" s="158" t="s">
        <v>109</v>
      </c>
      <c r="F13" s="157" t="str">
        <f>Inputs!F13</f>
        <v>%</v>
      </c>
      <c r="G13" s="161" t="str">
        <f>Inputs!G13</f>
        <v>input</v>
      </c>
      <c r="H13" s="163" t="str">
        <f>Inputs!H13</f>
        <v>-</v>
      </c>
      <c r="I13" s="162">
        <f>Inputs!I13</f>
        <v>0.1046583</v>
      </c>
      <c r="J13" s="162">
        <f>Inputs!J13</f>
        <v>0.1056405</v>
      </c>
      <c r="K13" s="162">
        <f>Inputs!K13</f>
        <v>0.1056405</v>
      </c>
      <c r="L13" s="162">
        <f>Inputs!L13</f>
        <v>0.1056405</v>
      </c>
      <c r="M13" s="162">
        <f>Inputs!M13</f>
        <v>0.1056405</v>
      </c>
      <c r="N13" s="162">
        <f>Inputs!N13</f>
        <v>0.1056405</v>
      </c>
      <c r="O13" s="162">
        <f>Inputs!O13</f>
        <v>0.1056405</v>
      </c>
      <c r="P13" s="162">
        <f>Inputs!P13</f>
        <v>0.1011485</v>
      </c>
      <c r="Q13" s="162">
        <f>Inputs!Q13</f>
        <v>0.1011485</v>
      </c>
      <c r="R13" s="162">
        <f>Inputs!R13</f>
        <v>0.1011485</v>
      </c>
      <c r="S13" s="162">
        <f>Inputs!S13</f>
        <v>0.1011485</v>
      </c>
      <c r="T13" s="162">
        <f>Inputs!T13</f>
        <v>0.1011485</v>
      </c>
      <c r="U13" s="162">
        <f>Inputs!U13</f>
        <v>0.1011485</v>
      </c>
      <c r="V13" s="162">
        <f>Inputs!V13</f>
        <v>0.1011485</v>
      </c>
      <c r="W13" s="162">
        <f>Inputs!W13</f>
        <v>0.1011485</v>
      </c>
      <c r="X13" s="162">
        <f>Inputs!X13</f>
        <v>0.1011485</v>
      </c>
      <c r="Y13" s="162">
        <f>Inputs!Y13</f>
        <v>0.1014518</v>
      </c>
      <c r="Z13" s="162">
        <f>Inputs!Z13</f>
        <v>0.1056405</v>
      </c>
      <c r="AA13" s="80"/>
    </row>
    <row r="14">
      <c r="A14" s="71"/>
      <c r="B14" s="72"/>
      <c r="C14" s="72"/>
      <c r="D14" s="72"/>
      <c r="E14" s="169"/>
      <c r="F14" s="120"/>
      <c r="G14" s="170"/>
      <c r="H14" s="172"/>
      <c r="I14" s="173"/>
      <c r="J14" s="173"/>
      <c r="K14" s="173"/>
      <c r="L14" s="173"/>
      <c r="M14" s="173"/>
      <c r="N14" s="173"/>
      <c r="O14" s="173"/>
      <c r="P14" s="173"/>
      <c r="Q14" s="173"/>
      <c r="R14" s="173"/>
      <c r="S14" s="173"/>
      <c r="T14" s="173"/>
      <c r="U14" s="173"/>
      <c r="V14" s="173"/>
      <c r="W14" s="173"/>
      <c r="X14" s="173"/>
      <c r="Y14" s="173"/>
      <c r="Z14" s="173"/>
      <c r="AA14" s="84"/>
    </row>
    <row r="15">
      <c r="A15" s="71"/>
      <c r="B15" s="72"/>
      <c r="C15" s="107" t="s">
        <v>122</v>
      </c>
      <c r="F15" s="120"/>
      <c r="G15" s="168"/>
      <c r="H15" s="178"/>
      <c r="I15" s="180"/>
      <c r="J15" s="180"/>
      <c r="K15" s="180"/>
      <c r="L15" s="180"/>
      <c r="M15" s="180"/>
      <c r="N15" s="180"/>
      <c r="O15" s="180"/>
      <c r="P15" s="180"/>
      <c r="Q15" s="180"/>
      <c r="R15" s="180"/>
      <c r="S15" s="180"/>
      <c r="T15" s="180"/>
      <c r="U15" s="180"/>
      <c r="V15" s="180"/>
      <c r="W15" s="180"/>
      <c r="X15" s="180"/>
      <c r="Y15" s="180"/>
      <c r="Z15" s="180"/>
      <c r="AA15" s="84"/>
    </row>
    <row r="16">
      <c r="A16" s="71"/>
      <c r="B16" s="72"/>
      <c r="C16" s="107"/>
      <c r="D16" s="72"/>
      <c r="E16" s="183" t="s">
        <v>123</v>
      </c>
      <c r="F16" s="96" t="str">
        <f>'Main CEA'!F16</f>
        <v>$</v>
      </c>
      <c r="G16" s="176" t="s">
        <v>37</v>
      </c>
      <c r="H16" s="186" t="str">
        <f>'Main CEA'!H16</f>
        <v>-</v>
      </c>
      <c r="I16" s="112">
        <f>'Main CEA'!I16</f>
        <v>1127123.91</v>
      </c>
      <c r="J16" s="112">
        <f>'Main CEA'!J16</f>
        <v>1118118.609</v>
      </c>
      <c r="K16" s="112">
        <f>'Main CEA'!K16</f>
        <v>1118118.609</v>
      </c>
      <c r="L16" s="112">
        <f>'Main CEA'!L16</f>
        <v>1118118.609</v>
      </c>
      <c r="M16" s="112">
        <f>'Main CEA'!M16</f>
        <v>1118118.609</v>
      </c>
      <c r="N16" s="112">
        <f>'Main CEA'!N16</f>
        <v>1118118.609</v>
      </c>
      <c r="O16" s="112">
        <f>'Main CEA'!O16</f>
        <v>1118118.609</v>
      </c>
      <c r="P16" s="112">
        <f>'Main CEA'!P16</f>
        <v>1162184.74</v>
      </c>
      <c r="Q16" s="112">
        <f>'Main CEA'!Q16</f>
        <v>1162184.74</v>
      </c>
      <c r="R16" s="112">
        <f>'Main CEA'!R16</f>
        <v>1162184.74</v>
      </c>
      <c r="S16" s="112">
        <f>'Main CEA'!S16</f>
        <v>1162184.74</v>
      </c>
      <c r="T16" s="112">
        <f>'Main CEA'!T16</f>
        <v>1162184.74</v>
      </c>
      <c r="U16" s="112">
        <f>'Main CEA'!U16</f>
        <v>1162184.74</v>
      </c>
      <c r="V16" s="112">
        <f>'Main CEA'!V16</f>
        <v>1162184.74</v>
      </c>
      <c r="W16" s="112">
        <f>'Main CEA'!W16</f>
        <v>1162184.74</v>
      </c>
      <c r="X16" s="112">
        <f>'Main CEA'!X16</f>
        <v>1162184.74</v>
      </c>
      <c r="Y16" s="112">
        <f>'Main CEA'!Y16</f>
        <v>1144056.114</v>
      </c>
      <c r="Z16" s="112">
        <f>'Main CEA'!Z16</f>
        <v>1118118.609</v>
      </c>
      <c r="AA16" s="117"/>
    </row>
    <row r="17">
      <c r="A17" s="71"/>
      <c r="B17" s="72"/>
      <c r="C17" s="188"/>
      <c r="D17" s="188"/>
      <c r="E17" s="169"/>
      <c r="F17" s="75"/>
      <c r="G17" s="83"/>
      <c r="H17" s="178"/>
      <c r="I17" s="180"/>
      <c r="J17" s="180"/>
      <c r="K17" s="180"/>
      <c r="L17" s="180"/>
      <c r="M17" s="180"/>
      <c r="N17" s="180"/>
      <c r="O17" s="180"/>
      <c r="P17" s="180"/>
      <c r="Q17" s="180"/>
      <c r="R17" s="180"/>
      <c r="S17" s="180"/>
      <c r="T17" s="180"/>
      <c r="U17" s="180"/>
      <c r="V17" s="180"/>
      <c r="W17" s="180"/>
      <c r="X17" s="180"/>
      <c r="Y17" s="180"/>
      <c r="Z17" s="180"/>
      <c r="AA17" s="84"/>
    </row>
    <row r="18">
      <c r="A18" s="71"/>
      <c r="B18" s="72"/>
      <c r="C18" s="188" t="s">
        <v>127</v>
      </c>
      <c r="F18" s="75"/>
      <c r="G18" s="83"/>
      <c r="H18" s="178"/>
      <c r="I18" s="180"/>
      <c r="J18" s="180"/>
      <c r="K18" s="180"/>
      <c r="L18" s="180"/>
      <c r="M18" s="180"/>
      <c r="N18" s="180"/>
      <c r="O18" s="180"/>
      <c r="P18" s="180"/>
      <c r="Q18" s="180"/>
      <c r="R18" s="180"/>
      <c r="S18" s="180"/>
      <c r="T18" s="180"/>
      <c r="U18" s="180"/>
      <c r="V18" s="180"/>
      <c r="W18" s="180"/>
      <c r="X18" s="180"/>
      <c r="Y18" s="180"/>
      <c r="Z18" s="180"/>
      <c r="AA18" s="84"/>
    </row>
    <row r="19">
      <c r="A19" s="71"/>
      <c r="B19" s="72"/>
      <c r="C19" s="72"/>
      <c r="D19" s="72"/>
      <c r="E19" s="189" t="s">
        <v>129</v>
      </c>
      <c r="F19" s="115" t="str">
        <f>'Main CEA'!F19</f>
        <v>$</v>
      </c>
      <c r="G19" s="190" t="s">
        <v>37</v>
      </c>
      <c r="H19" s="134" t="str">
        <f>'Main CEA'!H19</f>
        <v>-</v>
      </c>
      <c r="I19" s="193">
        <f>'Main CEA'!I19</f>
        <v>1000000</v>
      </c>
      <c r="J19" s="193">
        <f>'Main CEA'!J19</f>
        <v>1000000</v>
      </c>
      <c r="K19" s="193">
        <f>'Main CEA'!K19</f>
        <v>1000000</v>
      </c>
      <c r="L19" s="193">
        <f>'Main CEA'!L19</f>
        <v>1000000</v>
      </c>
      <c r="M19" s="193">
        <f>'Main CEA'!M19</f>
        <v>1000000</v>
      </c>
      <c r="N19" s="193">
        <f>'Main CEA'!N19</f>
        <v>1000000</v>
      </c>
      <c r="O19" s="193">
        <f>'Main CEA'!O19</f>
        <v>1000000</v>
      </c>
      <c r="P19" s="193">
        <f>'Main CEA'!P19</f>
        <v>1000000</v>
      </c>
      <c r="Q19" s="193">
        <f>'Main CEA'!Q19</f>
        <v>1000000</v>
      </c>
      <c r="R19" s="193">
        <f>'Main CEA'!R19</f>
        <v>1000000</v>
      </c>
      <c r="S19" s="193">
        <f>'Main CEA'!S19</f>
        <v>1000000</v>
      </c>
      <c r="T19" s="193">
        <f>'Main CEA'!T19</f>
        <v>1000000</v>
      </c>
      <c r="U19" s="193">
        <f>'Main CEA'!U19</f>
        <v>1000000</v>
      </c>
      <c r="V19" s="193">
        <f>'Main CEA'!V19</f>
        <v>1000000</v>
      </c>
      <c r="W19" s="193">
        <f>'Main CEA'!W19</f>
        <v>1000000</v>
      </c>
      <c r="X19" s="193">
        <f>'Main CEA'!X19</f>
        <v>1000000</v>
      </c>
      <c r="Y19" s="193">
        <f>'Main CEA'!Y19</f>
        <v>1000000</v>
      </c>
      <c r="Z19" s="193">
        <f>'Main CEA'!Z19</f>
        <v>1000000</v>
      </c>
      <c r="AA19" s="53"/>
    </row>
    <row r="20">
      <c r="A20" s="71"/>
      <c r="B20" s="72"/>
      <c r="C20" s="188"/>
      <c r="D20" s="72"/>
      <c r="E20" s="194" t="s">
        <v>132</v>
      </c>
      <c r="F20" s="139" t="str">
        <f>'Main CEA'!F20</f>
        <v>$</v>
      </c>
      <c r="G20" s="195" t="s">
        <v>37</v>
      </c>
      <c r="H20" s="210" t="str">
        <f>'Main CEA'!H20</f>
        <v>-</v>
      </c>
      <c r="I20" s="198">
        <f>'Main CEA'!I20</f>
        <v>9161.037716</v>
      </c>
      <c r="J20" s="198">
        <f>'Main CEA'!J20</f>
        <v>0</v>
      </c>
      <c r="K20" s="198">
        <f>'Main CEA'!K20</f>
        <v>0</v>
      </c>
      <c r="L20" s="198">
        <f>'Main CEA'!L20</f>
        <v>0</v>
      </c>
      <c r="M20" s="198">
        <f>'Main CEA'!M20</f>
        <v>0</v>
      </c>
      <c r="N20" s="198">
        <f>'Main CEA'!N20</f>
        <v>0</v>
      </c>
      <c r="O20" s="198">
        <f>'Main CEA'!O20</f>
        <v>0</v>
      </c>
      <c r="P20" s="198">
        <f>'Main CEA'!P20</f>
        <v>44631.49679</v>
      </c>
      <c r="Q20" s="198">
        <f>'Main CEA'!Q20</f>
        <v>44631.49679</v>
      </c>
      <c r="R20" s="198">
        <f>'Main CEA'!R20</f>
        <v>44631.49679</v>
      </c>
      <c r="S20" s="198">
        <f>'Main CEA'!S20</f>
        <v>44631.49679</v>
      </c>
      <c r="T20" s="198">
        <f>'Main CEA'!T20</f>
        <v>44631.49679</v>
      </c>
      <c r="U20" s="198">
        <f>'Main CEA'!U20</f>
        <v>44631.49679</v>
      </c>
      <c r="V20" s="198">
        <f>'Main CEA'!V20</f>
        <v>44631.49679</v>
      </c>
      <c r="W20" s="198">
        <f>'Main CEA'!W20</f>
        <v>44631.49679</v>
      </c>
      <c r="X20" s="198">
        <f>'Main CEA'!X20</f>
        <v>44631.49679</v>
      </c>
      <c r="Y20" s="198">
        <f>'Main CEA'!Y20</f>
        <v>27989.56163</v>
      </c>
      <c r="Z20" s="198">
        <f>'Main CEA'!Z20</f>
        <v>0</v>
      </c>
      <c r="AA20" s="61"/>
    </row>
    <row r="21">
      <c r="A21" s="71"/>
      <c r="B21" s="72"/>
      <c r="C21" s="188"/>
      <c r="D21" s="72"/>
      <c r="E21" s="203" t="s">
        <v>136</v>
      </c>
      <c r="F21" s="204" t="str">
        <f>'Main CEA'!F21</f>
        <v>$</v>
      </c>
      <c r="G21" s="205" t="s">
        <v>37</v>
      </c>
      <c r="H21" s="222" t="str">
        <f>'Main CEA'!H21</f>
        <v>-</v>
      </c>
      <c r="I21" s="208">
        <f>'Main CEA'!I21</f>
        <v>117962.8723</v>
      </c>
      <c r="J21" s="208">
        <f>'Main CEA'!J21</f>
        <v>118118.6089</v>
      </c>
      <c r="K21" s="208">
        <f>'Main CEA'!K21</f>
        <v>118118.6089</v>
      </c>
      <c r="L21" s="208">
        <f>'Main CEA'!L21</f>
        <v>118118.6089</v>
      </c>
      <c r="M21" s="208">
        <f>'Main CEA'!M21</f>
        <v>118118.6089</v>
      </c>
      <c r="N21" s="208">
        <f>'Main CEA'!N21</f>
        <v>118118.6089</v>
      </c>
      <c r="O21" s="208">
        <f>'Main CEA'!O21</f>
        <v>118118.6089</v>
      </c>
      <c r="P21" s="208">
        <f>'Main CEA'!P21</f>
        <v>117553.2432</v>
      </c>
      <c r="Q21" s="208">
        <f>'Main CEA'!Q21</f>
        <v>117553.2432</v>
      </c>
      <c r="R21" s="208">
        <f>'Main CEA'!R21</f>
        <v>117553.2432</v>
      </c>
      <c r="S21" s="208">
        <f>'Main CEA'!S21</f>
        <v>117553.2432</v>
      </c>
      <c r="T21" s="208">
        <f>'Main CEA'!T21</f>
        <v>117553.2432</v>
      </c>
      <c r="U21" s="208">
        <f>'Main CEA'!U21</f>
        <v>117553.2432</v>
      </c>
      <c r="V21" s="208">
        <f>'Main CEA'!V21</f>
        <v>117553.2432</v>
      </c>
      <c r="W21" s="208">
        <f>'Main CEA'!W21</f>
        <v>117553.2432</v>
      </c>
      <c r="X21" s="208">
        <f>'Main CEA'!X21</f>
        <v>117553.2432</v>
      </c>
      <c r="Y21" s="208">
        <f>'Main CEA'!Y21</f>
        <v>116066.552</v>
      </c>
      <c r="Z21" s="208">
        <f>'Main CEA'!Z21</f>
        <v>118118.6089</v>
      </c>
      <c r="AA21" s="80"/>
    </row>
    <row r="22">
      <c r="A22" s="71"/>
      <c r="B22" s="72"/>
      <c r="C22" s="188"/>
      <c r="D22" s="188"/>
      <c r="E22" s="169"/>
      <c r="F22" s="120"/>
      <c r="G22" s="170"/>
      <c r="H22" s="178"/>
      <c r="I22" s="180"/>
      <c r="J22" s="180"/>
      <c r="K22" s="180"/>
      <c r="L22" s="180"/>
      <c r="M22" s="180"/>
      <c r="N22" s="180"/>
      <c r="O22" s="180"/>
      <c r="P22" s="180"/>
      <c r="Q22" s="180"/>
      <c r="R22" s="180"/>
      <c r="S22" s="180"/>
      <c r="T22" s="180"/>
      <c r="U22" s="180"/>
      <c r="V22" s="180"/>
      <c r="W22" s="180"/>
      <c r="X22" s="180"/>
      <c r="Y22" s="180"/>
      <c r="Z22" s="180"/>
      <c r="AA22" s="84"/>
    </row>
    <row r="23">
      <c r="A23" s="71"/>
      <c r="B23" s="72"/>
      <c r="C23" s="188" t="s">
        <v>140</v>
      </c>
      <c r="F23" s="120"/>
      <c r="G23" s="170"/>
      <c r="H23" s="236"/>
      <c r="I23" s="237"/>
      <c r="J23" s="237"/>
      <c r="K23" s="237"/>
      <c r="L23" s="237"/>
      <c r="M23" s="237"/>
      <c r="N23" s="237"/>
      <c r="O23" s="237"/>
      <c r="P23" s="237"/>
      <c r="Q23" s="237"/>
      <c r="R23" s="237"/>
      <c r="S23" s="237"/>
      <c r="T23" s="237"/>
      <c r="U23" s="237"/>
      <c r="V23" s="237"/>
      <c r="W23" s="237"/>
      <c r="X23" s="237"/>
      <c r="Y23" s="237"/>
      <c r="Z23" s="237"/>
      <c r="AA23" s="84"/>
    </row>
    <row r="24">
      <c r="A24" s="71"/>
      <c r="B24" s="72"/>
      <c r="C24" s="72"/>
      <c r="D24" s="72"/>
      <c r="E24" s="189" t="s">
        <v>142</v>
      </c>
      <c r="F24" s="115" t="str">
        <f>'Main CEA'!F24</f>
        <v>$</v>
      </c>
      <c r="G24" s="212" t="s">
        <v>37</v>
      </c>
      <c r="H24" s="238" t="str">
        <f>'Main CEA'!H24</f>
        <v>-</v>
      </c>
      <c r="I24" s="193">
        <f>'Main CEA'!I24</f>
        <v>1009161.038</v>
      </c>
      <c r="J24" s="193">
        <f>'Main CEA'!J24</f>
        <v>1000000</v>
      </c>
      <c r="K24" s="193">
        <f>'Main CEA'!K24</f>
        <v>1000000</v>
      </c>
      <c r="L24" s="193">
        <f>'Main CEA'!L24</f>
        <v>1000000</v>
      </c>
      <c r="M24" s="193">
        <f>'Main CEA'!M24</f>
        <v>1000000</v>
      </c>
      <c r="N24" s="193">
        <f>'Main CEA'!N24</f>
        <v>1000000</v>
      </c>
      <c r="O24" s="193">
        <f>'Main CEA'!O24</f>
        <v>1000000</v>
      </c>
      <c r="P24" s="193">
        <f>'Main CEA'!P24</f>
        <v>1044631.497</v>
      </c>
      <c r="Q24" s="193">
        <f>'Main CEA'!Q24</f>
        <v>1044631.497</v>
      </c>
      <c r="R24" s="193">
        <f>'Main CEA'!R24</f>
        <v>1044631.497</v>
      </c>
      <c r="S24" s="193">
        <f>'Main CEA'!S24</f>
        <v>1044631.497</v>
      </c>
      <c r="T24" s="193">
        <f>'Main CEA'!T24</f>
        <v>1044631.497</v>
      </c>
      <c r="U24" s="193">
        <f>'Main CEA'!U24</f>
        <v>1044631.497</v>
      </c>
      <c r="V24" s="193">
        <f>'Main CEA'!V24</f>
        <v>1044631.497</v>
      </c>
      <c r="W24" s="193">
        <f>'Main CEA'!W24</f>
        <v>1044631.497</v>
      </c>
      <c r="X24" s="193">
        <f>'Main CEA'!X24</f>
        <v>1044631.497</v>
      </c>
      <c r="Y24" s="193">
        <f>'Main CEA'!Y24</f>
        <v>1027989.562</v>
      </c>
      <c r="Z24" s="193">
        <f>'Main CEA'!Z24</f>
        <v>1000000</v>
      </c>
      <c r="AA24" s="53"/>
    </row>
    <row r="25">
      <c r="A25" s="71"/>
      <c r="B25" s="72"/>
      <c r="C25" s="72"/>
      <c r="D25" s="72"/>
      <c r="E25" s="183" t="s">
        <v>144</v>
      </c>
      <c r="F25" s="96" t="str">
        <f>'Main CEA'!F25</f>
        <v>$</v>
      </c>
      <c r="G25" s="218" t="s">
        <v>37</v>
      </c>
      <c r="H25" s="246" t="str">
        <f>'Main CEA'!H25</f>
        <v>-</v>
      </c>
      <c r="I25" s="103">
        <f>'Main CEA'!I25</f>
        <v>117962.8723</v>
      </c>
      <c r="J25" s="103">
        <f>'Main CEA'!J25</f>
        <v>118118.6089</v>
      </c>
      <c r="K25" s="103">
        <f>'Main CEA'!K25</f>
        <v>118118.6089</v>
      </c>
      <c r="L25" s="103">
        <f>'Main CEA'!L25</f>
        <v>118118.6089</v>
      </c>
      <c r="M25" s="103">
        <f>'Main CEA'!M25</f>
        <v>118118.6089</v>
      </c>
      <c r="N25" s="103">
        <f>'Main CEA'!N25</f>
        <v>118118.6089</v>
      </c>
      <c r="O25" s="103">
        <f>'Main CEA'!O25</f>
        <v>118118.6089</v>
      </c>
      <c r="P25" s="103">
        <f>'Main CEA'!P25</f>
        <v>117553.2432</v>
      </c>
      <c r="Q25" s="103">
        <f>'Main CEA'!Q25</f>
        <v>117553.2432</v>
      </c>
      <c r="R25" s="103">
        <f>'Main CEA'!R25</f>
        <v>117553.2432</v>
      </c>
      <c r="S25" s="103">
        <f>'Main CEA'!S25</f>
        <v>117553.2432</v>
      </c>
      <c r="T25" s="103">
        <f>'Main CEA'!T25</f>
        <v>117553.2432</v>
      </c>
      <c r="U25" s="103">
        <f>'Main CEA'!U25</f>
        <v>117553.2432</v>
      </c>
      <c r="V25" s="103">
        <f>'Main CEA'!V25</f>
        <v>117553.2432</v>
      </c>
      <c r="W25" s="103">
        <f>'Main CEA'!W25</f>
        <v>117553.2432</v>
      </c>
      <c r="X25" s="103">
        <f>'Main CEA'!X25</f>
        <v>117553.2432</v>
      </c>
      <c r="Y25" s="103">
        <f>'Main CEA'!Y25</f>
        <v>116066.552</v>
      </c>
      <c r="Z25" s="103">
        <f>'Main CEA'!Z25</f>
        <v>118118.6089</v>
      </c>
      <c r="AA25" s="117"/>
    </row>
    <row r="26">
      <c r="A26" s="71"/>
      <c r="B26" s="72"/>
      <c r="C26" s="72"/>
      <c r="D26" s="72"/>
      <c r="E26" s="169"/>
      <c r="F26" s="120"/>
      <c r="G26" s="170"/>
      <c r="H26" s="236"/>
      <c r="I26" s="237"/>
      <c r="J26" s="237"/>
      <c r="K26" s="237"/>
      <c r="L26" s="237"/>
      <c r="M26" s="237"/>
      <c r="N26" s="237"/>
      <c r="O26" s="237"/>
      <c r="P26" s="237"/>
      <c r="Q26" s="237"/>
      <c r="R26" s="237"/>
      <c r="S26" s="237"/>
      <c r="T26" s="237"/>
      <c r="U26" s="237"/>
      <c r="V26" s="237"/>
      <c r="W26" s="237"/>
      <c r="X26" s="237"/>
      <c r="Y26" s="237"/>
      <c r="Z26" s="237"/>
      <c r="AA26" s="84"/>
    </row>
    <row r="27">
      <c r="A27" s="66" t="s">
        <v>159</v>
      </c>
      <c r="B27" s="17"/>
      <c r="C27" s="17"/>
      <c r="D27" s="17"/>
      <c r="E27" s="17"/>
      <c r="F27" s="17"/>
      <c r="G27" s="87"/>
      <c r="H27" s="262"/>
      <c r="I27" s="263"/>
      <c r="J27" s="263"/>
      <c r="K27" s="263"/>
      <c r="L27" s="263"/>
      <c r="M27" s="263"/>
      <c r="N27" s="263"/>
      <c r="O27" s="263"/>
      <c r="P27" s="263"/>
      <c r="Q27" s="263"/>
      <c r="R27" s="263"/>
      <c r="S27" s="263"/>
      <c r="T27" s="263"/>
      <c r="U27" s="263"/>
      <c r="V27" s="263"/>
      <c r="W27" s="263"/>
      <c r="X27" s="263"/>
      <c r="Y27" s="263"/>
      <c r="Z27" s="263"/>
      <c r="AA27" s="265"/>
    </row>
    <row r="28">
      <c r="A28" s="71"/>
      <c r="B28" s="72"/>
      <c r="C28" s="266"/>
      <c r="D28" s="72"/>
      <c r="E28" s="95"/>
      <c r="F28" s="75"/>
      <c r="G28" s="77"/>
      <c r="H28" s="98"/>
      <c r="I28" s="85"/>
      <c r="J28" s="85"/>
      <c r="K28" s="85"/>
      <c r="L28" s="85"/>
      <c r="M28" s="85"/>
      <c r="N28" s="85"/>
      <c r="O28" s="85"/>
      <c r="P28" s="85"/>
      <c r="Q28" s="85"/>
      <c r="R28" s="85"/>
      <c r="S28" s="85"/>
      <c r="T28" s="85"/>
      <c r="U28" s="85"/>
      <c r="V28" s="85"/>
      <c r="W28" s="85"/>
      <c r="X28" s="85"/>
      <c r="Y28" s="85"/>
      <c r="Z28" s="85"/>
      <c r="AA28" s="84"/>
    </row>
    <row r="29">
      <c r="A29" s="71"/>
      <c r="B29" s="72"/>
      <c r="C29" s="188" t="s">
        <v>163</v>
      </c>
      <c r="F29" s="75"/>
      <c r="G29" s="83"/>
      <c r="H29" s="270"/>
      <c r="I29" s="85"/>
      <c r="J29" s="85"/>
      <c r="K29" s="85"/>
      <c r="L29" s="85"/>
      <c r="M29" s="85"/>
      <c r="N29" s="85"/>
      <c r="O29" s="85"/>
      <c r="P29" s="85"/>
      <c r="Q29" s="85"/>
      <c r="R29" s="85"/>
      <c r="S29" s="85"/>
      <c r="T29" s="85"/>
      <c r="U29" s="85"/>
      <c r="V29" s="85"/>
      <c r="W29" s="85"/>
      <c r="X29" s="85"/>
      <c r="Y29" s="85"/>
      <c r="Z29" s="85"/>
      <c r="AA29" s="84"/>
    </row>
    <row r="30">
      <c r="A30" s="71"/>
      <c r="B30" s="72"/>
      <c r="C30" s="72"/>
      <c r="D30" s="72"/>
      <c r="E30" s="189" t="s">
        <v>165</v>
      </c>
      <c r="F30" s="115" t="str">
        <f>Inputs!F113</f>
        <v>%</v>
      </c>
      <c r="G30" s="190" t="str">
        <f>Inputs!G113</f>
        <v>input</v>
      </c>
      <c r="H30" s="276" t="str">
        <f>Inputs!H113</f>
        <v>-</v>
      </c>
      <c r="I30" s="132">
        <f>Inputs!I113</f>
        <v>0</v>
      </c>
      <c r="J30" s="132">
        <f>Inputs!J113</f>
        <v>0</v>
      </c>
      <c r="K30" s="132">
        <f>Inputs!K113</f>
        <v>0</v>
      </c>
      <c r="L30" s="132">
        <f>Inputs!L113</f>
        <v>0</v>
      </c>
      <c r="M30" s="132">
        <f>Inputs!M113</f>
        <v>0</v>
      </c>
      <c r="N30" s="132">
        <f>Inputs!N113</f>
        <v>0</v>
      </c>
      <c r="O30" s="132">
        <f>Inputs!O113</f>
        <v>0</v>
      </c>
      <c r="P30" s="132">
        <f>Inputs!P113</f>
        <v>0</v>
      </c>
      <c r="Q30" s="132">
        <f>Inputs!Q113</f>
        <v>0</v>
      </c>
      <c r="R30" s="132">
        <f>Inputs!R113</f>
        <v>0</v>
      </c>
      <c r="S30" s="132">
        <f>Inputs!S113</f>
        <v>0</v>
      </c>
      <c r="T30" s="132">
        <f>Inputs!T113</f>
        <v>0</v>
      </c>
      <c r="U30" s="132">
        <f>Inputs!U113</f>
        <v>0</v>
      </c>
      <c r="V30" s="132">
        <f>Inputs!V113</f>
        <v>0</v>
      </c>
      <c r="W30" s="132">
        <f>Inputs!W113</f>
        <v>0</v>
      </c>
      <c r="X30" s="132">
        <f>Inputs!X113</f>
        <v>0</v>
      </c>
      <c r="Y30" s="132">
        <f>Inputs!Y113</f>
        <v>0</v>
      </c>
      <c r="Z30" s="132">
        <f>Inputs!Z113</f>
        <v>0</v>
      </c>
      <c r="AA30" s="53"/>
    </row>
    <row r="31">
      <c r="A31" s="71"/>
      <c r="B31" s="72"/>
      <c r="C31" s="72"/>
      <c r="D31" s="72"/>
      <c r="E31" s="189" t="s">
        <v>170</v>
      </c>
      <c r="F31" s="115" t="str">
        <f>Inputs!F114</f>
        <v>%</v>
      </c>
      <c r="G31" s="190" t="str">
        <f>Inputs!G114</f>
        <v>input</v>
      </c>
      <c r="H31" s="276" t="str">
        <f>Inputs!H114</f>
        <v>-</v>
      </c>
      <c r="I31" s="132">
        <f>Inputs!I114</f>
        <v>0.5</v>
      </c>
      <c r="J31" s="132">
        <f>Inputs!J114</f>
        <v>0.45</v>
      </c>
      <c r="K31" s="132">
        <f>Inputs!K114</f>
        <v>0.15</v>
      </c>
      <c r="L31" s="132">
        <f>Inputs!L114</f>
        <v>0.15</v>
      </c>
      <c r="M31" s="132">
        <f>Inputs!M114</f>
        <v>0.15</v>
      </c>
      <c r="N31" s="132">
        <f>Inputs!N114</f>
        <v>0.15</v>
      </c>
      <c r="O31" s="132">
        <f>Inputs!O114</f>
        <v>0.2</v>
      </c>
      <c r="P31" s="132">
        <f>Inputs!P114</f>
        <v>0.2</v>
      </c>
      <c r="Q31" s="132">
        <f>Inputs!Q114</f>
        <v>0.1</v>
      </c>
      <c r="R31" s="132">
        <f>Inputs!R114</f>
        <v>0.1</v>
      </c>
      <c r="S31" s="132">
        <f>Inputs!S114</f>
        <v>0.2</v>
      </c>
      <c r="T31" s="132">
        <f>Inputs!T114</f>
        <v>0.1</v>
      </c>
      <c r="U31" s="132">
        <f>Inputs!U114</f>
        <v>0.2</v>
      </c>
      <c r="V31" s="132">
        <f>Inputs!V114</f>
        <v>0.2</v>
      </c>
      <c r="W31" s="132">
        <f>Inputs!W114</f>
        <v>0.2</v>
      </c>
      <c r="X31" s="132">
        <f>Inputs!X114</f>
        <v>0.2</v>
      </c>
      <c r="Y31" s="132">
        <f>Inputs!Y114</f>
        <v>0.65</v>
      </c>
      <c r="Z31" s="132">
        <f>Inputs!Z114</f>
        <v>0.3</v>
      </c>
      <c r="AA31" s="53"/>
    </row>
    <row r="32">
      <c r="A32" s="71"/>
      <c r="B32" s="72"/>
      <c r="C32" s="72"/>
      <c r="D32" s="72"/>
      <c r="E32" s="194" t="s">
        <v>173</v>
      </c>
      <c r="F32" s="139" t="str">
        <f>Inputs!F115</f>
        <v>%</v>
      </c>
      <c r="G32" s="290" t="str">
        <f>Inputs!G115</f>
        <v>input</v>
      </c>
      <c r="H32" s="292" t="str">
        <f>Inputs!H115</f>
        <v>-</v>
      </c>
      <c r="I32" s="150">
        <f>Inputs!I115</f>
        <v>0</v>
      </c>
      <c r="J32" s="150">
        <f>Inputs!J115</f>
        <v>0</v>
      </c>
      <c r="K32" s="150">
        <f>Inputs!K115</f>
        <v>0</v>
      </c>
      <c r="L32" s="150">
        <f>Inputs!L115</f>
        <v>0</v>
      </c>
      <c r="M32" s="150">
        <f>Inputs!M115</f>
        <v>0</v>
      </c>
      <c r="N32" s="150">
        <f>Inputs!N115</f>
        <v>0</v>
      </c>
      <c r="O32" s="150">
        <f>Inputs!O115</f>
        <v>0</v>
      </c>
      <c r="P32" s="150">
        <f>Inputs!P115</f>
        <v>0</v>
      </c>
      <c r="Q32" s="150">
        <f>Inputs!Q115</f>
        <v>0</v>
      </c>
      <c r="R32" s="150">
        <f>Inputs!R115</f>
        <v>0</v>
      </c>
      <c r="S32" s="150">
        <f>Inputs!S115</f>
        <v>0</v>
      </c>
      <c r="T32" s="150">
        <f>Inputs!T115</f>
        <v>0</v>
      </c>
      <c r="U32" s="150">
        <f>Inputs!U115</f>
        <v>0</v>
      </c>
      <c r="V32" s="150">
        <f>Inputs!V115</f>
        <v>0</v>
      </c>
      <c r="W32" s="150">
        <f>Inputs!W115</f>
        <v>0</v>
      </c>
      <c r="X32" s="150">
        <f>Inputs!X115</f>
        <v>0</v>
      </c>
      <c r="Y32" s="150">
        <f>Inputs!Y115</f>
        <v>0</v>
      </c>
      <c r="Z32" s="150">
        <f>Inputs!Z115</f>
        <v>0</v>
      </c>
      <c r="AA32" s="61"/>
    </row>
    <row r="33">
      <c r="A33" s="71"/>
      <c r="B33" s="72"/>
      <c r="C33" s="278"/>
      <c r="D33" s="72"/>
      <c r="E33" s="203" t="s">
        <v>178</v>
      </c>
      <c r="F33" s="204" t="s">
        <v>99</v>
      </c>
      <c r="G33" s="303" t="s">
        <v>112</v>
      </c>
      <c r="H33" s="163" t="s">
        <v>124</v>
      </c>
      <c r="I33" s="162">
        <f t="shared" ref="I33:Z33" si="1">1-SUM(I30:I32)</f>
        <v>0.5</v>
      </c>
      <c r="J33" s="162">
        <f t="shared" si="1"/>
        <v>0.55</v>
      </c>
      <c r="K33" s="162">
        <f t="shared" si="1"/>
        <v>0.85</v>
      </c>
      <c r="L33" s="162">
        <f t="shared" si="1"/>
        <v>0.85</v>
      </c>
      <c r="M33" s="162">
        <f t="shared" si="1"/>
        <v>0.85</v>
      </c>
      <c r="N33" s="162">
        <f t="shared" si="1"/>
        <v>0.85</v>
      </c>
      <c r="O33" s="162">
        <f t="shared" si="1"/>
        <v>0.8</v>
      </c>
      <c r="P33" s="162">
        <f t="shared" si="1"/>
        <v>0.8</v>
      </c>
      <c r="Q33" s="162">
        <f t="shared" si="1"/>
        <v>0.9</v>
      </c>
      <c r="R33" s="162">
        <f t="shared" si="1"/>
        <v>0.9</v>
      </c>
      <c r="S33" s="162">
        <f t="shared" si="1"/>
        <v>0.8</v>
      </c>
      <c r="T33" s="162">
        <f t="shared" si="1"/>
        <v>0.9</v>
      </c>
      <c r="U33" s="162">
        <f t="shared" si="1"/>
        <v>0.8</v>
      </c>
      <c r="V33" s="162">
        <f t="shared" si="1"/>
        <v>0.8</v>
      </c>
      <c r="W33" s="162">
        <f t="shared" si="1"/>
        <v>0.8</v>
      </c>
      <c r="X33" s="162">
        <f t="shared" si="1"/>
        <v>0.8</v>
      </c>
      <c r="Y33" s="162">
        <f t="shared" si="1"/>
        <v>0.35</v>
      </c>
      <c r="Z33" s="162">
        <f t="shared" si="1"/>
        <v>0.7</v>
      </c>
      <c r="AA33" s="80"/>
    </row>
    <row r="34">
      <c r="A34" s="185"/>
      <c r="B34" s="35"/>
      <c r="C34" s="35"/>
      <c r="D34" s="35"/>
      <c r="E34" s="307"/>
      <c r="F34" s="35"/>
      <c r="G34" s="84"/>
      <c r="H34" s="98"/>
      <c r="I34" s="85"/>
      <c r="J34" s="85"/>
      <c r="K34" s="85"/>
      <c r="L34" s="85"/>
      <c r="M34" s="85"/>
      <c r="N34" s="85"/>
      <c r="O34" s="85"/>
      <c r="P34" s="85"/>
      <c r="Q34" s="85"/>
      <c r="R34" s="85"/>
      <c r="S34" s="85"/>
      <c r="T34" s="85"/>
      <c r="U34" s="85"/>
      <c r="V34" s="85"/>
      <c r="W34" s="85"/>
      <c r="X34" s="85"/>
      <c r="Y34" s="85"/>
      <c r="Z34" s="85"/>
      <c r="AA34" s="84"/>
    </row>
    <row r="35">
      <c r="A35" s="185"/>
      <c r="B35" s="35"/>
      <c r="C35" s="124" t="s">
        <v>179</v>
      </c>
      <c r="F35" s="35"/>
      <c r="G35" s="84"/>
      <c r="H35" s="98"/>
      <c r="I35" s="85"/>
      <c r="J35" s="85"/>
      <c r="K35" s="85"/>
      <c r="L35" s="85"/>
      <c r="M35" s="85"/>
      <c r="N35" s="85"/>
      <c r="O35" s="85"/>
      <c r="P35" s="85"/>
      <c r="Q35" s="85"/>
      <c r="R35" s="85"/>
      <c r="S35" s="85"/>
      <c r="T35" s="85"/>
      <c r="U35" s="85"/>
      <c r="V35" s="85"/>
      <c r="W35" s="85"/>
      <c r="X35" s="85"/>
      <c r="Y35" s="85"/>
      <c r="Z35" s="85"/>
      <c r="AA35" s="84"/>
    </row>
    <row r="36">
      <c r="A36" s="185"/>
      <c r="B36" s="35"/>
      <c r="C36" s="35"/>
      <c r="D36" s="35"/>
      <c r="E36" s="133" t="s">
        <v>165</v>
      </c>
      <c r="F36" s="314" t="str">
        <f>Inputs!F118</f>
        <v>%</v>
      </c>
      <c r="G36" s="130" t="str">
        <f>Inputs!G118</f>
        <v>input</v>
      </c>
      <c r="H36" s="276">
        <f>Inputs!H118</f>
        <v>1</v>
      </c>
      <c r="I36" s="280" t="str">
        <f>Inputs!I118</f>
        <v>-</v>
      </c>
      <c r="J36" s="280" t="str">
        <f>Inputs!J118</f>
        <v>-</v>
      </c>
      <c r="K36" s="280" t="str">
        <f>Inputs!K118</f>
        <v>-</v>
      </c>
      <c r="L36" s="280" t="str">
        <f>Inputs!L118</f>
        <v>-</v>
      </c>
      <c r="M36" s="280" t="str">
        <f>Inputs!M118</f>
        <v>-</v>
      </c>
      <c r="N36" s="280" t="str">
        <f>Inputs!N118</f>
        <v>-</v>
      </c>
      <c r="O36" s="280" t="str">
        <f>Inputs!O118</f>
        <v>-</v>
      </c>
      <c r="P36" s="280" t="str">
        <f>Inputs!P118</f>
        <v>-</v>
      </c>
      <c r="Q36" s="280" t="str">
        <f>Inputs!Q118</f>
        <v>-</v>
      </c>
      <c r="R36" s="280" t="str">
        <f>Inputs!R118</f>
        <v>-</v>
      </c>
      <c r="S36" s="280" t="str">
        <f>Inputs!S118</f>
        <v>-</v>
      </c>
      <c r="T36" s="280" t="str">
        <f>Inputs!T118</f>
        <v>-</v>
      </c>
      <c r="U36" s="280" t="str">
        <f>Inputs!U118</f>
        <v>-</v>
      </c>
      <c r="V36" s="280" t="str">
        <f>Inputs!V118</f>
        <v>-</v>
      </c>
      <c r="W36" s="280" t="str">
        <f>Inputs!W118</f>
        <v>-</v>
      </c>
      <c r="X36" s="280" t="str">
        <f>Inputs!X118</f>
        <v>-</v>
      </c>
      <c r="Y36" s="280" t="str">
        <f>Inputs!Y118</f>
        <v>-</v>
      </c>
      <c r="Z36" s="280" t="str">
        <f>Inputs!Z118</f>
        <v>-</v>
      </c>
      <c r="AA36" s="53"/>
    </row>
    <row r="37">
      <c r="A37" s="185"/>
      <c r="B37" s="35"/>
      <c r="C37" s="35"/>
      <c r="D37" s="35"/>
      <c r="E37" s="323" t="s">
        <v>170</v>
      </c>
      <c r="F37" s="325" t="str">
        <f>Inputs!F119</f>
        <v>%</v>
      </c>
      <c r="G37" s="147" t="str">
        <f>Inputs!G119</f>
        <v>input</v>
      </c>
      <c r="H37" s="292">
        <f>Inputs!H119</f>
        <v>1</v>
      </c>
      <c r="I37" s="327" t="str">
        <f>Inputs!I119</f>
        <v>-</v>
      </c>
      <c r="J37" s="327" t="str">
        <f>Inputs!J119</f>
        <v>-</v>
      </c>
      <c r="K37" s="327" t="str">
        <f>Inputs!K119</f>
        <v>-</v>
      </c>
      <c r="L37" s="327" t="str">
        <f>Inputs!L119</f>
        <v>-</v>
      </c>
      <c r="M37" s="327" t="str">
        <f>Inputs!M119</f>
        <v>-</v>
      </c>
      <c r="N37" s="327" t="str">
        <f>Inputs!N119</f>
        <v>-</v>
      </c>
      <c r="O37" s="327" t="str">
        <f>Inputs!O119</f>
        <v>-</v>
      </c>
      <c r="P37" s="327" t="str">
        <f>Inputs!P119</f>
        <v>-</v>
      </c>
      <c r="Q37" s="327" t="str">
        <f>Inputs!Q119</f>
        <v>-</v>
      </c>
      <c r="R37" s="327" t="str">
        <f>Inputs!R119</f>
        <v>-</v>
      </c>
      <c r="S37" s="327" t="str">
        <f>Inputs!S119</f>
        <v>-</v>
      </c>
      <c r="T37" s="327" t="str">
        <f>Inputs!T119</f>
        <v>-</v>
      </c>
      <c r="U37" s="327" t="str">
        <f>Inputs!U119</f>
        <v>-</v>
      </c>
      <c r="V37" s="327" t="str">
        <f>Inputs!V119</f>
        <v>-</v>
      </c>
      <c r="W37" s="327" t="str">
        <f>Inputs!W119</f>
        <v>-</v>
      </c>
      <c r="X37" s="327" t="str">
        <f>Inputs!X119</f>
        <v>-</v>
      </c>
      <c r="Y37" s="327" t="str">
        <f>Inputs!Y119</f>
        <v>-</v>
      </c>
      <c r="Z37" s="327" t="str">
        <f>Inputs!Z119</f>
        <v>-</v>
      </c>
      <c r="AA37" s="61"/>
    </row>
    <row r="38">
      <c r="A38" s="185"/>
      <c r="B38" s="35"/>
      <c r="C38" s="35"/>
      <c r="D38" s="35"/>
      <c r="E38" s="148" t="s">
        <v>173</v>
      </c>
      <c r="F38" s="325" t="s">
        <v>99</v>
      </c>
      <c r="G38" s="335" t="s">
        <v>112</v>
      </c>
      <c r="H38" s="151" t="s">
        <v>124</v>
      </c>
      <c r="I38" s="337">
        <f t="shared" ref="I38:Z38" si="2">I20/I24</f>
        <v>0.009077874961</v>
      </c>
      <c r="J38" s="337">
        <f t="shared" si="2"/>
        <v>0</v>
      </c>
      <c r="K38" s="337">
        <f t="shared" si="2"/>
        <v>0</v>
      </c>
      <c r="L38" s="337">
        <f t="shared" si="2"/>
        <v>0</v>
      </c>
      <c r="M38" s="337">
        <f t="shared" si="2"/>
        <v>0</v>
      </c>
      <c r="N38" s="337">
        <f t="shared" si="2"/>
        <v>0</v>
      </c>
      <c r="O38" s="337">
        <f t="shared" si="2"/>
        <v>0</v>
      </c>
      <c r="P38" s="337">
        <f t="shared" si="2"/>
        <v>0.04272463249</v>
      </c>
      <c r="Q38" s="337">
        <f t="shared" si="2"/>
        <v>0.04272463249</v>
      </c>
      <c r="R38" s="337">
        <f t="shared" si="2"/>
        <v>0.04272463249</v>
      </c>
      <c r="S38" s="337">
        <f t="shared" si="2"/>
        <v>0.04272463249</v>
      </c>
      <c r="T38" s="337">
        <f t="shared" si="2"/>
        <v>0.04272463249</v>
      </c>
      <c r="U38" s="337">
        <f t="shared" si="2"/>
        <v>0.04272463249</v>
      </c>
      <c r="V38" s="337">
        <f t="shared" si="2"/>
        <v>0.04272463249</v>
      </c>
      <c r="W38" s="337">
        <f t="shared" si="2"/>
        <v>0.04272463249</v>
      </c>
      <c r="X38" s="337">
        <f t="shared" si="2"/>
        <v>0.04272463249</v>
      </c>
      <c r="Y38" s="337">
        <f t="shared" si="2"/>
        <v>0.0272274765</v>
      </c>
      <c r="Z38" s="337">
        <f t="shared" si="2"/>
        <v>0</v>
      </c>
      <c r="AA38" s="61"/>
    </row>
    <row r="39">
      <c r="A39" s="185"/>
      <c r="B39" s="35"/>
      <c r="C39" s="35"/>
      <c r="D39" s="35"/>
      <c r="E39" s="343" t="s">
        <v>178</v>
      </c>
      <c r="F39" s="344" t="str">
        <f>Inputs!F120</f>
        <v>%</v>
      </c>
      <c r="G39" s="161" t="str">
        <f>Inputs!G120</f>
        <v>input</v>
      </c>
      <c r="H39" s="345">
        <f>Inputs!H120</f>
        <v>0</v>
      </c>
      <c r="I39" s="346" t="str">
        <f>Inputs!I120</f>
        <v>-</v>
      </c>
      <c r="J39" s="346" t="str">
        <f>Inputs!J120</f>
        <v>-</v>
      </c>
      <c r="K39" s="346" t="str">
        <f>Inputs!K120</f>
        <v>-</v>
      </c>
      <c r="L39" s="346" t="str">
        <f>Inputs!L120</f>
        <v>-</v>
      </c>
      <c r="M39" s="346" t="str">
        <f>Inputs!M120</f>
        <v>-</v>
      </c>
      <c r="N39" s="346" t="str">
        <f>Inputs!N120</f>
        <v>-</v>
      </c>
      <c r="O39" s="346" t="str">
        <f>Inputs!O120</f>
        <v>-</v>
      </c>
      <c r="P39" s="346" t="str">
        <f>Inputs!P120</f>
        <v>-</v>
      </c>
      <c r="Q39" s="346" t="str">
        <f>Inputs!Q120</f>
        <v>-</v>
      </c>
      <c r="R39" s="346" t="str">
        <f>Inputs!R120</f>
        <v>-</v>
      </c>
      <c r="S39" s="346" t="str">
        <f>Inputs!S120</f>
        <v>-</v>
      </c>
      <c r="T39" s="346" t="str">
        <f>Inputs!T120</f>
        <v>-</v>
      </c>
      <c r="U39" s="346" t="str">
        <f>Inputs!U120</f>
        <v>-</v>
      </c>
      <c r="V39" s="346" t="str">
        <f>Inputs!V120</f>
        <v>-</v>
      </c>
      <c r="W39" s="346" t="str">
        <f>Inputs!W120</f>
        <v>-</v>
      </c>
      <c r="X39" s="346" t="str">
        <f>Inputs!X120</f>
        <v>-</v>
      </c>
      <c r="Y39" s="346" t="str">
        <f>Inputs!Y120</f>
        <v>-</v>
      </c>
      <c r="Z39" s="346" t="str">
        <f>Inputs!Z120</f>
        <v>-</v>
      </c>
      <c r="AA39" s="80"/>
    </row>
    <row r="40">
      <c r="A40" s="185"/>
      <c r="B40" s="35"/>
      <c r="C40" s="35"/>
      <c r="D40" s="35"/>
      <c r="E40" s="307"/>
      <c r="F40" s="293"/>
      <c r="G40" s="126"/>
      <c r="H40" s="98"/>
      <c r="I40" s="85"/>
      <c r="J40" s="85"/>
      <c r="K40" s="85"/>
      <c r="L40" s="85"/>
      <c r="M40" s="85"/>
      <c r="N40" s="85"/>
      <c r="O40" s="85"/>
      <c r="P40" s="85"/>
      <c r="Q40" s="85"/>
      <c r="R40" s="85"/>
      <c r="S40" s="85"/>
      <c r="T40" s="85"/>
      <c r="U40" s="85"/>
      <c r="V40" s="85"/>
      <c r="W40" s="85"/>
      <c r="X40" s="85"/>
      <c r="Y40" s="85"/>
      <c r="Z40" s="85"/>
      <c r="AA40" s="84"/>
    </row>
    <row r="41">
      <c r="A41" s="66" t="s">
        <v>191</v>
      </c>
      <c r="B41" s="17"/>
      <c r="C41" s="17"/>
      <c r="D41" s="17"/>
      <c r="E41" s="17"/>
      <c r="F41" s="17"/>
      <c r="G41" s="87"/>
      <c r="H41" s="90"/>
      <c r="I41" s="91"/>
      <c r="J41" s="91"/>
      <c r="K41" s="91"/>
      <c r="L41" s="91"/>
      <c r="M41" s="91"/>
      <c r="N41" s="91"/>
      <c r="O41" s="91"/>
      <c r="P41" s="91"/>
      <c r="Q41" s="91"/>
      <c r="R41" s="91"/>
      <c r="S41" s="91"/>
      <c r="T41" s="91"/>
      <c r="U41" s="91"/>
      <c r="V41" s="91"/>
      <c r="W41" s="91"/>
      <c r="X41" s="91"/>
      <c r="Y41" s="91"/>
      <c r="Z41" s="91"/>
      <c r="AA41" s="354"/>
    </row>
    <row r="42">
      <c r="A42" s="355"/>
      <c r="B42" s="72"/>
      <c r="C42" s="72"/>
      <c r="D42" s="72"/>
      <c r="E42" s="95"/>
      <c r="F42" s="75"/>
      <c r="G42" s="77"/>
      <c r="H42" s="357"/>
      <c r="I42" s="359"/>
      <c r="J42" s="359"/>
      <c r="K42" s="359"/>
      <c r="L42" s="359"/>
      <c r="M42" s="359"/>
      <c r="N42" s="359"/>
      <c r="O42" s="359"/>
      <c r="P42" s="359"/>
      <c r="Q42" s="359"/>
      <c r="R42" s="359"/>
      <c r="S42" s="359"/>
      <c r="T42" s="359"/>
      <c r="U42" s="359"/>
      <c r="V42" s="359"/>
      <c r="W42" s="359"/>
      <c r="X42" s="359"/>
      <c r="Y42" s="359"/>
      <c r="Z42" s="359"/>
      <c r="AA42" s="77"/>
    </row>
    <row r="43">
      <c r="A43" s="355"/>
      <c r="B43" s="72"/>
      <c r="C43" s="188" t="s">
        <v>193</v>
      </c>
      <c r="F43" s="120"/>
      <c r="G43" s="77"/>
      <c r="H43" s="357"/>
      <c r="I43" s="359"/>
      <c r="J43" s="359"/>
      <c r="K43" s="359"/>
      <c r="L43" s="359"/>
      <c r="M43" s="359"/>
      <c r="N43" s="359"/>
      <c r="O43" s="359"/>
      <c r="P43" s="359"/>
      <c r="Q43" s="359"/>
      <c r="R43" s="359"/>
      <c r="S43" s="359"/>
      <c r="T43" s="359"/>
      <c r="U43" s="359"/>
      <c r="V43" s="359"/>
      <c r="W43" s="359"/>
      <c r="X43" s="359"/>
      <c r="Y43" s="359"/>
      <c r="Z43" s="359"/>
      <c r="AA43" s="77"/>
    </row>
    <row r="44">
      <c r="A44" s="355"/>
      <c r="B44" s="72"/>
      <c r="C44" s="188"/>
      <c r="D44" s="72"/>
      <c r="E44" s="189" t="s">
        <v>194</v>
      </c>
      <c r="F44" s="115" t="str">
        <f>'Main CEA'!F132</f>
        <v>UoV</v>
      </c>
      <c r="G44" s="231" t="s">
        <v>37</v>
      </c>
      <c r="H44" s="366" t="str">
        <f>'Main CEA'!H132</f>
        <v>-</v>
      </c>
      <c r="I44" s="368">
        <f>'Main CEA'!I132</f>
        <v>0.09597330624</v>
      </c>
      <c r="J44" s="368">
        <f>'Main CEA'!J132</f>
        <v>0.03198901947</v>
      </c>
      <c r="K44" s="368">
        <f>'Main CEA'!K132</f>
        <v>0.02429802787</v>
      </c>
      <c r="L44" s="368">
        <f>'Main CEA'!L132</f>
        <v>0.02893165693</v>
      </c>
      <c r="M44" s="368">
        <f>'Main CEA'!M132</f>
        <v>0.02845045142</v>
      </c>
      <c r="N44" s="368">
        <f>'Main CEA'!N132</f>
        <v>0.03999223143</v>
      </c>
      <c r="O44" s="368">
        <f>'Main CEA'!O132</f>
        <v>0.03783600824</v>
      </c>
      <c r="P44" s="368">
        <f>'Main CEA'!P132</f>
        <v>0.06899402471</v>
      </c>
      <c r="Q44" s="368">
        <f>'Main CEA'!Q132</f>
        <v>0.05315468732</v>
      </c>
      <c r="R44" s="368">
        <f>'Main CEA'!R132</f>
        <v>0.04736698846</v>
      </c>
      <c r="S44" s="368">
        <f>'Main CEA'!S132</f>
        <v>0.09664345995</v>
      </c>
      <c r="T44" s="368">
        <f>'Main CEA'!T132</f>
        <v>0.06221571105</v>
      </c>
      <c r="U44" s="368">
        <f>'Main CEA'!U132</f>
        <v>0.07269256903</v>
      </c>
      <c r="V44" s="368">
        <f>'Main CEA'!V132</f>
        <v>0.07944297059</v>
      </c>
      <c r="W44" s="368">
        <f>'Main CEA'!W132</f>
        <v>0.05149250531</v>
      </c>
      <c r="X44" s="368">
        <f>'Main CEA'!X132</f>
        <v>0.09800923403</v>
      </c>
      <c r="Y44" s="368">
        <f>'Main CEA'!Y132</f>
        <v>0.06101563079</v>
      </c>
      <c r="Z44" s="368">
        <f>'Main CEA'!Z132</f>
        <v>0.0367163101</v>
      </c>
      <c r="AA44" s="376"/>
    </row>
    <row r="45">
      <c r="A45" s="355"/>
      <c r="B45" s="72"/>
      <c r="C45" s="188"/>
      <c r="D45" s="72"/>
      <c r="E45" s="194" t="s">
        <v>198</v>
      </c>
      <c r="F45" s="139" t="str">
        <f>'Main CEA'!F161</f>
        <v>%</v>
      </c>
      <c r="G45" s="377" t="s">
        <v>37</v>
      </c>
      <c r="H45" s="378">
        <f>'Main CEA'!H161</f>
        <v>-0.08</v>
      </c>
      <c r="I45" s="379" t="str">
        <f>'Main CEA'!I161</f>
        <v>-</v>
      </c>
      <c r="J45" s="379" t="str">
        <f>'Main CEA'!J161</f>
        <v>-</v>
      </c>
      <c r="K45" s="379" t="str">
        <f>'Main CEA'!K161</f>
        <v>-</v>
      </c>
      <c r="L45" s="379" t="str">
        <f>'Main CEA'!L161</f>
        <v>-</v>
      </c>
      <c r="M45" s="379" t="str">
        <f>'Main CEA'!M161</f>
        <v>-</v>
      </c>
      <c r="N45" s="379" t="str">
        <f>'Main CEA'!N161</f>
        <v>-</v>
      </c>
      <c r="O45" s="379" t="str">
        <f>'Main CEA'!O161</f>
        <v>-</v>
      </c>
      <c r="P45" s="379" t="str">
        <f>'Main CEA'!P161</f>
        <v>-</v>
      </c>
      <c r="Q45" s="379" t="str">
        <f>'Main CEA'!Q161</f>
        <v>-</v>
      </c>
      <c r="R45" s="379" t="str">
        <f>'Main CEA'!R161</f>
        <v>-</v>
      </c>
      <c r="S45" s="379" t="str">
        <f>'Main CEA'!S161</f>
        <v>-</v>
      </c>
      <c r="T45" s="379" t="str">
        <f>'Main CEA'!T161</f>
        <v>-</v>
      </c>
      <c r="U45" s="379" t="str">
        <f>'Main CEA'!U161</f>
        <v>-</v>
      </c>
      <c r="V45" s="379" t="str">
        <f>'Main CEA'!V161</f>
        <v>-</v>
      </c>
      <c r="W45" s="379" t="str">
        <f>'Main CEA'!W161</f>
        <v>-</v>
      </c>
      <c r="X45" s="379" t="str">
        <f>'Main CEA'!X161</f>
        <v>-</v>
      </c>
      <c r="Y45" s="379" t="str">
        <f>'Main CEA'!Y161</f>
        <v>-</v>
      </c>
      <c r="Z45" s="379" t="str">
        <f>'Main CEA'!Z161</f>
        <v>-</v>
      </c>
      <c r="AA45" s="381"/>
    </row>
    <row r="46">
      <c r="A46" s="355"/>
      <c r="B46" s="72"/>
      <c r="C46" s="188"/>
      <c r="D46" s="72"/>
      <c r="E46" s="194" t="s">
        <v>201</v>
      </c>
      <c r="F46" s="139" t="str">
        <f>'Main CEA'!F177</f>
        <v>%</v>
      </c>
      <c r="G46" s="377" t="s">
        <v>37</v>
      </c>
      <c r="H46" s="388" t="str">
        <f>'Main CEA'!H177</f>
        <v>-</v>
      </c>
      <c r="I46" s="379">
        <f>'Main CEA'!I177</f>
        <v>0.191</v>
      </c>
      <c r="J46" s="379">
        <f>'Main CEA'!J177</f>
        <v>0.241</v>
      </c>
      <c r="K46" s="379">
        <f>'Main CEA'!K177</f>
        <v>0.281</v>
      </c>
      <c r="L46" s="379">
        <f>'Main CEA'!L177</f>
        <v>0.281</v>
      </c>
      <c r="M46" s="379">
        <f>'Main CEA'!M177</f>
        <v>0.281</v>
      </c>
      <c r="N46" s="379">
        <f>'Main CEA'!N177</f>
        <v>0.281</v>
      </c>
      <c r="O46" s="379">
        <f>'Main CEA'!O177</f>
        <v>0.281</v>
      </c>
      <c r="P46" s="379">
        <f>'Main CEA'!P177</f>
        <v>0.341</v>
      </c>
      <c r="Q46" s="379">
        <f>'Main CEA'!Q177</f>
        <v>0.341</v>
      </c>
      <c r="R46" s="379">
        <f>'Main CEA'!R177</f>
        <v>0.341</v>
      </c>
      <c r="S46" s="379">
        <f>'Main CEA'!S177</f>
        <v>0.341</v>
      </c>
      <c r="T46" s="379">
        <f>'Main CEA'!T177</f>
        <v>0.341</v>
      </c>
      <c r="U46" s="379">
        <f>'Main CEA'!U177</f>
        <v>0.341</v>
      </c>
      <c r="V46" s="379">
        <f>'Main CEA'!V177</f>
        <v>0.341</v>
      </c>
      <c r="W46" s="379">
        <f>'Main CEA'!W177</f>
        <v>0.341</v>
      </c>
      <c r="X46" s="379">
        <f>'Main CEA'!X177</f>
        <v>0.341</v>
      </c>
      <c r="Y46" s="379">
        <f>'Main CEA'!Y177</f>
        <v>0.291</v>
      </c>
      <c r="Z46" s="379">
        <f>'Main CEA'!Z177</f>
        <v>0.281</v>
      </c>
      <c r="AA46" s="381"/>
    </row>
    <row r="47">
      <c r="A47" s="355"/>
      <c r="B47" s="72"/>
      <c r="C47" s="188"/>
      <c r="D47" s="72"/>
      <c r="E47" s="203" t="s">
        <v>206</v>
      </c>
      <c r="F47" s="204" t="s">
        <v>103</v>
      </c>
      <c r="G47" s="303" t="s">
        <v>112</v>
      </c>
      <c r="H47" s="394" t="s">
        <v>124</v>
      </c>
      <c r="I47" s="397">
        <f t="shared" ref="I47:Z47" si="3">I44*(1+$H45)*(1+I46)</f>
        <v>0.1051598711</v>
      </c>
      <c r="J47" s="397">
        <f t="shared" si="3"/>
        <v>0.03652250331</v>
      </c>
      <c r="K47" s="397">
        <f t="shared" si="3"/>
        <v>0.02863571181</v>
      </c>
      <c r="L47" s="397">
        <f t="shared" si="3"/>
        <v>0.03409653632</v>
      </c>
      <c r="M47" s="397">
        <f t="shared" si="3"/>
        <v>0.03352942601</v>
      </c>
      <c r="N47" s="397">
        <f t="shared" si="3"/>
        <v>0.04713164459</v>
      </c>
      <c r="O47" s="397">
        <f t="shared" si="3"/>
        <v>0.04459049244</v>
      </c>
      <c r="P47" s="397">
        <f t="shared" si="3"/>
        <v>0.08511930817</v>
      </c>
      <c r="Q47" s="397">
        <f t="shared" si="3"/>
        <v>0.06557800084</v>
      </c>
      <c r="R47" s="397">
        <f t="shared" si="3"/>
        <v>0.058437601</v>
      </c>
      <c r="S47" s="397">
        <f t="shared" si="3"/>
        <v>0.1192309694</v>
      </c>
      <c r="T47" s="397">
        <f t="shared" si="3"/>
        <v>0.07675676704</v>
      </c>
      <c r="U47" s="397">
        <f t="shared" si="3"/>
        <v>0.08968227626</v>
      </c>
      <c r="V47" s="397">
        <f t="shared" si="3"/>
        <v>0.09801038168</v>
      </c>
      <c r="W47" s="397">
        <f t="shared" si="3"/>
        <v>0.06352733365</v>
      </c>
      <c r="X47" s="397">
        <f t="shared" si="3"/>
        <v>0.1209159522</v>
      </c>
      <c r="Y47" s="397">
        <f t="shared" si="3"/>
        <v>0.072469485</v>
      </c>
      <c r="Z47" s="397">
        <f t="shared" si="3"/>
        <v>0.04327090578</v>
      </c>
      <c r="AA47" s="399"/>
    </row>
    <row r="48">
      <c r="A48" s="355"/>
      <c r="B48" s="72"/>
      <c r="C48" s="188"/>
      <c r="D48" s="72"/>
      <c r="E48" s="95"/>
      <c r="F48" s="120"/>
      <c r="G48" s="77"/>
      <c r="H48" s="357"/>
      <c r="I48" s="359"/>
      <c r="J48" s="359"/>
      <c r="K48" s="359"/>
      <c r="L48" s="359"/>
      <c r="M48" s="359"/>
      <c r="N48" s="359"/>
      <c r="O48" s="359"/>
      <c r="P48" s="359"/>
      <c r="Q48" s="359"/>
      <c r="R48" s="359"/>
      <c r="S48" s="359"/>
      <c r="T48" s="359"/>
      <c r="U48" s="359"/>
      <c r="V48" s="359"/>
      <c r="W48" s="359"/>
      <c r="X48" s="359"/>
      <c r="Y48" s="359"/>
      <c r="Z48" s="359"/>
      <c r="AA48" s="77"/>
    </row>
    <row r="49">
      <c r="A49" s="355"/>
      <c r="B49" s="72"/>
      <c r="C49" s="273" t="s">
        <v>211</v>
      </c>
      <c r="F49" s="120"/>
      <c r="G49" s="77"/>
      <c r="H49" s="357"/>
      <c r="I49" s="359"/>
      <c r="J49" s="359"/>
      <c r="K49" s="359"/>
      <c r="L49" s="359"/>
      <c r="M49" s="359"/>
      <c r="N49" s="359"/>
      <c r="O49" s="359"/>
      <c r="P49" s="359"/>
      <c r="Q49" s="359"/>
      <c r="R49" s="359"/>
      <c r="S49" s="359"/>
      <c r="T49" s="359"/>
      <c r="U49" s="359"/>
      <c r="V49" s="359"/>
      <c r="W49" s="359"/>
      <c r="X49" s="359"/>
      <c r="Y49" s="359"/>
      <c r="Z49" s="359"/>
      <c r="AA49" s="77"/>
    </row>
    <row r="50">
      <c r="A50" s="355"/>
      <c r="B50" s="72"/>
      <c r="C50" s="400"/>
      <c r="D50" s="220"/>
      <c r="E50" s="401" t="s">
        <v>212</v>
      </c>
      <c r="F50" s="115" t="str">
        <f>'Main CEA'!F143</f>
        <v>#</v>
      </c>
      <c r="G50" s="231" t="s">
        <v>37</v>
      </c>
      <c r="H50" s="402" t="str">
        <f>'Main CEA'!H143</f>
        <v>-</v>
      </c>
      <c r="I50" s="403">
        <f>'Main CEA'!I143</f>
        <v>716.2636138</v>
      </c>
      <c r="J50" s="403">
        <f>'Main CEA'!J143</f>
        <v>209.6057451</v>
      </c>
      <c r="K50" s="403">
        <f>'Main CEA'!K143</f>
        <v>171.0531914</v>
      </c>
      <c r="L50" s="403">
        <f>'Main CEA'!L143</f>
        <v>202.5186024</v>
      </c>
      <c r="M50" s="403">
        <f>'Main CEA'!M143</f>
        <v>201.1195133</v>
      </c>
      <c r="N50" s="403">
        <f>'Main CEA'!N143</f>
        <v>302.4089157</v>
      </c>
      <c r="O50" s="403">
        <f>'Main CEA'!O143</f>
        <v>295.9174655</v>
      </c>
      <c r="P50" s="403">
        <f>'Main CEA'!P143</f>
        <v>486.9231603</v>
      </c>
      <c r="Q50" s="403">
        <f>'Main CEA'!Q143</f>
        <v>353.9994316</v>
      </c>
      <c r="R50" s="403">
        <f>'Main CEA'!R143</f>
        <v>322.9014666</v>
      </c>
      <c r="S50" s="403">
        <f>'Main CEA'!S143</f>
        <v>643.4445646</v>
      </c>
      <c r="T50" s="403">
        <f>'Main CEA'!T143</f>
        <v>429.6770769</v>
      </c>
      <c r="U50" s="403">
        <f>'Main CEA'!U143</f>
        <v>478.8297788</v>
      </c>
      <c r="V50" s="403">
        <f>'Main CEA'!V143</f>
        <v>494.4046191</v>
      </c>
      <c r="W50" s="403">
        <f>'Main CEA'!W143</f>
        <v>341.4290564</v>
      </c>
      <c r="X50" s="403">
        <f>'Main CEA'!X143</f>
        <v>687.3314607</v>
      </c>
      <c r="Y50" s="403">
        <f>'Main CEA'!Y143</f>
        <v>370.6204436</v>
      </c>
      <c r="Z50" s="403">
        <f>'Main CEA'!Z143</f>
        <v>276.6114652</v>
      </c>
      <c r="AA50" s="376"/>
    </row>
    <row r="51">
      <c r="A51" s="355"/>
      <c r="B51" s="72"/>
      <c r="C51" s="400"/>
      <c r="D51" s="220"/>
      <c r="E51" s="405" t="s">
        <v>198</v>
      </c>
      <c r="F51" s="139" t="str">
        <f>'Main CEA'!F161</f>
        <v>%</v>
      </c>
      <c r="G51" s="377" t="s">
        <v>37</v>
      </c>
      <c r="H51" s="406">
        <f>'Main CEA'!H161</f>
        <v>-0.08</v>
      </c>
      <c r="I51" s="379" t="str">
        <f>'Main CEA'!I161</f>
        <v>-</v>
      </c>
      <c r="J51" s="379" t="str">
        <f>'Main CEA'!J161</f>
        <v>-</v>
      </c>
      <c r="K51" s="379" t="str">
        <f>'Main CEA'!K161</f>
        <v>-</v>
      </c>
      <c r="L51" s="379" t="str">
        <f>'Main CEA'!L161</f>
        <v>-</v>
      </c>
      <c r="M51" s="379" t="str">
        <f>'Main CEA'!M161</f>
        <v>-</v>
      </c>
      <c r="N51" s="379" t="str">
        <f>'Main CEA'!N161</f>
        <v>-</v>
      </c>
      <c r="O51" s="379" t="str">
        <f>'Main CEA'!O161</f>
        <v>-</v>
      </c>
      <c r="P51" s="379" t="str">
        <f>'Main CEA'!P161</f>
        <v>-</v>
      </c>
      <c r="Q51" s="379" t="str">
        <f>'Main CEA'!Q161</f>
        <v>-</v>
      </c>
      <c r="R51" s="379" t="str">
        <f>'Main CEA'!R161</f>
        <v>-</v>
      </c>
      <c r="S51" s="379" t="str">
        <f>'Main CEA'!S161</f>
        <v>-</v>
      </c>
      <c r="T51" s="379" t="str">
        <f>'Main CEA'!T161</f>
        <v>-</v>
      </c>
      <c r="U51" s="379" t="str">
        <f>'Main CEA'!U161</f>
        <v>-</v>
      </c>
      <c r="V51" s="379" t="str">
        <f>'Main CEA'!V161</f>
        <v>-</v>
      </c>
      <c r="W51" s="379" t="str">
        <f>'Main CEA'!W161</f>
        <v>-</v>
      </c>
      <c r="X51" s="379" t="str">
        <f>'Main CEA'!X161</f>
        <v>-</v>
      </c>
      <c r="Y51" s="379" t="str">
        <f>'Main CEA'!Y161</f>
        <v>-</v>
      </c>
      <c r="Z51" s="379" t="str">
        <f>'Main CEA'!Z161</f>
        <v>-</v>
      </c>
      <c r="AA51" s="381"/>
    </row>
    <row r="52">
      <c r="A52" s="355"/>
      <c r="B52" s="72"/>
      <c r="C52" s="400"/>
      <c r="D52" s="220"/>
      <c r="E52" s="405" t="s">
        <v>218</v>
      </c>
      <c r="F52" s="139" t="str">
        <f>'Main CEA'!F202</f>
        <v>%</v>
      </c>
      <c r="G52" s="377" t="s">
        <v>37</v>
      </c>
      <c r="H52" s="407" t="str">
        <f>'Main CEA'!H202</f>
        <v>-</v>
      </c>
      <c r="I52" s="379">
        <f>'Main CEA'!I202</f>
        <v>-0.198</v>
      </c>
      <c r="J52" s="379">
        <f>'Main CEA'!J202</f>
        <v>-0.148</v>
      </c>
      <c r="K52" s="379">
        <f>'Main CEA'!K202</f>
        <v>-0.108</v>
      </c>
      <c r="L52" s="379">
        <f>'Main CEA'!L202</f>
        <v>-0.108</v>
      </c>
      <c r="M52" s="379">
        <f>'Main CEA'!M202</f>
        <v>-0.108</v>
      </c>
      <c r="N52" s="379">
        <f>'Main CEA'!N202</f>
        <v>-0.108</v>
      </c>
      <c r="O52" s="379">
        <f>'Main CEA'!O202</f>
        <v>-0.108</v>
      </c>
      <c r="P52" s="379">
        <f>'Main CEA'!P202</f>
        <v>-0.048</v>
      </c>
      <c r="Q52" s="379">
        <f>'Main CEA'!Q202</f>
        <v>-0.048</v>
      </c>
      <c r="R52" s="379">
        <f>'Main CEA'!R202</f>
        <v>-0.048</v>
      </c>
      <c r="S52" s="379">
        <f>'Main CEA'!S202</f>
        <v>-0.048</v>
      </c>
      <c r="T52" s="379">
        <f>'Main CEA'!T202</f>
        <v>-0.048</v>
      </c>
      <c r="U52" s="379">
        <f>'Main CEA'!U202</f>
        <v>-0.048</v>
      </c>
      <c r="V52" s="379">
        <f>'Main CEA'!V202</f>
        <v>-0.048</v>
      </c>
      <c r="W52" s="379">
        <f>'Main CEA'!W202</f>
        <v>-0.048</v>
      </c>
      <c r="X52" s="379">
        <f>'Main CEA'!X202</f>
        <v>-0.048</v>
      </c>
      <c r="Y52" s="379">
        <f>'Main CEA'!Y202</f>
        <v>-0.098</v>
      </c>
      <c r="Z52" s="379">
        <f>'Main CEA'!Z202</f>
        <v>-0.108</v>
      </c>
      <c r="AA52" s="381"/>
    </row>
    <row r="53">
      <c r="A53" s="355"/>
      <c r="B53" s="72"/>
      <c r="C53" s="400"/>
      <c r="D53" s="220"/>
      <c r="E53" s="422" t="s">
        <v>220</v>
      </c>
      <c r="F53" s="204" t="s">
        <v>88</v>
      </c>
      <c r="G53" s="303" t="s">
        <v>112</v>
      </c>
      <c r="H53" s="394" t="s">
        <v>124</v>
      </c>
      <c r="I53" s="424">
        <f t="shared" ref="I53:Z53" si="4">I50*(1+$H51)*(1+I52)</f>
        <v>528.4879448</v>
      </c>
      <c r="J53" s="424">
        <f t="shared" si="4"/>
        <v>164.2973672</v>
      </c>
      <c r="K53" s="424">
        <f t="shared" si="4"/>
        <v>140.373091</v>
      </c>
      <c r="L53" s="424">
        <f t="shared" si="4"/>
        <v>166.1948659</v>
      </c>
      <c r="M53" s="424">
        <f t="shared" si="4"/>
        <v>165.0467174</v>
      </c>
      <c r="N53" s="424">
        <f t="shared" si="4"/>
        <v>248.1688526</v>
      </c>
      <c r="O53" s="424">
        <f t="shared" si="4"/>
        <v>242.8417089</v>
      </c>
      <c r="P53" s="424">
        <f t="shared" si="4"/>
        <v>426.4667807</v>
      </c>
      <c r="Q53" s="424">
        <f t="shared" si="4"/>
        <v>310.0468622</v>
      </c>
      <c r="R53" s="424">
        <f t="shared" si="4"/>
        <v>282.8100205</v>
      </c>
      <c r="S53" s="424">
        <f t="shared" si="4"/>
        <v>563.5544875</v>
      </c>
      <c r="T53" s="424">
        <f t="shared" si="4"/>
        <v>376.3283711</v>
      </c>
      <c r="U53" s="424">
        <f t="shared" si="4"/>
        <v>419.3782735</v>
      </c>
      <c r="V53" s="424">
        <f t="shared" si="4"/>
        <v>433.0193416</v>
      </c>
      <c r="W53" s="424">
        <f t="shared" si="4"/>
        <v>299.0372247</v>
      </c>
      <c r="X53" s="424">
        <f t="shared" si="4"/>
        <v>601.9923865</v>
      </c>
      <c r="Y53" s="424">
        <f t="shared" si="4"/>
        <v>307.555669</v>
      </c>
      <c r="Z53" s="424">
        <f t="shared" si="4"/>
        <v>226.9984328</v>
      </c>
      <c r="AA53" s="399"/>
    </row>
    <row r="54">
      <c r="A54" s="355"/>
      <c r="B54" s="72"/>
      <c r="C54" s="188"/>
      <c r="D54" s="72"/>
      <c r="E54" s="95"/>
      <c r="F54" s="120"/>
      <c r="G54" s="77"/>
      <c r="H54" s="357"/>
      <c r="I54" s="359"/>
      <c r="J54" s="359"/>
      <c r="K54" s="359"/>
      <c r="L54" s="359"/>
      <c r="M54" s="359"/>
      <c r="N54" s="359"/>
      <c r="O54" s="359"/>
      <c r="P54" s="359"/>
      <c r="Q54" s="359"/>
      <c r="R54" s="359"/>
      <c r="S54" s="359"/>
      <c r="T54" s="359"/>
      <c r="U54" s="359"/>
      <c r="V54" s="359"/>
      <c r="W54" s="359"/>
      <c r="X54" s="359"/>
      <c r="Y54" s="359"/>
      <c r="Z54" s="359"/>
      <c r="AA54" s="77"/>
    </row>
    <row r="55">
      <c r="A55" s="355"/>
      <c r="B55" s="72"/>
      <c r="C55" s="188" t="s">
        <v>223</v>
      </c>
      <c r="F55" s="120"/>
      <c r="G55" s="77"/>
      <c r="H55" s="357"/>
      <c r="I55" s="359"/>
      <c r="J55" s="359"/>
      <c r="K55" s="359"/>
      <c r="L55" s="359"/>
      <c r="M55" s="359"/>
      <c r="N55" s="359"/>
      <c r="O55" s="359"/>
      <c r="P55" s="359"/>
      <c r="Q55" s="359"/>
      <c r="R55" s="359"/>
      <c r="S55" s="359"/>
      <c r="T55" s="359"/>
      <c r="U55" s="359"/>
      <c r="V55" s="359"/>
      <c r="W55" s="359"/>
      <c r="X55" s="359"/>
      <c r="Y55" s="359"/>
      <c r="Z55" s="359"/>
      <c r="AA55" s="77"/>
    </row>
    <row r="56">
      <c r="A56" s="355"/>
      <c r="B56" s="72"/>
      <c r="C56" s="72"/>
      <c r="D56" s="72"/>
      <c r="E56" s="189" t="s">
        <v>225</v>
      </c>
      <c r="F56" s="115" t="str">
        <f>Inputs!F123</f>
        <v>UoV</v>
      </c>
      <c r="G56" s="231" t="str">
        <f>Inputs!G123</f>
        <v>input</v>
      </c>
      <c r="H56" s="427">
        <f>Inputs!H123</f>
        <v>0.005057</v>
      </c>
      <c r="I56" s="428" t="str">
        <f>Inputs!I123</f>
        <v>-</v>
      </c>
      <c r="J56" s="428" t="str">
        <f>Inputs!J123</f>
        <v>-</v>
      </c>
      <c r="K56" s="428" t="str">
        <f>Inputs!K123</f>
        <v>-</v>
      </c>
      <c r="L56" s="428" t="str">
        <f>Inputs!L123</f>
        <v>-</v>
      </c>
      <c r="M56" s="428" t="str">
        <f>Inputs!M123</f>
        <v>-</v>
      </c>
      <c r="N56" s="428" t="str">
        <f>Inputs!N123</f>
        <v>-</v>
      </c>
      <c r="O56" s="428" t="str">
        <f>Inputs!O123</f>
        <v>-</v>
      </c>
      <c r="P56" s="428" t="str">
        <f>Inputs!P123</f>
        <v>-</v>
      </c>
      <c r="Q56" s="428" t="str">
        <f>Inputs!Q123</f>
        <v>-</v>
      </c>
      <c r="R56" s="428" t="str">
        <f>Inputs!R123</f>
        <v>-</v>
      </c>
      <c r="S56" s="428" t="str">
        <f>Inputs!S123</f>
        <v>-</v>
      </c>
      <c r="T56" s="428" t="str">
        <f>Inputs!T123</f>
        <v>-</v>
      </c>
      <c r="U56" s="428" t="str">
        <f>Inputs!U123</f>
        <v>-</v>
      </c>
      <c r="V56" s="428" t="str">
        <f>Inputs!V123</f>
        <v>-</v>
      </c>
      <c r="W56" s="428" t="str">
        <f>Inputs!W123</f>
        <v>-</v>
      </c>
      <c r="X56" s="428" t="str">
        <f>Inputs!X123</f>
        <v>-</v>
      </c>
      <c r="Y56" s="428" t="str">
        <f>Inputs!Y123</f>
        <v>-</v>
      </c>
      <c r="Z56" s="428" t="str">
        <f>Inputs!Z123</f>
        <v>-</v>
      </c>
      <c r="AA56" s="376"/>
    </row>
    <row r="57">
      <c r="A57" s="355"/>
      <c r="B57" s="72"/>
      <c r="C57" s="72"/>
      <c r="D57" s="72"/>
      <c r="E57" s="183" t="s">
        <v>229</v>
      </c>
      <c r="F57" s="96" t="str">
        <f>Inputs!F124</f>
        <v>UoV</v>
      </c>
      <c r="G57" s="176" t="str">
        <f>Inputs!G124</f>
        <v>input</v>
      </c>
      <c r="H57" s="433">
        <f>Inputs!H124</f>
        <v>0.015433</v>
      </c>
      <c r="I57" s="434" t="str">
        <f>Inputs!I124</f>
        <v>-</v>
      </c>
      <c r="J57" s="434" t="str">
        <f>Inputs!J124</f>
        <v>-</v>
      </c>
      <c r="K57" s="434" t="str">
        <f>Inputs!K124</f>
        <v>-</v>
      </c>
      <c r="L57" s="434" t="str">
        <f>Inputs!L124</f>
        <v>-</v>
      </c>
      <c r="M57" s="434" t="str">
        <f>Inputs!M124</f>
        <v>-</v>
      </c>
      <c r="N57" s="434" t="str">
        <f>Inputs!N124</f>
        <v>-</v>
      </c>
      <c r="O57" s="434" t="str">
        <f>Inputs!O124</f>
        <v>-</v>
      </c>
      <c r="P57" s="434" t="str">
        <f>Inputs!P124</f>
        <v>-</v>
      </c>
      <c r="Q57" s="434" t="str">
        <f>Inputs!Q124</f>
        <v>-</v>
      </c>
      <c r="R57" s="434" t="str">
        <f>Inputs!R124</f>
        <v>-</v>
      </c>
      <c r="S57" s="434" t="str">
        <f>Inputs!S124</f>
        <v>-</v>
      </c>
      <c r="T57" s="434" t="str">
        <f>Inputs!T124</f>
        <v>-</v>
      </c>
      <c r="U57" s="434" t="str">
        <f>Inputs!U124</f>
        <v>-</v>
      </c>
      <c r="V57" s="434" t="str">
        <f>Inputs!V124</f>
        <v>-</v>
      </c>
      <c r="W57" s="434" t="str">
        <f>Inputs!W124</f>
        <v>-</v>
      </c>
      <c r="X57" s="434" t="str">
        <f>Inputs!X124</f>
        <v>-</v>
      </c>
      <c r="Y57" s="434" t="str">
        <f>Inputs!Y124</f>
        <v>-</v>
      </c>
      <c r="Z57" s="434" t="str">
        <f>Inputs!Z124</f>
        <v>-</v>
      </c>
      <c r="AA57" s="438"/>
    </row>
    <row r="58">
      <c r="A58" s="355"/>
      <c r="B58" s="72"/>
      <c r="C58" s="72"/>
      <c r="D58" s="72"/>
      <c r="E58" s="95"/>
      <c r="F58" s="75"/>
      <c r="G58" s="77"/>
      <c r="H58" s="357"/>
      <c r="I58" s="359"/>
      <c r="J58" s="359"/>
      <c r="K58" s="359"/>
      <c r="L58" s="359"/>
      <c r="M58" s="359"/>
      <c r="N58" s="359"/>
      <c r="O58" s="359"/>
      <c r="P58" s="359"/>
      <c r="Q58" s="359"/>
      <c r="R58" s="359"/>
      <c r="S58" s="359"/>
      <c r="T58" s="359"/>
      <c r="U58" s="359"/>
      <c r="V58" s="359"/>
      <c r="W58" s="359"/>
      <c r="X58" s="359"/>
      <c r="Y58" s="359"/>
      <c r="Z58" s="359"/>
      <c r="AA58" s="77"/>
    </row>
    <row r="59">
      <c r="A59" s="66" t="s">
        <v>234</v>
      </c>
      <c r="B59" s="17"/>
      <c r="C59" s="17"/>
      <c r="D59" s="17"/>
      <c r="E59" s="17"/>
      <c r="F59" s="17"/>
      <c r="G59" s="87"/>
      <c r="H59" s="90"/>
      <c r="I59" s="91"/>
      <c r="J59" s="91"/>
      <c r="K59" s="91"/>
      <c r="L59" s="91"/>
      <c r="M59" s="91"/>
      <c r="N59" s="91"/>
      <c r="O59" s="91"/>
      <c r="P59" s="91"/>
      <c r="Q59" s="91"/>
      <c r="R59" s="91"/>
      <c r="S59" s="91"/>
      <c r="T59" s="91"/>
      <c r="U59" s="91"/>
      <c r="V59" s="91"/>
      <c r="W59" s="91"/>
      <c r="X59" s="91"/>
      <c r="Y59" s="91"/>
      <c r="Z59" s="91"/>
      <c r="AA59" s="354"/>
    </row>
    <row r="60">
      <c r="A60" s="445"/>
      <c r="B60" s="446"/>
      <c r="C60" s="447"/>
      <c r="D60" s="447"/>
      <c r="E60" s="169"/>
      <c r="F60" s="448"/>
      <c r="G60" s="450"/>
      <c r="H60" s="451"/>
      <c r="I60" s="383"/>
      <c r="J60" s="383"/>
      <c r="K60" s="383"/>
      <c r="L60" s="383"/>
      <c r="M60" s="383"/>
      <c r="N60" s="383"/>
      <c r="O60" s="383"/>
      <c r="P60" s="383"/>
      <c r="Q60" s="383"/>
      <c r="R60" s="383"/>
      <c r="S60" s="383"/>
      <c r="T60" s="383"/>
      <c r="U60" s="383"/>
      <c r="V60" s="383"/>
      <c r="W60" s="383"/>
      <c r="X60" s="383"/>
      <c r="Y60" s="383"/>
      <c r="Z60" s="383"/>
      <c r="AA60" s="453"/>
    </row>
    <row r="61">
      <c r="A61" s="445"/>
      <c r="B61" s="446"/>
      <c r="C61" s="188" t="s">
        <v>235</v>
      </c>
      <c r="F61" s="448"/>
      <c r="G61" s="450"/>
      <c r="H61" s="451"/>
      <c r="I61" s="383"/>
      <c r="J61" s="383"/>
      <c r="K61" s="383"/>
      <c r="L61" s="383"/>
      <c r="M61" s="383"/>
      <c r="N61" s="383"/>
      <c r="O61" s="383"/>
      <c r="P61" s="383"/>
      <c r="Q61" s="383"/>
      <c r="R61" s="383"/>
      <c r="S61" s="383"/>
      <c r="T61" s="383"/>
      <c r="U61" s="383"/>
      <c r="V61" s="383"/>
      <c r="W61" s="383"/>
      <c r="X61" s="383"/>
      <c r="Y61" s="383"/>
      <c r="Z61" s="383"/>
      <c r="AA61" s="453"/>
    </row>
    <row r="62">
      <c r="A62" s="445"/>
      <c r="B62" s="446"/>
      <c r="C62" s="447"/>
      <c r="D62" s="454" t="s">
        <v>236</v>
      </c>
      <c r="E62" s="100"/>
      <c r="F62" s="455"/>
      <c r="G62" s="456"/>
      <c r="H62" s="134"/>
      <c r="I62" s="457"/>
      <c r="J62" s="457"/>
      <c r="K62" s="457"/>
      <c r="L62" s="457"/>
      <c r="M62" s="457"/>
      <c r="N62" s="457"/>
      <c r="O62" s="457"/>
      <c r="P62" s="457"/>
      <c r="Q62" s="457"/>
      <c r="R62" s="457"/>
      <c r="S62" s="457"/>
      <c r="T62" s="457"/>
      <c r="U62" s="457"/>
      <c r="V62" s="457"/>
      <c r="W62" s="457"/>
      <c r="X62" s="457"/>
      <c r="Y62" s="457"/>
      <c r="Z62" s="457"/>
      <c r="AA62" s="458"/>
    </row>
    <row r="63">
      <c r="A63" s="445"/>
      <c r="B63" s="446"/>
      <c r="C63" s="447"/>
      <c r="D63" s="447"/>
      <c r="E63" s="189" t="s">
        <v>237</v>
      </c>
      <c r="F63" s="455" t="s">
        <v>95</v>
      </c>
      <c r="G63" s="456" t="s">
        <v>112</v>
      </c>
      <c r="H63" s="134" t="s">
        <v>124</v>
      </c>
      <c r="I63" s="457">
        <f t="shared" ref="I63:Z63" si="5">I19</f>
        <v>1000000</v>
      </c>
      <c r="J63" s="457">
        <f t="shared" si="5"/>
        <v>1000000</v>
      </c>
      <c r="K63" s="457">
        <f t="shared" si="5"/>
        <v>1000000</v>
      </c>
      <c r="L63" s="457">
        <f t="shared" si="5"/>
        <v>1000000</v>
      </c>
      <c r="M63" s="457">
        <f t="shared" si="5"/>
        <v>1000000</v>
      </c>
      <c r="N63" s="457">
        <f t="shared" si="5"/>
        <v>1000000</v>
      </c>
      <c r="O63" s="457">
        <f t="shared" si="5"/>
        <v>1000000</v>
      </c>
      <c r="P63" s="457">
        <f t="shared" si="5"/>
        <v>1000000</v>
      </c>
      <c r="Q63" s="457">
        <f t="shared" si="5"/>
        <v>1000000</v>
      </c>
      <c r="R63" s="457">
        <f t="shared" si="5"/>
        <v>1000000</v>
      </c>
      <c r="S63" s="457">
        <f t="shared" si="5"/>
        <v>1000000</v>
      </c>
      <c r="T63" s="457">
        <f t="shared" si="5"/>
        <v>1000000</v>
      </c>
      <c r="U63" s="457">
        <f t="shared" si="5"/>
        <v>1000000</v>
      </c>
      <c r="V63" s="457">
        <f t="shared" si="5"/>
        <v>1000000</v>
      </c>
      <c r="W63" s="457">
        <f t="shared" si="5"/>
        <v>1000000</v>
      </c>
      <c r="X63" s="457">
        <f t="shared" si="5"/>
        <v>1000000</v>
      </c>
      <c r="Y63" s="457">
        <f t="shared" si="5"/>
        <v>1000000</v>
      </c>
      <c r="Z63" s="457">
        <f t="shared" si="5"/>
        <v>1000000</v>
      </c>
      <c r="AA63" s="458"/>
    </row>
    <row r="64">
      <c r="A64" s="445"/>
      <c r="B64" s="446"/>
      <c r="C64" s="447"/>
      <c r="D64" s="447"/>
      <c r="E64" s="194" t="s">
        <v>238</v>
      </c>
      <c r="F64" s="155" t="s">
        <v>103</v>
      </c>
      <c r="G64" s="460" t="s">
        <v>112</v>
      </c>
      <c r="H64" s="151" t="s">
        <v>124</v>
      </c>
      <c r="I64" s="145">
        <f t="shared" ref="I64:Z64" si="6">I63*I47</f>
        <v>105159.8711</v>
      </c>
      <c r="J64" s="145">
        <f t="shared" si="6"/>
        <v>36522.50331</v>
      </c>
      <c r="K64" s="145">
        <f t="shared" si="6"/>
        <v>28635.71181</v>
      </c>
      <c r="L64" s="145">
        <f t="shared" si="6"/>
        <v>34096.53632</v>
      </c>
      <c r="M64" s="145">
        <f t="shared" si="6"/>
        <v>33529.42601</v>
      </c>
      <c r="N64" s="145">
        <f t="shared" si="6"/>
        <v>47131.64459</v>
      </c>
      <c r="O64" s="145">
        <f t="shared" si="6"/>
        <v>44590.49244</v>
      </c>
      <c r="P64" s="145">
        <f t="shared" si="6"/>
        <v>85119.30817</v>
      </c>
      <c r="Q64" s="145">
        <f t="shared" si="6"/>
        <v>65578.00084</v>
      </c>
      <c r="R64" s="145">
        <f t="shared" si="6"/>
        <v>58437.601</v>
      </c>
      <c r="S64" s="145">
        <f t="shared" si="6"/>
        <v>119230.9694</v>
      </c>
      <c r="T64" s="145">
        <f t="shared" si="6"/>
        <v>76756.76704</v>
      </c>
      <c r="U64" s="145">
        <f t="shared" si="6"/>
        <v>89682.27626</v>
      </c>
      <c r="V64" s="145">
        <f t="shared" si="6"/>
        <v>98010.38168</v>
      </c>
      <c r="W64" s="145">
        <f t="shared" si="6"/>
        <v>63527.33365</v>
      </c>
      <c r="X64" s="145">
        <f t="shared" si="6"/>
        <v>120915.9522</v>
      </c>
      <c r="Y64" s="145">
        <f t="shared" si="6"/>
        <v>72469.485</v>
      </c>
      <c r="Z64" s="145">
        <f t="shared" si="6"/>
        <v>43270.90578</v>
      </c>
      <c r="AA64" s="465"/>
    </row>
    <row r="65">
      <c r="A65" s="445"/>
      <c r="B65" s="446"/>
      <c r="C65" s="447"/>
      <c r="D65" s="447"/>
      <c r="E65" s="194" t="s">
        <v>239</v>
      </c>
      <c r="F65" s="155" t="s">
        <v>103</v>
      </c>
      <c r="G65" s="460" t="s">
        <v>112</v>
      </c>
      <c r="H65" s="151" t="s">
        <v>124</v>
      </c>
      <c r="I65" s="145">
        <f t="shared" ref="I65:Z65" si="7">I63*$H56</f>
        <v>5057</v>
      </c>
      <c r="J65" s="145">
        <f t="shared" si="7"/>
        <v>5057</v>
      </c>
      <c r="K65" s="145">
        <f t="shared" si="7"/>
        <v>5057</v>
      </c>
      <c r="L65" s="145">
        <f t="shared" si="7"/>
        <v>5057</v>
      </c>
      <c r="M65" s="145">
        <f t="shared" si="7"/>
        <v>5057</v>
      </c>
      <c r="N65" s="145">
        <f t="shared" si="7"/>
        <v>5057</v>
      </c>
      <c r="O65" s="145">
        <f t="shared" si="7"/>
        <v>5057</v>
      </c>
      <c r="P65" s="145">
        <f t="shared" si="7"/>
        <v>5057</v>
      </c>
      <c r="Q65" s="145">
        <f t="shared" si="7"/>
        <v>5057</v>
      </c>
      <c r="R65" s="145">
        <f t="shared" si="7"/>
        <v>5057</v>
      </c>
      <c r="S65" s="145">
        <f t="shared" si="7"/>
        <v>5057</v>
      </c>
      <c r="T65" s="145">
        <f t="shared" si="7"/>
        <v>5057</v>
      </c>
      <c r="U65" s="145">
        <f t="shared" si="7"/>
        <v>5057</v>
      </c>
      <c r="V65" s="145">
        <f t="shared" si="7"/>
        <v>5057</v>
      </c>
      <c r="W65" s="145">
        <f t="shared" si="7"/>
        <v>5057</v>
      </c>
      <c r="X65" s="145">
        <f t="shared" si="7"/>
        <v>5057</v>
      </c>
      <c r="Y65" s="145">
        <f t="shared" si="7"/>
        <v>5057</v>
      </c>
      <c r="Z65" s="145">
        <f t="shared" si="7"/>
        <v>5057</v>
      </c>
      <c r="AA65" s="465"/>
    </row>
    <row r="66">
      <c r="A66" s="445"/>
      <c r="B66" s="446"/>
      <c r="C66" s="447"/>
      <c r="D66" s="447"/>
      <c r="E66" s="194" t="s">
        <v>241</v>
      </c>
      <c r="F66" s="155" t="s">
        <v>103</v>
      </c>
      <c r="G66" s="460" t="s">
        <v>112</v>
      </c>
      <c r="H66" s="151" t="s">
        <v>124</v>
      </c>
      <c r="I66" s="145">
        <f t="shared" ref="I66:Z66" si="8">I64-I65</f>
        <v>100102.8711</v>
      </c>
      <c r="J66" s="145">
        <f t="shared" si="8"/>
        <v>31465.50331</v>
      </c>
      <c r="K66" s="145">
        <f t="shared" si="8"/>
        <v>23578.71181</v>
      </c>
      <c r="L66" s="145">
        <f t="shared" si="8"/>
        <v>29039.53632</v>
      </c>
      <c r="M66" s="145">
        <f t="shared" si="8"/>
        <v>28472.42601</v>
      </c>
      <c r="N66" s="145">
        <f t="shared" si="8"/>
        <v>42074.64459</v>
      </c>
      <c r="O66" s="145">
        <f t="shared" si="8"/>
        <v>39533.49244</v>
      </c>
      <c r="P66" s="145">
        <f t="shared" si="8"/>
        <v>80062.30817</v>
      </c>
      <c r="Q66" s="145">
        <f t="shared" si="8"/>
        <v>60521.00084</v>
      </c>
      <c r="R66" s="145">
        <f t="shared" si="8"/>
        <v>53380.601</v>
      </c>
      <c r="S66" s="145">
        <f t="shared" si="8"/>
        <v>114173.9694</v>
      </c>
      <c r="T66" s="145">
        <f t="shared" si="8"/>
        <v>71699.76704</v>
      </c>
      <c r="U66" s="145">
        <f t="shared" si="8"/>
        <v>84625.27626</v>
      </c>
      <c r="V66" s="145">
        <f t="shared" si="8"/>
        <v>92953.38168</v>
      </c>
      <c r="W66" s="145">
        <f t="shared" si="8"/>
        <v>58470.33365</v>
      </c>
      <c r="X66" s="145">
        <f t="shared" si="8"/>
        <v>115858.9522</v>
      </c>
      <c r="Y66" s="145">
        <f t="shared" si="8"/>
        <v>67412.485</v>
      </c>
      <c r="Z66" s="145">
        <f t="shared" si="8"/>
        <v>38213.90578</v>
      </c>
      <c r="AA66" s="465"/>
    </row>
    <row r="67">
      <c r="A67" s="445"/>
      <c r="B67" s="446"/>
      <c r="C67" s="447"/>
      <c r="D67" s="447"/>
      <c r="E67" s="194" t="s">
        <v>242</v>
      </c>
      <c r="F67" s="155" t="s">
        <v>103</v>
      </c>
      <c r="G67" s="460" t="s">
        <v>112</v>
      </c>
      <c r="H67" s="151" t="s">
        <v>124</v>
      </c>
      <c r="I67" s="145">
        <f t="shared" ref="I67:Z67" si="9">-I66</f>
        <v>-100102.8711</v>
      </c>
      <c r="J67" s="145">
        <f t="shared" si="9"/>
        <v>-31465.50331</v>
      </c>
      <c r="K67" s="145">
        <f t="shared" si="9"/>
        <v>-23578.71181</v>
      </c>
      <c r="L67" s="145">
        <f t="shared" si="9"/>
        <v>-29039.53632</v>
      </c>
      <c r="M67" s="145">
        <f t="shared" si="9"/>
        <v>-28472.42601</v>
      </c>
      <c r="N67" s="145">
        <f t="shared" si="9"/>
        <v>-42074.64459</v>
      </c>
      <c r="O67" s="145">
        <f t="shared" si="9"/>
        <v>-39533.49244</v>
      </c>
      <c r="P67" s="145">
        <f t="shared" si="9"/>
        <v>-80062.30817</v>
      </c>
      <c r="Q67" s="145">
        <f t="shared" si="9"/>
        <v>-60521.00084</v>
      </c>
      <c r="R67" s="145">
        <f t="shared" si="9"/>
        <v>-53380.601</v>
      </c>
      <c r="S67" s="145">
        <f t="shared" si="9"/>
        <v>-114173.9694</v>
      </c>
      <c r="T67" s="145">
        <f t="shared" si="9"/>
        <v>-71699.76704</v>
      </c>
      <c r="U67" s="145">
        <f t="shared" si="9"/>
        <v>-84625.27626</v>
      </c>
      <c r="V67" s="145">
        <f t="shared" si="9"/>
        <v>-92953.38168</v>
      </c>
      <c r="W67" s="145">
        <f t="shared" si="9"/>
        <v>-58470.33365</v>
      </c>
      <c r="X67" s="145">
        <f t="shared" si="9"/>
        <v>-115858.9522</v>
      </c>
      <c r="Y67" s="145">
        <f t="shared" si="9"/>
        <v>-67412.485</v>
      </c>
      <c r="Z67" s="145">
        <f t="shared" si="9"/>
        <v>-38213.90578</v>
      </c>
      <c r="AA67" s="465"/>
    </row>
    <row r="68">
      <c r="A68" s="445"/>
      <c r="B68" s="446"/>
      <c r="C68" s="447"/>
      <c r="D68" s="447"/>
      <c r="E68" s="194" t="s">
        <v>244</v>
      </c>
      <c r="F68" s="155" t="str">
        <f>F30</f>
        <v>%</v>
      </c>
      <c r="G68" s="460" t="s">
        <v>38</v>
      </c>
      <c r="H68" s="480" t="str">
        <f t="shared" ref="H68:Z68" si="10">H30</f>
        <v>-</v>
      </c>
      <c r="I68" s="150">
        <f t="shared" si="10"/>
        <v>0</v>
      </c>
      <c r="J68" s="150">
        <f t="shared" si="10"/>
        <v>0</v>
      </c>
      <c r="K68" s="150">
        <f t="shared" si="10"/>
        <v>0</v>
      </c>
      <c r="L68" s="150">
        <f t="shared" si="10"/>
        <v>0</v>
      </c>
      <c r="M68" s="150">
        <f t="shared" si="10"/>
        <v>0</v>
      </c>
      <c r="N68" s="150">
        <f t="shared" si="10"/>
        <v>0</v>
      </c>
      <c r="O68" s="150">
        <f t="shared" si="10"/>
        <v>0</v>
      </c>
      <c r="P68" s="150">
        <f t="shared" si="10"/>
        <v>0</v>
      </c>
      <c r="Q68" s="150">
        <f t="shared" si="10"/>
        <v>0</v>
      </c>
      <c r="R68" s="150">
        <f t="shared" si="10"/>
        <v>0</v>
      </c>
      <c r="S68" s="150">
        <f t="shared" si="10"/>
        <v>0</v>
      </c>
      <c r="T68" s="150">
        <f t="shared" si="10"/>
        <v>0</v>
      </c>
      <c r="U68" s="150">
        <f t="shared" si="10"/>
        <v>0</v>
      </c>
      <c r="V68" s="150">
        <f t="shared" si="10"/>
        <v>0</v>
      </c>
      <c r="W68" s="150">
        <f t="shared" si="10"/>
        <v>0</v>
      </c>
      <c r="X68" s="150">
        <f t="shared" si="10"/>
        <v>0</v>
      </c>
      <c r="Y68" s="150">
        <f t="shared" si="10"/>
        <v>0</v>
      </c>
      <c r="Z68" s="150">
        <f t="shared" si="10"/>
        <v>0</v>
      </c>
      <c r="AA68" s="465"/>
    </row>
    <row r="69">
      <c r="A69" s="445"/>
      <c r="B69" s="446"/>
      <c r="C69" s="447"/>
      <c r="D69" s="447"/>
      <c r="E69" s="203" t="s">
        <v>245</v>
      </c>
      <c r="F69" s="175" t="s">
        <v>103</v>
      </c>
      <c r="G69" s="485" t="s">
        <v>112</v>
      </c>
      <c r="H69" s="163" t="s">
        <v>124</v>
      </c>
      <c r="I69" s="182">
        <f t="shared" ref="I69:Z69" si="11">I67*I68</f>
        <v>0</v>
      </c>
      <c r="J69" s="182">
        <f t="shared" si="11"/>
        <v>0</v>
      </c>
      <c r="K69" s="182">
        <f t="shared" si="11"/>
        <v>0</v>
      </c>
      <c r="L69" s="182">
        <f t="shared" si="11"/>
        <v>0</v>
      </c>
      <c r="M69" s="182">
        <f t="shared" si="11"/>
        <v>0</v>
      </c>
      <c r="N69" s="182">
        <f t="shared" si="11"/>
        <v>0</v>
      </c>
      <c r="O69" s="182">
        <f t="shared" si="11"/>
        <v>0</v>
      </c>
      <c r="P69" s="182">
        <f t="shared" si="11"/>
        <v>0</v>
      </c>
      <c r="Q69" s="182">
        <f t="shared" si="11"/>
        <v>0</v>
      </c>
      <c r="R69" s="182">
        <f t="shared" si="11"/>
        <v>0</v>
      </c>
      <c r="S69" s="182">
        <f t="shared" si="11"/>
        <v>0</v>
      </c>
      <c r="T69" s="182">
        <f t="shared" si="11"/>
        <v>0</v>
      </c>
      <c r="U69" s="182">
        <f t="shared" si="11"/>
        <v>0</v>
      </c>
      <c r="V69" s="182">
        <f t="shared" si="11"/>
        <v>0</v>
      </c>
      <c r="W69" s="182">
        <f t="shared" si="11"/>
        <v>0</v>
      </c>
      <c r="X69" s="182">
        <f t="shared" si="11"/>
        <v>0</v>
      </c>
      <c r="Y69" s="182">
        <f t="shared" si="11"/>
        <v>0</v>
      </c>
      <c r="Z69" s="182">
        <f t="shared" si="11"/>
        <v>0</v>
      </c>
      <c r="AA69" s="486"/>
    </row>
    <row r="70">
      <c r="A70" s="445"/>
      <c r="B70" s="446"/>
      <c r="C70" s="447"/>
      <c r="D70" s="447"/>
      <c r="E70" s="169"/>
      <c r="F70" s="448"/>
      <c r="G70" s="450"/>
      <c r="H70" s="451"/>
      <c r="I70" s="383"/>
      <c r="J70" s="383"/>
      <c r="K70" s="383"/>
      <c r="L70" s="383"/>
      <c r="M70" s="383"/>
      <c r="N70" s="383"/>
      <c r="O70" s="383"/>
      <c r="P70" s="383"/>
      <c r="Q70" s="383"/>
      <c r="R70" s="383"/>
      <c r="S70" s="383"/>
      <c r="T70" s="383"/>
      <c r="U70" s="383"/>
      <c r="V70" s="383"/>
      <c r="W70" s="383"/>
      <c r="X70" s="383"/>
      <c r="Y70" s="383"/>
      <c r="Z70" s="383"/>
      <c r="AA70" s="453"/>
    </row>
    <row r="71">
      <c r="A71" s="445"/>
      <c r="B71" s="446"/>
      <c r="C71" s="188" t="s">
        <v>247</v>
      </c>
      <c r="F71" s="448"/>
      <c r="G71" s="450"/>
      <c r="H71" s="451"/>
      <c r="I71" s="383"/>
      <c r="J71" s="383"/>
      <c r="K71" s="383"/>
      <c r="L71" s="383"/>
      <c r="M71" s="383"/>
      <c r="N71" s="383"/>
      <c r="O71" s="383"/>
      <c r="P71" s="383"/>
      <c r="Q71" s="383"/>
      <c r="R71" s="383"/>
      <c r="S71" s="383"/>
      <c r="T71" s="383"/>
      <c r="U71" s="383"/>
      <c r="V71" s="383"/>
      <c r="W71" s="383"/>
      <c r="X71" s="383"/>
      <c r="Y71" s="383"/>
      <c r="Z71" s="383"/>
      <c r="AA71" s="453"/>
    </row>
    <row r="72">
      <c r="A72" s="445"/>
      <c r="B72" s="446"/>
      <c r="C72" s="447"/>
      <c r="D72" s="454" t="s">
        <v>248</v>
      </c>
      <c r="E72" s="100"/>
      <c r="F72" s="455"/>
      <c r="G72" s="456"/>
      <c r="H72" s="134"/>
      <c r="I72" s="457"/>
      <c r="J72" s="457"/>
      <c r="K72" s="457"/>
      <c r="L72" s="457"/>
      <c r="M72" s="457"/>
      <c r="N72" s="457"/>
      <c r="O72" s="457"/>
      <c r="P72" s="457"/>
      <c r="Q72" s="457"/>
      <c r="R72" s="457"/>
      <c r="S72" s="457"/>
      <c r="T72" s="457"/>
      <c r="U72" s="457"/>
      <c r="V72" s="457"/>
      <c r="W72" s="457"/>
      <c r="X72" s="457"/>
      <c r="Y72" s="457"/>
      <c r="Z72" s="457"/>
      <c r="AA72" s="458"/>
    </row>
    <row r="73">
      <c r="A73" s="445"/>
      <c r="B73" s="446"/>
      <c r="C73" s="447"/>
      <c r="D73" s="447"/>
      <c r="E73" s="189" t="s">
        <v>250</v>
      </c>
      <c r="F73" s="455" t="s">
        <v>95</v>
      </c>
      <c r="G73" s="456" t="s">
        <v>112</v>
      </c>
      <c r="H73" s="134" t="s">
        <v>124</v>
      </c>
      <c r="I73" s="457">
        <f t="shared" ref="I73:Z73" si="12">I19</f>
        <v>1000000</v>
      </c>
      <c r="J73" s="457">
        <f t="shared" si="12"/>
        <v>1000000</v>
      </c>
      <c r="K73" s="457">
        <f t="shared" si="12"/>
        <v>1000000</v>
      </c>
      <c r="L73" s="457">
        <f t="shared" si="12"/>
        <v>1000000</v>
      </c>
      <c r="M73" s="457">
        <f t="shared" si="12"/>
        <v>1000000</v>
      </c>
      <c r="N73" s="457">
        <f t="shared" si="12"/>
        <v>1000000</v>
      </c>
      <c r="O73" s="457">
        <f t="shared" si="12"/>
        <v>1000000</v>
      </c>
      <c r="P73" s="457">
        <f t="shared" si="12"/>
        <v>1000000</v>
      </c>
      <c r="Q73" s="457">
        <f t="shared" si="12"/>
        <v>1000000</v>
      </c>
      <c r="R73" s="457">
        <f t="shared" si="12"/>
        <v>1000000</v>
      </c>
      <c r="S73" s="457">
        <f t="shared" si="12"/>
        <v>1000000</v>
      </c>
      <c r="T73" s="457">
        <f t="shared" si="12"/>
        <v>1000000</v>
      </c>
      <c r="U73" s="457">
        <f t="shared" si="12"/>
        <v>1000000</v>
      </c>
      <c r="V73" s="457">
        <f t="shared" si="12"/>
        <v>1000000</v>
      </c>
      <c r="W73" s="457">
        <f t="shared" si="12"/>
        <v>1000000</v>
      </c>
      <c r="X73" s="457">
        <f t="shared" si="12"/>
        <v>1000000</v>
      </c>
      <c r="Y73" s="457">
        <f t="shared" si="12"/>
        <v>1000000</v>
      </c>
      <c r="Z73" s="457">
        <f t="shared" si="12"/>
        <v>1000000</v>
      </c>
      <c r="AA73" s="458"/>
    </row>
    <row r="74">
      <c r="A74" s="445"/>
      <c r="B74" s="446"/>
      <c r="C74" s="447"/>
      <c r="D74" s="447"/>
      <c r="E74" s="194" t="s">
        <v>251</v>
      </c>
      <c r="F74" s="155" t="s">
        <v>103</v>
      </c>
      <c r="G74" s="460" t="s">
        <v>112</v>
      </c>
      <c r="H74" s="151" t="s">
        <v>124</v>
      </c>
      <c r="I74" s="145">
        <f t="shared" ref="I74:Z74" si="13">I73*I47</f>
        <v>105159.8711</v>
      </c>
      <c r="J74" s="145">
        <f t="shared" si="13"/>
        <v>36522.50331</v>
      </c>
      <c r="K74" s="145">
        <f t="shared" si="13"/>
        <v>28635.71181</v>
      </c>
      <c r="L74" s="145">
        <f t="shared" si="13"/>
        <v>34096.53632</v>
      </c>
      <c r="M74" s="145">
        <f t="shared" si="13"/>
        <v>33529.42601</v>
      </c>
      <c r="N74" s="145">
        <f t="shared" si="13"/>
        <v>47131.64459</v>
      </c>
      <c r="O74" s="145">
        <f t="shared" si="13"/>
        <v>44590.49244</v>
      </c>
      <c r="P74" s="145">
        <f t="shared" si="13"/>
        <v>85119.30817</v>
      </c>
      <c r="Q74" s="145">
        <f t="shared" si="13"/>
        <v>65578.00084</v>
      </c>
      <c r="R74" s="145">
        <f t="shared" si="13"/>
        <v>58437.601</v>
      </c>
      <c r="S74" s="145">
        <f t="shared" si="13"/>
        <v>119230.9694</v>
      </c>
      <c r="T74" s="145">
        <f t="shared" si="13"/>
        <v>76756.76704</v>
      </c>
      <c r="U74" s="145">
        <f t="shared" si="13"/>
        <v>89682.27626</v>
      </c>
      <c r="V74" s="145">
        <f t="shared" si="13"/>
        <v>98010.38168</v>
      </c>
      <c r="W74" s="145">
        <f t="shared" si="13"/>
        <v>63527.33365</v>
      </c>
      <c r="X74" s="145">
        <f t="shared" si="13"/>
        <v>120915.9522</v>
      </c>
      <c r="Y74" s="145">
        <f t="shared" si="13"/>
        <v>72469.485</v>
      </c>
      <c r="Z74" s="145">
        <f t="shared" si="13"/>
        <v>43270.90578</v>
      </c>
      <c r="AA74" s="465"/>
    </row>
    <row r="75">
      <c r="A75" s="445"/>
      <c r="B75" s="446"/>
      <c r="C75" s="447"/>
      <c r="D75" s="447"/>
      <c r="E75" s="194" t="s">
        <v>255</v>
      </c>
      <c r="F75" s="155" t="s">
        <v>103</v>
      </c>
      <c r="G75" s="460" t="s">
        <v>112</v>
      </c>
      <c r="H75" s="151" t="s">
        <v>124</v>
      </c>
      <c r="I75" s="145">
        <f t="shared" ref="I75:Z75" si="14">I73*$H57</f>
        <v>15433</v>
      </c>
      <c r="J75" s="145">
        <f t="shared" si="14"/>
        <v>15433</v>
      </c>
      <c r="K75" s="145">
        <f t="shared" si="14"/>
        <v>15433</v>
      </c>
      <c r="L75" s="145">
        <f t="shared" si="14"/>
        <v>15433</v>
      </c>
      <c r="M75" s="145">
        <f t="shared" si="14"/>
        <v>15433</v>
      </c>
      <c r="N75" s="145">
        <f t="shared" si="14"/>
        <v>15433</v>
      </c>
      <c r="O75" s="145">
        <f t="shared" si="14"/>
        <v>15433</v>
      </c>
      <c r="P75" s="145">
        <f t="shared" si="14"/>
        <v>15433</v>
      </c>
      <c r="Q75" s="145">
        <f t="shared" si="14"/>
        <v>15433</v>
      </c>
      <c r="R75" s="145">
        <f t="shared" si="14"/>
        <v>15433</v>
      </c>
      <c r="S75" s="145">
        <f t="shared" si="14"/>
        <v>15433</v>
      </c>
      <c r="T75" s="145">
        <f t="shared" si="14"/>
        <v>15433</v>
      </c>
      <c r="U75" s="145">
        <f t="shared" si="14"/>
        <v>15433</v>
      </c>
      <c r="V75" s="145">
        <f t="shared" si="14"/>
        <v>15433</v>
      </c>
      <c r="W75" s="145">
        <f t="shared" si="14"/>
        <v>15433</v>
      </c>
      <c r="X75" s="145">
        <f t="shared" si="14"/>
        <v>15433</v>
      </c>
      <c r="Y75" s="145">
        <f t="shared" si="14"/>
        <v>15433</v>
      </c>
      <c r="Z75" s="145">
        <f t="shared" si="14"/>
        <v>15433</v>
      </c>
      <c r="AA75" s="465"/>
    </row>
    <row r="76">
      <c r="A76" s="445"/>
      <c r="B76" s="446"/>
      <c r="C76" s="447"/>
      <c r="D76" s="447"/>
      <c r="E76" s="194" t="s">
        <v>258</v>
      </c>
      <c r="F76" s="155" t="s">
        <v>103</v>
      </c>
      <c r="G76" s="460" t="s">
        <v>112</v>
      </c>
      <c r="H76" s="151" t="s">
        <v>124</v>
      </c>
      <c r="I76" s="145">
        <f t="shared" ref="I76:Z76" si="15">I74-I75</f>
        <v>89726.87111</v>
      </c>
      <c r="J76" s="145">
        <f t="shared" si="15"/>
        <v>21089.50331</v>
      </c>
      <c r="K76" s="145">
        <f t="shared" si="15"/>
        <v>13202.71181</v>
      </c>
      <c r="L76" s="145">
        <f t="shared" si="15"/>
        <v>18663.53632</v>
      </c>
      <c r="M76" s="145">
        <f t="shared" si="15"/>
        <v>18096.42601</v>
      </c>
      <c r="N76" s="145">
        <f t="shared" si="15"/>
        <v>31698.64459</v>
      </c>
      <c r="O76" s="145">
        <f t="shared" si="15"/>
        <v>29157.49244</v>
      </c>
      <c r="P76" s="145">
        <f t="shared" si="15"/>
        <v>69686.30817</v>
      </c>
      <c r="Q76" s="145">
        <f t="shared" si="15"/>
        <v>50145.00084</v>
      </c>
      <c r="R76" s="145">
        <f t="shared" si="15"/>
        <v>43004.601</v>
      </c>
      <c r="S76" s="145">
        <f t="shared" si="15"/>
        <v>103797.9694</v>
      </c>
      <c r="T76" s="145">
        <f t="shared" si="15"/>
        <v>61323.76704</v>
      </c>
      <c r="U76" s="145">
        <f t="shared" si="15"/>
        <v>74249.27626</v>
      </c>
      <c r="V76" s="145">
        <f t="shared" si="15"/>
        <v>82577.38168</v>
      </c>
      <c r="W76" s="145">
        <f t="shared" si="15"/>
        <v>48094.33365</v>
      </c>
      <c r="X76" s="145">
        <f t="shared" si="15"/>
        <v>105482.9522</v>
      </c>
      <c r="Y76" s="145">
        <f t="shared" si="15"/>
        <v>57036.485</v>
      </c>
      <c r="Z76" s="145">
        <f t="shared" si="15"/>
        <v>27837.90578</v>
      </c>
      <c r="AA76" s="465"/>
    </row>
    <row r="77">
      <c r="A77" s="445"/>
      <c r="B77" s="446"/>
      <c r="C77" s="447"/>
      <c r="D77" s="447"/>
      <c r="E77" s="194" t="s">
        <v>242</v>
      </c>
      <c r="F77" s="155" t="s">
        <v>103</v>
      </c>
      <c r="G77" s="460" t="s">
        <v>112</v>
      </c>
      <c r="H77" s="151" t="s">
        <v>124</v>
      </c>
      <c r="I77" s="145">
        <f t="shared" ref="I77:Z77" si="16">-I76</f>
        <v>-89726.87111</v>
      </c>
      <c r="J77" s="145">
        <f t="shared" si="16"/>
        <v>-21089.50331</v>
      </c>
      <c r="K77" s="145">
        <f t="shared" si="16"/>
        <v>-13202.71181</v>
      </c>
      <c r="L77" s="145">
        <f t="shared" si="16"/>
        <v>-18663.53632</v>
      </c>
      <c r="M77" s="145">
        <f t="shared" si="16"/>
        <v>-18096.42601</v>
      </c>
      <c r="N77" s="145">
        <f t="shared" si="16"/>
        <v>-31698.64459</v>
      </c>
      <c r="O77" s="145">
        <f t="shared" si="16"/>
        <v>-29157.49244</v>
      </c>
      <c r="P77" s="145">
        <f t="shared" si="16"/>
        <v>-69686.30817</v>
      </c>
      <c r="Q77" s="145">
        <f t="shared" si="16"/>
        <v>-50145.00084</v>
      </c>
      <c r="R77" s="145">
        <f t="shared" si="16"/>
        <v>-43004.601</v>
      </c>
      <c r="S77" s="145">
        <f t="shared" si="16"/>
        <v>-103797.9694</v>
      </c>
      <c r="T77" s="145">
        <f t="shared" si="16"/>
        <v>-61323.76704</v>
      </c>
      <c r="U77" s="145">
        <f t="shared" si="16"/>
        <v>-74249.27626</v>
      </c>
      <c r="V77" s="145">
        <f t="shared" si="16"/>
        <v>-82577.38168</v>
      </c>
      <c r="W77" s="145">
        <f t="shared" si="16"/>
        <v>-48094.33365</v>
      </c>
      <c r="X77" s="145">
        <f t="shared" si="16"/>
        <v>-105482.9522</v>
      </c>
      <c r="Y77" s="145">
        <f t="shared" si="16"/>
        <v>-57036.485</v>
      </c>
      <c r="Z77" s="145">
        <f t="shared" si="16"/>
        <v>-27837.90578</v>
      </c>
      <c r="AA77" s="465"/>
    </row>
    <row r="78">
      <c r="A78" s="445"/>
      <c r="B78" s="446"/>
      <c r="C78" s="447"/>
      <c r="D78" s="447"/>
      <c r="E78" s="194" t="s">
        <v>244</v>
      </c>
      <c r="F78" s="155" t="str">
        <f>F31</f>
        <v>%</v>
      </c>
      <c r="G78" s="460" t="s">
        <v>38</v>
      </c>
      <c r="H78" s="480" t="str">
        <f t="shared" ref="H78:Z78" si="17">H31</f>
        <v>-</v>
      </c>
      <c r="I78" s="150">
        <f t="shared" si="17"/>
        <v>0.5</v>
      </c>
      <c r="J78" s="150">
        <f t="shared" si="17"/>
        <v>0.45</v>
      </c>
      <c r="K78" s="150">
        <f t="shared" si="17"/>
        <v>0.15</v>
      </c>
      <c r="L78" s="150">
        <f t="shared" si="17"/>
        <v>0.15</v>
      </c>
      <c r="M78" s="150">
        <f t="shared" si="17"/>
        <v>0.15</v>
      </c>
      <c r="N78" s="150">
        <f t="shared" si="17"/>
        <v>0.15</v>
      </c>
      <c r="O78" s="150">
        <f t="shared" si="17"/>
        <v>0.2</v>
      </c>
      <c r="P78" s="150">
        <f t="shared" si="17"/>
        <v>0.2</v>
      </c>
      <c r="Q78" s="150">
        <f t="shared" si="17"/>
        <v>0.1</v>
      </c>
      <c r="R78" s="150">
        <f t="shared" si="17"/>
        <v>0.1</v>
      </c>
      <c r="S78" s="150">
        <f t="shared" si="17"/>
        <v>0.2</v>
      </c>
      <c r="T78" s="150">
        <f t="shared" si="17"/>
        <v>0.1</v>
      </c>
      <c r="U78" s="150">
        <f t="shared" si="17"/>
        <v>0.2</v>
      </c>
      <c r="V78" s="150">
        <f t="shared" si="17"/>
        <v>0.2</v>
      </c>
      <c r="W78" s="150">
        <f t="shared" si="17"/>
        <v>0.2</v>
      </c>
      <c r="X78" s="150">
        <f t="shared" si="17"/>
        <v>0.2</v>
      </c>
      <c r="Y78" s="150">
        <f t="shared" si="17"/>
        <v>0.65</v>
      </c>
      <c r="Z78" s="150">
        <f t="shared" si="17"/>
        <v>0.3</v>
      </c>
      <c r="AA78" s="465"/>
    </row>
    <row r="79">
      <c r="A79" s="445"/>
      <c r="B79" s="446"/>
      <c r="C79" s="447"/>
      <c r="D79" s="447"/>
      <c r="E79" s="203" t="s">
        <v>245</v>
      </c>
      <c r="F79" s="175" t="s">
        <v>103</v>
      </c>
      <c r="G79" s="485" t="s">
        <v>112</v>
      </c>
      <c r="H79" s="163" t="s">
        <v>124</v>
      </c>
      <c r="I79" s="182">
        <f t="shared" ref="I79:Z79" si="18">I77*I78</f>
        <v>-44863.43555</v>
      </c>
      <c r="J79" s="182">
        <f t="shared" si="18"/>
        <v>-9490.27649</v>
      </c>
      <c r="K79" s="182">
        <f t="shared" si="18"/>
        <v>-1980.406771</v>
      </c>
      <c r="L79" s="182">
        <f t="shared" si="18"/>
        <v>-2799.530448</v>
      </c>
      <c r="M79" s="182">
        <f t="shared" si="18"/>
        <v>-2714.463902</v>
      </c>
      <c r="N79" s="182">
        <f t="shared" si="18"/>
        <v>-4754.796688</v>
      </c>
      <c r="O79" s="182">
        <f t="shared" si="18"/>
        <v>-5831.498487</v>
      </c>
      <c r="P79" s="182">
        <f t="shared" si="18"/>
        <v>-13937.26163</v>
      </c>
      <c r="Q79" s="182">
        <f t="shared" si="18"/>
        <v>-5014.500084</v>
      </c>
      <c r="R79" s="182">
        <f t="shared" si="18"/>
        <v>-4300.4601</v>
      </c>
      <c r="S79" s="182">
        <f t="shared" si="18"/>
        <v>-20759.59388</v>
      </c>
      <c r="T79" s="182">
        <f t="shared" si="18"/>
        <v>-6132.376704</v>
      </c>
      <c r="U79" s="182">
        <f t="shared" si="18"/>
        <v>-14849.85525</v>
      </c>
      <c r="V79" s="182">
        <f t="shared" si="18"/>
        <v>-16515.47634</v>
      </c>
      <c r="W79" s="182">
        <f t="shared" si="18"/>
        <v>-9618.866729</v>
      </c>
      <c r="X79" s="182">
        <f t="shared" si="18"/>
        <v>-21096.59044</v>
      </c>
      <c r="Y79" s="182">
        <f t="shared" si="18"/>
        <v>-37073.71525</v>
      </c>
      <c r="Z79" s="182">
        <f t="shared" si="18"/>
        <v>-8351.371733</v>
      </c>
      <c r="AA79" s="486"/>
    </row>
    <row r="80">
      <c r="A80" s="445"/>
      <c r="B80" s="446"/>
      <c r="C80" s="447"/>
      <c r="D80" s="447"/>
      <c r="E80" s="169"/>
      <c r="F80" s="448"/>
      <c r="G80" s="450"/>
      <c r="H80" s="451"/>
      <c r="I80" s="383"/>
      <c r="J80" s="383"/>
      <c r="K80" s="383"/>
      <c r="L80" s="383"/>
      <c r="M80" s="383"/>
      <c r="N80" s="383"/>
      <c r="O80" s="383"/>
      <c r="P80" s="383"/>
      <c r="Q80" s="383"/>
      <c r="R80" s="383"/>
      <c r="S80" s="383"/>
      <c r="T80" s="383"/>
      <c r="U80" s="383"/>
      <c r="V80" s="383"/>
      <c r="W80" s="383"/>
      <c r="X80" s="383"/>
      <c r="Y80" s="383"/>
      <c r="Z80" s="383"/>
      <c r="AA80" s="453"/>
    </row>
    <row r="81">
      <c r="A81" s="445"/>
      <c r="B81" s="446"/>
      <c r="C81" s="188" t="s">
        <v>301</v>
      </c>
      <c r="F81" s="448"/>
      <c r="G81" s="450"/>
      <c r="H81" s="451"/>
      <c r="I81" s="383"/>
      <c r="J81" s="383"/>
      <c r="K81" s="383"/>
      <c r="L81" s="383"/>
      <c r="M81" s="383"/>
      <c r="N81" s="383"/>
      <c r="O81" s="383"/>
      <c r="P81" s="383"/>
      <c r="Q81" s="383"/>
      <c r="R81" s="383"/>
      <c r="S81" s="383"/>
      <c r="T81" s="383"/>
      <c r="U81" s="383"/>
      <c r="V81" s="383"/>
      <c r="W81" s="383"/>
      <c r="X81" s="383"/>
      <c r="Y81" s="383"/>
      <c r="Z81" s="383"/>
      <c r="AA81" s="453"/>
    </row>
    <row r="82">
      <c r="A82" s="445"/>
      <c r="B82" s="446"/>
      <c r="C82" s="447"/>
      <c r="D82" s="454" t="s">
        <v>236</v>
      </c>
      <c r="E82" s="100"/>
      <c r="F82" s="455"/>
      <c r="G82" s="456"/>
      <c r="H82" s="134"/>
      <c r="I82" s="457"/>
      <c r="J82" s="457"/>
      <c r="K82" s="457"/>
      <c r="L82" s="457"/>
      <c r="M82" s="457"/>
      <c r="N82" s="457"/>
      <c r="O82" s="457"/>
      <c r="P82" s="457"/>
      <c r="Q82" s="457"/>
      <c r="R82" s="457"/>
      <c r="S82" s="457"/>
      <c r="T82" s="457"/>
      <c r="U82" s="457"/>
      <c r="V82" s="457"/>
      <c r="W82" s="457"/>
      <c r="X82" s="457"/>
      <c r="Y82" s="457"/>
      <c r="Z82" s="457"/>
      <c r="AA82" s="458"/>
    </row>
    <row r="83">
      <c r="A83" s="445"/>
      <c r="B83" s="446"/>
      <c r="C83" s="447"/>
      <c r="D83" s="447"/>
      <c r="E83" s="189" t="s">
        <v>306</v>
      </c>
      <c r="F83" s="455" t="s">
        <v>95</v>
      </c>
      <c r="G83" s="456" t="s">
        <v>112</v>
      </c>
      <c r="H83" s="134" t="s">
        <v>124</v>
      </c>
      <c r="I83" s="457">
        <f t="shared" ref="I83:Z83" si="19">I21*(1-I38)</f>
        <v>116892.0201</v>
      </c>
      <c r="J83" s="457">
        <f t="shared" si="19"/>
        <v>118118.6089</v>
      </c>
      <c r="K83" s="457">
        <f t="shared" si="19"/>
        <v>118118.6089</v>
      </c>
      <c r="L83" s="457">
        <f t="shared" si="19"/>
        <v>118118.6089</v>
      </c>
      <c r="M83" s="457">
        <f t="shared" si="19"/>
        <v>118118.6089</v>
      </c>
      <c r="N83" s="457">
        <f t="shared" si="19"/>
        <v>118118.6089</v>
      </c>
      <c r="O83" s="457">
        <f t="shared" si="19"/>
        <v>118118.6089</v>
      </c>
      <c r="P83" s="457">
        <f t="shared" si="19"/>
        <v>112530.8241</v>
      </c>
      <c r="Q83" s="457">
        <f t="shared" si="19"/>
        <v>112530.8241</v>
      </c>
      <c r="R83" s="457">
        <f t="shared" si="19"/>
        <v>112530.8241</v>
      </c>
      <c r="S83" s="457">
        <f t="shared" si="19"/>
        <v>112530.8241</v>
      </c>
      <c r="T83" s="457">
        <f t="shared" si="19"/>
        <v>112530.8241</v>
      </c>
      <c r="U83" s="457">
        <f t="shared" si="19"/>
        <v>112530.8241</v>
      </c>
      <c r="V83" s="457">
        <f t="shared" si="19"/>
        <v>112530.8241</v>
      </c>
      <c r="W83" s="457">
        <f t="shared" si="19"/>
        <v>112530.8241</v>
      </c>
      <c r="X83" s="457">
        <f t="shared" si="19"/>
        <v>112530.8241</v>
      </c>
      <c r="Y83" s="457">
        <f t="shared" si="19"/>
        <v>112906.3527</v>
      </c>
      <c r="Z83" s="457">
        <f t="shared" si="19"/>
        <v>118118.6089</v>
      </c>
      <c r="AA83" s="458"/>
    </row>
    <row r="84">
      <c r="A84" s="445"/>
      <c r="B84" s="446"/>
      <c r="C84" s="447"/>
      <c r="D84" s="447"/>
      <c r="E84" s="194" t="s">
        <v>313</v>
      </c>
      <c r="F84" s="155" t="s">
        <v>103</v>
      </c>
      <c r="G84" s="460" t="s">
        <v>112</v>
      </c>
      <c r="H84" s="151" t="s">
        <v>124</v>
      </c>
      <c r="I84" s="145">
        <f t="shared" ref="I84:Z84" si="20">I83*$H56</f>
        <v>591.1229457</v>
      </c>
      <c r="J84" s="145">
        <f t="shared" si="20"/>
        <v>597.3258052</v>
      </c>
      <c r="K84" s="145">
        <f t="shared" si="20"/>
        <v>597.3258052</v>
      </c>
      <c r="L84" s="145">
        <f t="shared" si="20"/>
        <v>597.3258052</v>
      </c>
      <c r="M84" s="145">
        <f t="shared" si="20"/>
        <v>597.3258052</v>
      </c>
      <c r="N84" s="145">
        <f t="shared" si="20"/>
        <v>597.3258052</v>
      </c>
      <c r="O84" s="145">
        <f t="shared" si="20"/>
        <v>597.3258052</v>
      </c>
      <c r="P84" s="145">
        <f t="shared" si="20"/>
        <v>569.0683773</v>
      </c>
      <c r="Q84" s="145">
        <f t="shared" si="20"/>
        <v>569.0683773</v>
      </c>
      <c r="R84" s="145">
        <f t="shared" si="20"/>
        <v>569.0683773</v>
      </c>
      <c r="S84" s="145">
        <f t="shared" si="20"/>
        <v>569.0683773</v>
      </c>
      <c r="T84" s="145">
        <f t="shared" si="20"/>
        <v>569.0683773</v>
      </c>
      <c r="U84" s="145">
        <f t="shared" si="20"/>
        <v>569.0683773</v>
      </c>
      <c r="V84" s="145">
        <f t="shared" si="20"/>
        <v>569.0683773</v>
      </c>
      <c r="W84" s="145">
        <f t="shared" si="20"/>
        <v>569.0683773</v>
      </c>
      <c r="X84" s="145">
        <f t="shared" si="20"/>
        <v>569.0683773</v>
      </c>
      <c r="Y84" s="145">
        <f t="shared" si="20"/>
        <v>570.9674257</v>
      </c>
      <c r="Z84" s="145">
        <f t="shared" si="20"/>
        <v>597.3258052</v>
      </c>
      <c r="AA84" s="465"/>
    </row>
    <row r="85">
      <c r="A85" s="445"/>
      <c r="B85" s="446"/>
      <c r="C85" s="447"/>
      <c r="D85" s="447"/>
      <c r="E85" s="194" t="s">
        <v>320</v>
      </c>
      <c r="F85" s="155" t="s">
        <v>103</v>
      </c>
      <c r="G85" s="460" t="s">
        <v>112</v>
      </c>
      <c r="H85" s="151" t="s">
        <v>124</v>
      </c>
      <c r="I85" s="230">
        <v>0.0</v>
      </c>
      <c r="J85" s="230">
        <v>0.0</v>
      </c>
      <c r="K85" s="230">
        <v>0.0</v>
      </c>
      <c r="L85" s="230">
        <v>0.0</v>
      </c>
      <c r="M85" s="230">
        <v>0.0</v>
      </c>
      <c r="N85" s="230">
        <v>0.0</v>
      </c>
      <c r="O85" s="230">
        <v>0.0</v>
      </c>
      <c r="P85" s="230">
        <v>0.0</v>
      </c>
      <c r="Q85" s="230">
        <v>0.0</v>
      </c>
      <c r="R85" s="230">
        <v>0.0</v>
      </c>
      <c r="S85" s="230">
        <v>0.0</v>
      </c>
      <c r="T85" s="230">
        <v>0.0</v>
      </c>
      <c r="U85" s="230">
        <v>0.0</v>
      </c>
      <c r="V85" s="230">
        <v>0.0</v>
      </c>
      <c r="W85" s="230">
        <v>0.0</v>
      </c>
      <c r="X85" s="230">
        <v>0.0</v>
      </c>
      <c r="Y85" s="230">
        <v>0.0</v>
      </c>
      <c r="Z85" s="230">
        <v>0.0</v>
      </c>
      <c r="AA85" s="465"/>
    </row>
    <row r="86">
      <c r="A86" s="445"/>
      <c r="B86" s="446"/>
      <c r="C86" s="447"/>
      <c r="D86" s="447"/>
      <c r="E86" s="194" t="s">
        <v>324</v>
      </c>
      <c r="F86" s="155" t="s">
        <v>103</v>
      </c>
      <c r="G86" s="460" t="s">
        <v>112</v>
      </c>
      <c r="H86" s="151" t="s">
        <v>124</v>
      </c>
      <c r="I86" s="145">
        <f t="shared" ref="I86:Z86" si="21">I84-I85</f>
        <v>591.1229457</v>
      </c>
      <c r="J86" s="145">
        <f t="shared" si="21"/>
        <v>597.3258052</v>
      </c>
      <c r="K86" s="145">
        <f t="shared" si="21"/>
        <v>597.3258052</v>
      </c>
      <c r="L86" s="145">
        <f t="shared" si="21"/>
        <v>597.3258052</v>
      </c>
      <c r="M86" s="145">
        <f t="shared" si="21"/>
        <v>597.3258052</v>
      </c>
      <c r="N86" s="145">
        <f t="shared" si="21"/>
        <v>597.3258052</v>
      </c>
      <c r="O86" s="145">
        <f t="shared" si="21"/>
        <v>597.3258052</v>
      </c>
      <c r="P86" s="145">
        <f t="shared" si="21"/>
        <v>569.0683773</v>
      </c>
      <c r="Q86" s="145">
        <f t="shared" si="21"/>
        <v>569.0683773</v>
      </c>
      <c r="R86" s="145">
        <f t="shared" si="21"/>
        <v>569.0683773</v>
      </c>
      <c r="S86" s="145">
        <f t="shared" si="21"/>
        <v>569.0683773</v>
      </c>
      <c r="T86" s="145">
        <f t="shared" si="21"/>
        <v>569.0683773</v>
      </c>
      <c r="U86" s="145">
        <f t="shared" si="21"/>
        <v>569.0683773</v>
      </c>
      <c r="V86" s="145">
        <f t="shared" si="21"/>
        <v>569.0683773</v>
      </c>
      <c r="W86" s="145">
        <f t="shared" si="21"/>
        <v>569.0683773</v>
      </c>
      <c r="X86" s="145">
        <f t="shared" si="21"/>
        <v>569.0683773</v>
      </c>
      <c r="Y86" s="145">
        <f t="shared" si="21"/>
        <v>570.9674257</v>
      </c>
      <c r="Z86" s="145">
        <f t="shared" si="21"/>
        <v>597.3258052</v>
      </c>
      <c r="AA86" s="465"/>
    </row>
    <row r="87">
      <c r="A87" s="445"/>
      <c r="B87" s="446"/>
      <c r="C87" s="447"/>
      <c r="D87" s="447"/>
      <c r="E87" s="194" t="s">
        <v>242</v>
      </c>
      <c r="F87" s="155" t="s">
        <v>103</v>
      </c>
      <c r="G87" s="460" t="s">
        <v>112</v>
      </c>
      <c r="H87" s="151" t="s">
        <v>124</v>
      </c>
      <c r="I87" s="145">
        <f t="shared" ref="I87:Z87" si="22">-I86</f>
        <v>-591.1229457</v>
      </c>
      <c r="J87" s="145">
        <f t="shared" si="22"/>
        <v>-597.3258052</v>
      </c>
      <c r="K87" s="145">
        <f t="shared" si="22"/>
        <v>-597.3258052</v>
      </c>
      <c r="L87" s="145">
        <f t="shared" si="22"/>
        <v>-597.3258052</v>
      </c>
      <c r="M87" s="145">
        <f t="shared" si="22"/>
        <v>-597.3258052</v>
      </c>
      <c r="N87" s="145">
        <f t="shared" si="22"/>
        <v>-597.3258052</v>
      </c>
      <c r="O87" s="145">
        <f t="shared" si="22"/>
        <v>-597.3258052</v>
      </c>
      <c r="P87" s="145">
        <f t="shared" si="22"/>
        <v>-569.0683773</v>
      </c>
      <c r="Q87" s="145">
        <f t="shared" si="22"/>
        <v>-569.0683773</v>
      </c>
      <c r="R87" s="145">
        <f t="shared" si="22"/>
        <v>-569.0683773</v>
      </c>
      <c r="S87" s="145">
        <f t="shared" si="22"/>
        <v>-569.0683773</v>
      </c>
      <c r="T87" s="145">
        <f t="shared" si="22"/>
        <v>-569.0683773</v>
      </c>
      <c r="U87" s="145">
        <f t="shared" si="22"/>
        <v>-569.0683773</v>
      </c>
      <c r="V87" s="145">
        <f t="shared" si="22"/>
        <v>-569.0683773</v>
      </c>
      <c r="W87" s="145">
        <f t="shared" si="22"/>
        <v>-569.0683773</v>
      </c>
      <c r="X87" s="145">
        <f t="shared" si="22"/>
        <v>-569.0683773</v>
      </c>
      <c r="Y87" s="145">
        <f t="shared" si="22"/>
        <v>-570.9674257</v>
      </c>
      <c r="Z87" s="145">
        <f t="shared" si="22"/>
        <v>-597.3258052</v>
      </c>
      <c r="AA87" s="465"/>
    </row>
    <row r="88">
      <c r="A88" s="445"/>
      <c r="B88" s="446"/>
      <c r="C88" s="447"/>
      <c r="D88" s="447"/>
      <c r="E88" s="194" t="s">
        <v>244</v>
      </c>
      <c r="F88" s="155" t="str">
        <f>F32</f>
        <v>%</v>
      </c>
      <c r="G88" s="460" t="s">
        <v>38</v>
      </c>
      <c r="H88" s="480" t="str">
        <f t="shared" ref="H88:Z88" si="23">H32</f>
        <v>-</v>
      </c>
      <c r="I88" s="150">
        <f t="shared" si="23"/>
        <v>0</v>
      </c>
      <c r="J88" s="150">
        <f t="shared" si="23"/>
        <v>0</v>
      </c>
      <c r="K88" s="150">
        <f t="shared" si="23"/>
        <v>0</v>
      </c>
      <c r="L88" s="150">
        <f t="shared" si="23"/>
        <v>0</v>
      </c>
      <c r="M88" s="150">
        <f t="shared" si="23"/>
        <v>0</v>
      </c>
      <c r="N88" s="150">
        <f t="shared" si="23"/>
        <v>0</v>
      </c>
      <c r="O88" s="150">
        <f t="shared" si="23"/>
        <v>0</v>
      </c>
      <c r="P88" s="150">
        <f t="shared" si="23"/>
        <v>0</v>
      </c>
      <c r="Q88" s="150">
        <f t="shared" si="23"/>
        <v>0</v>
      </c>
      <c r="R88" s="150">
        <f t="shared" si="23"/>
        <v>0</v>
      </c>
      <c r="S88" s="150">
        <f t="shared" si="23"/>
        <v>0</v>
      </c>
      <c r="T88" s="150">
        <f t="shared" si="23"/>
        <v>0</v>
      </c>
      <c r="U88" s="150">
        <f t="shared" si="23"/>
        <v>0</v>
      </c>
      <c r="V88" s="150">
        <f t="shared" si="23"/>
        <v>0</v>
      </c>
      <c r="W88" s="150">
        <f t="shared" si="23"/>
        <v>0</v>
      </c>
      <c r="X88" s="150">
        <f t="shared" si="23"/>
        <v>0</v>
      </c>
      <c r="Y88" s="150">
        <f t="shared" si="23"/>
        <v>0</v>
      </c>
      <c r="Z88" s="150">
        <f t="shared" si="23"/>
        <v>0</v>
      </c>
      <c r="AA88" s="465"/>
    </row>
    <row r="89">
      <c r="A89" s="445"/>
      <c r="B89" s="446"/>
      <c r="C89" s="447"/>
      <c r="D89" s="447"/>
      <c r="E89" s="203" t="s">
        <v>340</v>
      </c>
      <c r="F89" s="175" t="s">
        <v>103</v>
      </c>
      <c r="G89" s="485" t="s">
        <v>112</v>
      </c>
      <c r="H89" s="163" t="s">
        <v>124</v>
      </c>
      <c r="I89" s="182">
        <f t="shared" ref="I89:Z89" si="24">I87*I88</f>
        <v>0</v>
      </c>
      <c r="J89" s="182">
        <f t="shared" si="24"/>
        <v>0</v>
      </c>
      <c r="K89" s="182">
        <f t="shared" si="24"/>
        <v>0</v>
      </c>
      <c r="L89" s="182">
        <f t="shared" si="24"/>
        <v>0</v>
      </c>
      <c r="M89" s="182">
        <f t="shared" si="24"/>
        <v>0</v>
      </c>
      <c r="N89" s="182">
        <f t="shared" si="24"/>
        <v>0</v>
      </c>
      <c r="O89" s="182">
        <f t="shared" si="24"/>
        <v>0</v>
      </c>
      <c r="P89" s="182">
        <f t="shared" si="24"/>
        <v>0</v>
      </c>
      <c r="Q89" s="182">
        <f t="shared" si="24"/>
        <v>0</v>
      </c>
      <c r="R89" s="182">
        <f t="shared" si="24"/>
        <v>0</v>
      </c>
      <c r="S89" s="182">
        <f t="shared" si="24"/>
        <v>0</v>
      </c>
      <c r="T89" s="182">
        <f t="shared" si="24"/>
        <v>0</v>
      </c>
      <c r="U89" s="182">
        <f t="shared" si="24"/>
        <v>0</v>
      </c>
      <c r="V89" s="182">
        <f t="shared" si="24"/>
        <v>0</v>
      </c>
      <c r="W89" s="182">
        <f t="shared" si="24"/>
        <v>0</v>
      </c>
      <c r="X89" s="182">
        <f t="shared" si="24"/>
        <v>0</v>
      </c>
      <c r="Y89" s="182">
        <f t="shared" si="24"/>
        <v>0</v>
      </c>
      <c r="Z89" s="182">
        <f t="shared" si="24"/>
        <v>0</v>
      </c>
      <c r="AA89" s="486"/>
    </row>
    <row r="90">
      <c r="A90" s="445"/>
      <c r="B90" s="446"/>
      <c r="C90" s="447"/>
      <c r="D90" s="447"/>
      <c r="E90" s="169"/>
      <c r="F90" s="448"/>
      <c r="G90" s="450"/>
      <c r="H90" s="451"/>
      <c r="I90" s="383"/>
      <c r="J90" s="383"/>
      <c r="K90" s="383"/>
      <c r="L90" s="383"/>
      <c r="M90" s="383"/>
      <c r="N90" s="383"/>
      <c r="O90" s="383"/>
      <c r="P90" s="383"/>
      <c r="Q90" s="383"/>
      <c r="R90" s="383"/>
      <c r="S90" s="383"/>
      <c r="T90" s="383"/>
      <c r="U90" s="383"/>
      <c r="V90" s="383"/>
      <c r="W90" s="383"/>
      <c r="X90" s="383"/>
      <c r="Y90" s="383"/>
      <c r="Z90" s="383"/>
      <c r="AA90" s="453"/>
    </row>
    <row r="91">
      <c r="A91" s="445"/>
      <c r="B91" s="446"/>
      <c r="C91" s="188" t="s">
        <v>345</v>
      </c>
      <c r="F91" s="448"/>
      <c r="G91" s="450"/>
      <c r="H91" s="451"/>
      <c r="I91" s="383"/>
      <c r="J91" s="383"/>
      <c r="K91" s="383"/>
      <c r="L91" s="383"/>
      <c r="M91" s="383"/>
      <c r="N91" s="383"/>
      <c r="O91" s="383"/>
      <c r="P91" s="383"/>
      <c r="Q91" s="383"/>
      <c r="R91" s="383"/>
      <c r="S91" s="383"/>
      <c r="T91" s="383"/>
      <c r="U91" s="383"/>
      <c r="V91" s="383"/>
      <c r="W91" s="383"/>
      <c r="X91" s="383"/>
      <c r="Y91" s="383"/>
      <c r="Z91" s="383"/>
      <c r="AA91" s="453"/>
    </row>
    <row r="92">
      <c r="A92" s="445"/>
      <c r="B92" s="446"/>
      <c r="C92" s="447"/>
      <c r="D92" s="454" t="s">
        <v>236</v>
      </c>
      <c r="E92" s="100"/>
      <c r="F92" s="455"/>
      <c r="G92" s="456"/>
      <c r="H92" s="134"/>
      <c r="I92" s="457"/>
      <c r="J92" s="457"/>
      <c r="K92" s="457"/>
      <c r="L92" s="457"/>
      <c r="M92" s="457"/>
      <c r="N92" s="457"/>
      <c r="O92" s="457"/>
      <c r="P92" s="457"/>
      <c r="Q92" s="457"/>
      <c r="R92" s="457"/>
      <c r="S92" s="457"/>
      <c r="T92" s="457"/>
      <c r="U92" s="457"/>
      <c r="V92" s="457"/>
      <c r="W92" s="457"/>
      <c r="X92" s="457"/>
      <c r="Y92" s="457"/>
      <c r="Z92" s="457"/>
      <c r="AA92" s="458"/>
    </row>
    <row r="93">
      <c r="A93" s="445"/>
      <c r="B93" s="446"/>
      <c r="C93" s="447"/>
      <c r="D93" s="447"/>
      <c r="E93" s="189" t="s">
        <v>306</v>
      </c>
      <c r="F93" s="455" t="s">
        <v>95</v>
      </c>
      <c r="G93" s="456" t="s">
        <v>112</v>
      </c>
      <c r="H93" s="134" t="s">
        <v>124</v>
      </c>
      <c r="I93" s="457">
        <f t="shared" ref="I93:Z93" si="25">I21</f>
        <v>117962.8723</v>
      </c>
      <c r="J93" s="457">
        <f t="shared" si="25"/>
        <v>118118.6089</v>
      </c>
      <c r="K93" s="457">
        <f t="shared" si="25"/>
        <v>118118.6089</v>
      </c>
      <c r="L93" s="457">
        <f t="shared" si="25"/>
        <v>118118.6089</v>
      </c>
      <c r="M93" s="457">
        <f t="shared" si="25"/>
        <v>118118.6089</v>
      </c>
      <c r="N93" s="457">
        <f t="shared" si="25"/>
        <v>118118.6089</v>
      </c>
      <c r="O93" s="457">
        <f t="shared" si="25"/>
        <v>118118.6089</v>
      </c>
      <c r="P93" s="457">
        <f t="shared" si="25"/>
        <v>117553.2432</v>
      </c>
      <c r="Q93" s="457">
        <f t="shared" si="25"/>
        <v>117553.2432</v>
      </c>
      <c r="R93" s="457">
        <f t="shared" si="25"/>
        <v>117553.2432</v>
      </c>
      <c r="S93" s="457">
        <f t="shared" si="25"/>
        <v>117553.2432</v>
      </c>
      <c r="T93" s="457">
        <f t="shared" si="25"/>
        <v>117553.2432</v>
      </c>
      <c r="U93" s="457">
        <f t="shared" si="25"/>
        <v>117553.2432</v>
      </c>
      <c r="V93" s="457">
        <f t="shared" si="25"/>
        <v>117553.2432</v>
      </c>
      <c r="W93" s="457">
        <f t="shared" si="25"/>
        <v>117553.2432</v>
      </c>
      <c r="X93" s="457">
        <f t="shared" si="25"/>
        <v>117553.2432</v>
      </c>
      <c r="Y93" s="457">
        <f t="shared" si="25"/>
        <v>116066.552</v>
      </c>
      <c r="Z93" s="457">
        <f t="shared" si="25"/>
        <v>118118.6089</v>
      </c>
      <c r="AA93" s="458"/>
    </row>
    <row r="94">
      <c r="A94" s="445"/>
      <c r="B94" s="446"/>
      <c r="C94" s="447"/>
      <c r="D94" s="447"/>
      <c r="E94" s="194" t="s">
        <v>352</v>
      </c>
      <c r="F94" s="155" t="s">
        <v>103</v>
      </c>
      <c r="G94" s="460" t="s">
        <v>112</v>
      </c>
      <c r="H94" s="151" t="s">
        <v>124</v>
      </c>
      <c r="I94" s="145">
        <f t="shared" ref="I94:Z94" si="26">I93*$H56</f>
        <v>596.5382453</v>
      </c>
      <c r="J94" s="145">
        <f t="shared" si="26"/>
        <v>597.3258052</v>
      </c>
      <c r="K94" s="145">
        <f t="shared" si="26"/>
        <v>597.3258052</v>
      </c>
      <c r="L94" s="145">
        <f t="shared" si="26"/>
        <v>597.3258052</v>
      </c>
      <c r="M94" s="145">
        <f t="shared" si="26"/>
        <v>597.3258052</v>
      </c>
      <c r="N94" s="145">
        <f t="shared" si="26"/>
        <v>597.3258052</v>
      </c>
      <c r="O94" s="145">
        <f t="shared" si="26"/>
        <v>597.3258052</v>
      </c>
      <c r="P94" s="145">
        <f t="shared" si="26"/>
        <v>594.4667507</v>
      </c>
      <c r="Q94" s="145">
        <f t="shared" si="26"/>
        <v>594.4667507</v>
      </c>
      <c r="R94" s="145">
        <f t="shared" si="26"/>
        <v>594.4667507</v>
      </c>
      <c r="S94" s="145">
        <f t="shared" si="26"/>
        <v>594.4667507</v>
      </c>
      <c r="T94" s="145">
        <f t="shared" si="26"/>
        <v>594.4667507</v>
      </c>
      <c r="U94" s="145">
        <f t="shared" si="26"/>
        <v>594.4667507</v>
      </c>
      <c r="V94" s="145">
        <f t="shared" si="26"/>
        <v>594.4667507</v>
      </c>
      <c r="W94" s="145">
        <f t="shared" si="26"/>
        <v>594.4667507</v>
      </c>
      <c r="X94" s="145">
        <f t="shared" si="26"/>
        <v>594.4667507</v>
      </c>
      <c r="Y94" s="145">
        <f t="shared" si="26"/>
        <v>586.9485536</v>
      </c>
      <c r="Z94" s="145">
        <f t="shared" si="26"/>
        <v>597.3258052</v>
      </c>
      <c r="AA94" s="465"/>
    </row>
    <row r="95">
      <c r="A95" s="445"/>
      <c r="B95" s="446"/>
      <c r="C95" s="447"/>
      <c r="D95" s="447"/>
      <c r="E95" s="194" t="s">
        <v>320</v>
      </c>
      <c r="F95" s="155" t="s">
        <v>103</v>
      </c>
      <c r="G95" s="460" t="s">
        <v>112</v>
      </c>
      <c r="H95" s="151" t="s">
        <v>124</v>
      </c>
      <c r="I95" s="230">
        <v>0.0</v>
      </c>
      <c r="J95" s="230">
        <v>0.0</v>
      </c>
      <c r="K95" s="230">
        <v>0.0</v>
      </c>
      <c r="L95" s="230">
        <v>0.0</v>
      </c>
      <c r="M95" s="230">
        <v>0.0</v>
      </c>
      <c r="N95" s="230">
        <v>0.0</v>
      </c>
      <c r="O95" s="230">
        <v>0.0</v>
      </c>
      <c r="P95" s="230">
        <v>0.0</v>
      </c>
      <c r="Q95" s="230">
        <v>0.0</v>
      </c>
      <c r="R95" s="230">
        <v>0.0</v>
      </c>
      <c r="S95" s="230">
        <v>0.0</v>
      </c>
      <c r="T95" s="230">
        <v>0.0</v>
      </c>
      <c r="U95" s="230">
        <v>0.0</v>
      </c>
      <c r="V95" s="230">
        <v>0.0</v>
      </c>
      <c r="W95" s="230">
        <v>0.0</v>
      </c>
      <c r="X95" s="230">
        <v>0.0</v>
      </c>
      <c r="Y95" s="230">
        <v>0.0</v>
      </c>
      <c r="Z95" s="230">
        <v>0.0</v>
      </c>
      <c r="AA95" s="465"/>
    </row>
    <row r="96">
      <c r="A96" s="445"/>
      <c r="B96" s="446"/>
      <c r="C96" s="447"/>
      <c r="D96" s="447"/>
      <c r="E96" s="194" t="s">
        <v>324</v>
      </c>
      <c r="F96" s="155" t="s">
        <v>103</v>
      </c>
      <c r="G96" s="460" t="s">
        <v>112</v>
      </c>
      <c r="H96" s="151" t="s">
        <v>124</v>
      </c>
      <c r="I96" s="145">
        <f t="shared" ref="I96:Z96" si="27">I94-I95</f>
        <v>596.5382453</v>
      </c>
      <c r="J96" s="145">
        <f t="shared" si="27"/>
        <v>597.3258052</v>
      </c>
      <c r="K96" s="145">
        <f t="shared" si="27"/>
        <v>597.3258052</v>
      </c>
      <c r="L96" s="145">
        <f t="shared" si="27"/>
        <v>597.3258052</v>
      </c>
      <c r="M96" s="145">
        <f t="shared" si="27"/>
        <v>597.3258052</v>
      </c>
      <c r="N96" s="145">
        <f t="shared" si="27"/>
        <v>597.3258052</v>
      </c>
      <c r="O96" s="145">
        <f t="shared" si="27"/>
        <v>597.3258052</v>
      </c>
      <c r="P96" s="145">
        <f t="shared" si="27"/>
        <v>594.4667507</v>
      </c>
      <c r="Q96" s="145">
        <f t="shared" si="27"/>
        <v>594.4667507</v>
      </c>
      <c r="R96" s="145">
        <f t="shared" si="27"/>
        <v>594.4667507</v>
      </c>
      <c r="S96" s="145">
        <f t="shared" si="27"/>
        <v>594.4667507</v>
      </c>
      <c r="T96" s="145">
        <f t="shared" si="27"/>
        <v>594.4667507</v>
      </c>
      <c r="U96" s="145">
        <f t="shared" si="27"/>
        <v>594.4667507</v>
      </c>
      <c r="V96" s="145">
        <f t="shared" si="27"/>
        <v>594.4667507</v>
      </c>
      <c r="W96" s="145">
        <f t="shared" si="27"/>
        <v>594.4667507</v>
      </c>
      <c r="X96" s="145">
        <f t="shared" si="27"/>
        <v>594.4667507</v>
      </c>
      <c r="Y96" s="145">
        <f t="shared" si="27"/>
        <v>586.9485536</v>
      </c>
      <c r="Z96" s="145">
        <f t="shared" si="27"/>
        <v>597.3258052</v>
      </c>
      <c r="AA96" s="465"/>
    </row>
    <row r="97">
      <c r="A97" s="445"/>
      <c r="B97" s="446"/>
      <c r="C97" s="447"/>
      <c r="D97" s="447"/>
      <c r="E97" s="194" t="s">
        <v>242</v>
      </c>
      <c r="F97" s="155" t="s">
        <v>103</v>
      </c>
      <c r="G97" s="460" t="s">
        <v>112</v>
      </c>
      <c r="H97" s="151" t="s">
        <v>124</v>
      </c>
      <c r="I97" s="145">
        <f t="shared" ref="I97:Z97" si="28">-I96</f>
        <v>-596.5382453</v>
      </c>
      <c r="J97" s="145">
        <f t="shared" si="28"/>
        <v>-597.3258052</v>
      </c>
      <c r="K97" s="145">
        <f t="shared" si="28"/>
        <v>-597.3258052</v>
      </c>
      <c r="L97" s="145">
        <f t="shared" si="28"/>
        <v>-597.3258052</v>
      </c>
      <c r="M97" s="145">
        <f t="shared" si="28"/>
        <v>-597.3258052</v>
      </c>
      <c r="N97" s="145">
        <f t="shared" si="28"/>
        <v>-597.3258052</v>
      </c>
      <c r="O97" s="145">
        <f t="shared" si="28"/>
        <v>-597.3258052</v>
      </c>
      <c r="P97" s="145">
        <f t="shared" si="28"/>
        <v>-594.4667507</v>
      </c>
      <c r="Q97" s="145">
        <f t="shared" si="28"/>
        <v>-594.4667507</v>
      </c>
      <c r="R97" s="145">
        <f t="shared" si="28"/>
        <v>-594.4667507</v>
      </c>
      <c r="S97" s="145">
        <f t="shared" si="28"/>
        <v>-594.4667507</v>
      </c>
      <c r="T97" s="145">
        <f t="shared" si="28"/>
        <v>-594.4667507</v>
      </c>
      <c r="U97" s="145">
        <f t="shared" si="28"/>
        <v>-594.4667507</v>
      </c>
      <c r="V97" s="145">
        <f t="shared" si="28"/>
        <v>-594.4667507</v>
      </c>
      <c r="W97" s="145">
        <f t="shared" si="28"/>
        <v>-594.4667507</v>
      </c>
      <c r="X97" s="145">
        <f t="shared" si="28"/>
        <v>-594.4667507</v>
      </c>
      <c r="Y97" s="145">
        <f t="shared" si="28"/>
        <v>-586.9485536</v>
      </c>
      <c r="Z97" s="145">
        <f t="shared" si="28"/>
        <v>-597.3258052</v>
      </c>
      <c r="AA97" s="465"/>
    </row>
    <row r="98">
      <c r="A98" s="445"/>
      <c r="B98" s="446"/>
      <c r="C98" s="447"/>
      <c r="D98" s="447"/>
      <c r="E98" s="194" t="s">
        <v>244</v>
      </c>
      <c r="F98" s="155" t="str">
        <f>F33</f>
        <v>%</v>
      </c>
      <c r="G98" s="460" t="s">
        <v>38</v>
      </c>
      <c r="H98" s="584" t="str">
        <f t="shared" ref="H98:Z98" si="29">H33</f>
        <v>-</v>
      </c>
      <c r="I98" s="150">
        <f t="shared" si="29"/>
        <v>0.5</v>
      </c>
      <c r="J98" s="150">
        <f t="shared" si="29"/>
        <v>0.55</v>
      </c>
      <c r="K98" s="150">
        <f t="shared" si="29"/>
        <v>0.85</v>
      </c>
      <c r="L98" s="150">
        <f t="shared" si="29"/>
        <v>0.85</v>
      </c>
      <c r="M98" s="150">
        <f t="shared" si="29"/>
        <v>0.85</v>
      </c>
      <c r="N98" s="150">
        <f t="shared" si="29"/>
        <v>0.85</v>
      </c>
      <c r="O98" s="150">
        <f t="shared" si="29"/>
        <v>0.8</v>
      </c>
      <c r="P98" s="150">
        <f t="shared" si="29"/>
        <v>0.8</v>
      </c>
      <c r="Q98" s="150">
        <f t="shared" si="29"/>
        <v>0.9</v>
      </c>
      <c r="R98" s="150">
        <f t="shared" si="29"/>
        <v>0.9</v>
      </c>
      <c r="S98" s="150">
        <f t="shared" si="29"/>
        <v>0.8</v>
      </c>
      <c r="T98" s="150">
        <f t="shared" si="29"/>
        <v>0.9</v>
      </c>
      <c r="U98" s="150">
        <f t="shared" si="29"/>
        <v>0.8</v>
      </c>
      <c r="V98" s="150">
        <f t="shared" si="29"/>
        <v>0.8</v>
      </c>
      <c r="W98" s="150">
        <f t="shared" si="29"/>
        <v>0.8</v>
      </c>
      <c r="X98" s="150">
        <f t="shared" si="29"/>
        <v>0.8</v>
      </c>
      <c r="Y98" s="150">
        <f t="shared" si="29"/>
        <v>0.35</v>
      </c>
      <c r="Z98" s="150">
        <f t="shared" si="29"/>
        <v>0.7</v>
      </c>
      <c r="AA98" s="465"/>
    </row>
    <row r="99">
      <c r="A99" s="445"/>
      <c r="B99" s="446"/>
      <c r="C99" s="447"/>
      <c r="D99" s="447"/>
      <c r="E99" s="203" t="s">
        <v>340</v>
      </c>
      <c r="F99" s="175" t="s">
        <v>103</v>
      </c>
      <c r="G99" s="485" t="s">
        <v>112</v>
      </c>
      <c r="H99" s="163" t="s">
        <v>124</v>
      </c>
      <c r="I99" s="182">
        <f t="shared" ref="I99:Z99" si="30">I97*I98</f>
        <v>-298.2691226</v>
      </c>
      <c r="J99" s="182">
        <f t="shared" si="30"/>
        <v>-328.5291929</v>
      </c>
      <c r="K99" s="182">
        <f t="shared" si="30"/>
        <v>-507.7269344</v>
      </c>
      <c r="L99" s="182">
        <f t="shared" si="30"/>
        <v>-507.7269344</v>
      </c>
      <c r="M99" s="182">
        <f t="shared" si="30"/>
        <v>-507.7269344</v>
      </c>
      <c r="N99" s="182">
        <f t="shared" si="30"/>
        <v>-507.7269344</v>
      </c>
      <c r="O99" s="182">
        <f t="shared" si="30"/>
        <v>-477.8606442</v>
      </c>
      <c r="P99" s="182">
        <f t="shared" si="30"/>
        <v>-475.5734006</v>
      </c>
      <c r="Q99" s="182">
        <f t="shared" si="30"/>
        <v>-535.0200756</v>
      </c>
      <c r="R99" s="182">
        <f t="shared" si="30"/>
        <v>-535.0200756</v>
      </c>
      <c r="S99" s="182">
        <f t="shared" si="30"/>
        <v>-475.5734006</v>
      </c>
      <c r="T99" s="182">
        <f t="shared" si="30"/>
        <v>-535.0200756</v>
      </c>
      <c r="U99" s="182">
        <f t="shared" si="30"/>
        <v>-475.5734006</v>
      </c>
      <c r="V99" s="182">
        <f t="shared" si="30"/>
        <v>-475.5734006</v>
      </c>
      <c r="W99" s="182">
        <f t="shared" si="30"/>
        <v>-475.5734006</v>
      </c>
      <c r="X99" s="182">
        <f t="shared" si="30"/>
        <v>-475.5734006</v>
      </c>
      <c r="Y99" s="182">
        <f t="shared" si="30"/>
        <v>-205.4319938</v>
      </c>
      <c r="Z99" s="182">
        <f t="shared" si="30"/>
        <v>-418.1280637</v>
      </c>
      <c r="AA99" s="486"/>
    </row>
    <row r="100">
      <c r="A100" s="445"/>
      <c r="B100" s="446"/>
      <c r="C100" s="447"/>
      <c r="D100" s="447"/>
      <c r="E100" s="169"/>
      <c r="F100" s="448"/>
      <c r="G100" s="450"/>
      <c r="H100" s="451"/>
      <c r="I100" s="383"/>
      <c r="J100" s="383"/>
      <c r="K100" s="383"/>
      <c r="L100" s="383"/>
      <c r="M100" s="383"/>
      <c r="N100" s="383"/>
      <c r="O100" s="383"/>
      <c r="P100" s="383"/>
      <c r="Q100" s="383"/>
      <c r="R100" s="383"/>
      <c r="S100" s="383"/>
      <c r="T100" s="383"/>
      <c r="U100" s="383"/>
      <c r="V100" s="383"/>
      <c r="W100" s="383"/>
      <c r="X100" s="383"/>
      <c r="Y100" s="383"/>
      <c r="Z100" s="383"/>
      <c r="AA100" s="453"/>
    </row>
    <row r="101">
      <c r="A101" s="588" t="s">
        <v>371</v>
      </c>
      <c r="B101" s="17"/>
      <c r="C101" s="17"/>
      <c r="D101" s="17"/>
      <c r="E101" s="17"/>
      <c r="F101" s="17"/>
      <c r="G101" s="87"/>
      <c r="H101" s="589"/>
      <c r="I101" s="590"/>
      <c r="J101" s="590"/>
      <c r="K101" s="590"/>
      <c r="L101" s="590"/>
      <c r="M101" s="590"/>
      <c r="N101" s="590"/>
      <c r="O101" s="590"/>
      <c r="P101" s="590"/>
      <c r="Q101" s="590"/>
      <c r="R101" s="590"/>
      <c r="S101" s="590"/>
      <c r="T101" s="590"/>
      <c r="U101" s="590"/>
      <c r="V101" s="590"/>
      <c r="W101" s="590"/>
      <c r="X101" s="590"/>
      <c r="Y101" s="590"/>
      <c r="Z101" s="590"/>
      <c r="AA101" s="591"/>
    </row>
    <row r="102">
      <c r="A102" s="445"/>
      <c r="B102" s="446"/>
      <c r="C102" s="188"/>
      <c r="D102" s="447"/>
      <c r="E102" s="169"/>
      <c r="F102" s="448"/>
      <c r="G102" s="450"/>
      <c r="H102" s="451"/>
      <c r="I102" s="594"/>
      <c r="J102" s="594"/>
      <c r="K102" s="594"/>
      <c r="L102" s="594"/>
      <c r="M102" s="594"/>
      <c r="N102" s="594"/>
      <c r="O102" s="594"/>
      <c r="P102" s="594"/>
      <c r="Q102" s="594"/>
      <c r="R102" s="594"/>
      <c r="S102" s="594"/>
      <c r="T102" s="594"/>
      <c r="U102" s="594"/>
      <c r="V102" s="594"/>
      <c r="W102" s="594"/>
      <c r="X102" s="594"/>
      <c r="Y102" s="594"/>
      <c r="Z102" s="594"/>
      <c r="AA102" s="453"/>
    </row>
    <row r="103">
      <c r="A103" s="445"/>
      <c r="B103" s="446"/>
      <c r="C103" s="188" t="s">
        <v>375</v>
      </c>
      <c r="F103" s="448"/>
      <c r="G103" s="450"/>
      <c r="H103" s="451"/>
      <c r="I103" s="383"/>
      <c r="J103" s="383"/>
      <c r="K103" s="383"/>
      <c r="L103" s="383"/>
      <c r="M103" s="383"/>
      <c r="N103" s="383"/>
      <c r="O103" s="383"/>
      <c r="P103" s="383"/>
      <c r="Q103" s="383"/>
      <c r="R103" s="383"/>
      <c r="S103" s="383"/>
      <c r="T103" s="383"/>
      <c r="U103" s="383"/>
      <c r="V103" s="383"/>
      <c r="W103" s="383"/>
      <c r="X103" s="383"/>
      <c r="Y103" s="383"/>
      <c r="Z103" s="383"/>
      <c r="AA103" s="453"/>
    </row>
    <row r="104">
      <c r="A104" s="445"/>
      <c r="B104" s="446"/>
      <c r="C104" s="447"/>
      <c r="D104" s="447"/>
      <c r="E104" s="189" t="s">
        <v>376</v>
      </c>
      <c r="F104" s="455" t="s">
        <v>103</v>
      </c>
      <c r="G104" s="456" t="s">
        <v>112</v>
      </c>
      <c r="H104" s="134" t="s">
        <v>124</v>
      </c>
      <c r="I104" s="123">
        <f t="shared" ref="I104:Z104" si="31">I19*I47</f>
        <v>105159.8711</v>
      </c>
      <c r="J104" s="123">
        <f t="shared" si="31"/>
        <v>36522.50331</v>
      </c>
      <c r="K104" s="123">
        <f t="shared" si="31"/>
        <v>28635.71181</v>
      </c>
      <c r="L104" s="123">
        <f t="shared" si="31"/>
        <v>34096.53632</v>
      </c>
      <c r="M104" s="123">
        <f t="shared" si="31"/>
        <v>33529.42601</v>
      </c>
      <c r="N104" s="123">
        <f t="shared" si="31"/>
        <v>47131.64459</v>
      </c>
      <c r="O104" s="123">
        <f t="shared" si="31"/>
        <v>44590.49244</v>
      </c>
      <c r="P104" s="123">
        <f t="shared" si="31"/>
        <v>85119.30817</v>
      </c>
      <c r="Q104" s="123">
        <f t="shared" si="31"/>
        <v>65578.00084</v>
      </c>
      <c r="R104" s="123">
        <f t="shared" si="31"/>
        <v>58437.601</v>
      </c>
      <c r="S104" s="123">
        <f t="shared" si="31"/>
        <v>119230.9694</v>
      </c>
      <c r="T104" s="123">
        <f t="shared" si="31"/>
        <v>76756.76704</v>
      </c>
      <c r="U104" s="123">
        <f t="shared" si="31"/>
        <v>89682.27626</v>
      </c>
      <c r="V104" s="123">
        <f t="shared" si="31"/>
        <v>98010.38168</v>
      </c>
      <c r="W104" s="123">
        <f t="shared" si="31"/>
        <v>63527.33365</v>
      </c>
      <c r="X104" s="123">
        <f t="shared" si="31"/>
        <v>120915.9522</v>
      </c>
      <c r="Y104" s="123">
        <f t="shared" si="31"/>
        <v>72469.485</v>
      </c>
      <c r="Z104" s="123">
        <f t="shared" si="31"/>
        <v>43270.90578</v>
      </c>
      <c r="AA104" s="458"/>
    </row>
    <row r="105">
      <c r="A105" s="445"/>
      <c r="B105" s="446"/>
      <c r="C105" s="447"/>
      <c r="D105" s="447"/>
      <c r="E105" s="189" t="s">
        <v>381</v>
      </c>
      <c r="F105" s="455" t="s">
        <v>103</v>
      </c>
      <c r="G105" s="456" t="s">
        <v>112</v>
      </c>
      <c r="H105" s="134" t="s">
        <v>124</v>
      </c>
      <c r="I105" s="123">
        <f t="shared" ref="I105:Z105" si="32">SUM(I89,I99)</f>
        <v>-298.2691226</v>
      </c>
      <c r="J105" s="123">
        <f t="shared" si="32"/>
        <v>-328.5291929</v>
      </c>
      <c r="K105" s="123">
        <f t="shared" si="32"/>
        <v>-507.7269344</v>
      </c>
      <c r="L105" s="123">
        <f t="shared" si="32"/>
        <v>-507.7269344</v>
      </c>
      <c r="M105" s="123">
        <f t="shared" si="32"/>
        <v>-507.7269344</v>
      </c>
      <c r="N105" s="123">
        <f t="shared" si="32"/>
        <v>-507.7269344</v>
      </c>
      <c r="O105" s="123">
        <f t="shared" si="32"/>
        <v>-477.8606442</v>
      </c>
      <c r="P105" s="123">
        <f t="shared" si="32"/>
        <v>-475.5734006</v>
      </c>
      <c r="Q105" s="123">
        <f t="shared" si="32"/>
        <v>-535.0200756</v>
      </c>
      <c r="R105" s="123">
        <f t="shared" si="32"/>
        <v>-535.0200756</v>
      </c>
      <c r="S105" s="123">
        <f t="shared" si="32"/>
        <v>-475.5734006</v>
      </c>
      <c r="T105" s="123">
        <f t="shared" si="32"/>
        <v>-535.0200756</v>
      </c>
      <c r="U105" s="123">
        <f t="shared" si="32"/>
        <v>-475.5734006</v>
      </c>
      <c r="V105" s="123">
        <f t="shared" si="32"/>
        <v>-475.5734006</v>
      </c>
      <c r="W105" s="123">
        <f t="shared" si="32"/>
        <v>-475.5734006</v>
      </c>
      <c r="X105" s="123">
        <f t="shared" si="32"/>
        <v>-475.5734006</v>
      </c>
      <c r="Y105" s="123">
        <f t="shared" si="32"/>
        <v>-205.4319938</v>
      </c>
      <c r="Z105" s="123">
        <f t="shared" si="32"/>
        <v>-418.1280637</v>
      </c>
      <c r="AA105" s="458"/>
    </row>
    <row r="106">
      <c r="A106" s="445"/>
      <c r="B106" s="446"/>
      <c r="C106" s="447"/>
      <c r="D106" s="447"/>
      <c r="E106" s="189" t="s">
        <v>384</v>
      </c>
      <c r="F106" s="455" t="s">
        <v>103</v>
      </c>
      <c r="G106" s="456" t="s">
        <v>112</v>
      </c>
      <c r="H106" s="134" t="s">
        <v>124</v>
      </c>
      <c r="I106" s="123">
        <f t="shared" ref="I106:Z106" si="33">SUM(I69,I79)</f>
        <v>-44863.43555</v>
      </c>
      <c r="J106" s="123">
        <f t="shared" si="33"/>
        <v>-9490.27649</v>
      </c>
      <c r="K106" s="123">
        <f t="shared" si="33"/>
        <v>-1980.406771</v>
      </c>
      <c r="L106" s="123">
        <f t="shared" si="33"/>
        <v>-2799.530448</v>
      </c>
      <c r="M106" s="123">
        <f t="shared" si="33"/>
        <v>-2714.463902</v>
      </c>
      <c r="N106" s="123">
        <f t="shared" si="33"/>
        <v>-4754.796688</v>
      </c>
      <c r="O106" s="123">
        <f t="shared" si="33"/>
        <v>-5831.498487</v>
      </c>
      <c r="P106" s="123">
        <f t="shared" si="33"/>
        <v>-13937.26163</v>
      </c>
      <c r="Q106" s="123">
        <f t="shared" si="33"/>
        <v>-5014.500084</v>
      </c>
      <c r="R106" s="123">
        <f t="shared" si="33"/>
        <v>-4300.4601</v>
      </c>
      <c r="S106" s="123">
        <f t="shared" si="33"/>
        <v>-20759.59388</v>
      </c>
      <c r="T106" s="123">
        <f t="shared" si="33"/>
        <v>-6132.376704</v>
      </c>
      <c r="U106" s="123">
        <f t="shared" si="33"/>
        <v>-14849.85525</v>
      </c>
      <c r="V106" s="123">
        <f t="shared" si="33"/>
        <v>-16515.47634</v>
      </c>
      <c r="W106" s="123">
        <f t="shared" si="33"/>
        <v>-9618.866729</v>
      </c>
      <c r="X106" s="123">
        <f t="shared" si="33"/>
        <v>-21096.59044</v>
      </c>
      <c r="Y106" s="123">
        <f t="shared" si="33"/>
        <v>-37073.71525</v>
      </c>
      <c r="Z106" s="123">
        <f t="shared" si="33"/>
        <v>-8351.371733</v>
      </c>
      <c r="AA106" s="458"/>
    </row>
    <row r="107">
      <c r="A107" s="445"/>
      <c r="B107" s="446"/>
      <c r="C107" s="447"/>
      <c r="D107" s="447"/>
      <c r="E107" s="194" t="s">
        <v>389</v>
      </c>
      <c r="F107" s="155" t="s">
        <v>103</v>
      </c>
      <c r="G107" s="460" t="s">
        <v>112</v>
      </c>
      <c r="H107" s="151" t="s">
        <v>124</v>
      </c>
      <c r="I107" s="145">
        <f t="shared" ref="I107:Z107" si="34">SUM(I69,I79,I89,I99)</f>
        <v>-45161.70468</v>
      </c>
      <c r="J107" s="145">
        <f t="shared" si="34"/>
        <v>-9818.805683</v>
      </c>
      <c r="K107" s="145">
        <f t="shared" si="34"/>
        <v>-2488.133706</v>
      </c>
      <c r="L107" s="145">
        <f t="shared" si="34"/>
        <v>-3307.257383</v>
      </c>
      <c r="M107" s="145">
        <f t="shared" si="34"/>
        <v>-3222.190836</v>
      </c>
      <c r="N107" s="145">
        <f t="shared" si="34"/>
        <v>-5262.523622</v>
      </c>
      <c r="O107" s="145">
        <f t="shared" si="34"/>
        <v>-6309.359131</v>
      </c>
      <c r="P107" s="145">
        <f t="shared" si="34"/>
        <v>-14412.83503</v>
      </c>
      <c r="Q107" s="145">
        <f t="shared" si="34"/>
        <v>-5549.52016</v>
      </c>
      <c r="R107" s="145">
        <f t="shared" si="34"/>
        <v>-4835.480175</v>
      </c>
      <c r="S107" s="145">
        <f t="shared" si="34"/>
        <v>-21235.16728</v>
      </c>
      <c r="T107" s="145">
        <f t="shared" si="34"/>
        <v>-6667.396779</v>
      </c>
      <c r="U107" s="145">
        <f t="shared" si="34"/>
        <v>-15325.42865</v>
      </c>
      <c r="V107" s="145">
        <f t="shared" si="34"/>
        <v>-16991.04974</v>
      </c>
      <c r="W107" s="145">
        <f t="shared" si="34"/>
        <v>-10094.44013</v>
      </c>
      <c r="X107" s="145">
        <f t="shared" si="34"/>
        <v>-21572.16384</v>
      </c>
      <c r="Y107" s="145">
        <f t="shared" si="34"/>
        <v>-37279.14725</v>
      </c>
      <c r="Z107" s="145">
        <f t="shared" si="34"/>
        <v>-8769.499797</v>
      </c>
      <c r="AA107" s="465"/>
    </row>
    <row r="108">
      <c r="A108" s="445"/>
      <c r="B108" s="446"/>
      <c r="C108" s="447"/>
      <c r="D108" s="447"/>
      <c r="E108" s="183" t="s">
        <v>395</v>
      </c>
      <c r="F108" s="617" t="s">
        <v>397</v>
      </c>
      <c r="G108" s="617" t="s">
        <v>112</v>
      </c>
      <c r="H108" s="618" t="s">
        <v>124</v>
      </c>
      <c r="I108" s="404">
        <f t="shared" ref="I108:Z108" si="35">SUM(I104,I107)</f>
        <v>59998.16643</v>
      </c>
      <c r="J108" s="404">
        <f t="shared" si="35"/>
        <v>26703.69763</v>
      </c>
      <c r="K108" s="404">
        <f t="shared" si="35"/>
        <v>26147.5781</v>
      </c>
      <c r="L108" s="404">
        <f t="shared" si="35"/>
        <v>30789.27894</v>
      </c>
      <c r="M108" s="404">
        <f t="shared" si="35"/>
        <v>30307.23517</v>
      </c>
      <c r="N108" s="404">
        <f t="shared" si="35"/>
        <v>41869.12096</v>
      </c>
      <c r="O108" s="404">
        <f t="shared" si="35"/>
        <v>38281.1333</v>
      </c>
      <c r="P108" s="404">
        <f t="shared" si="35"/>
        <v>70706.47313</v>
      </c>
      <c r="Q108" s="404">
        <f t="shared" si="35"/>
        <v>60028.48068</v>
      </c>
      <c r="R108" s="404">
        <f t="shared" si="35"/>
        <v>53602.12082</v>
      </c>
      <c r="S108" s="404">
        <f t="shared" si="35"/>
        <v>97995.80213</v>
      </c>
      <c r="T108" s="404">
        <f t="shared" si="35"/>
        <v>70089.37026</v>
      </c>
      <c r="U108" s="404">
        <f t="shared" si="35"/>
        <v>74356.84761</v>
      </c>
      <c r="V108" s="404">
        <f t="shared" si="35"/>
        <v>81019.33194</v>
      </c>
      <c r="W108" s="404">
        <f t="shared" si="35"/>
        <v>53432.89352</v>
      </c>
      <c r="X108" s="404">
        <f t="shared" si="35"/>
        <v>99343.78837</v>
      </c>
      <c r="Y108" s="404">
        <f t="shared" si="35"/>
        <v>35190.33776</v>
      </c>
      <c r="Z108" s="404">
        <f t="shared" si="35"/>
        <v>34501.40598</v>
      </c>
      <c r="AA108" s="621"/>
    </row>
    <row r="109">
      <c r="A109" s="445"/>
      <c r="B109" s="446"/>
      <c r="C109" s="447"/>
      <c r="D109" s="447"/>
      <c r="E109" s="169"/>
      <c r="F109" s="448"/>
      <c r="G109" s="448"/>
      <c r="H109" s="622"/>
      <c r="I109" s="624"/>
      <c r="J109" s="624"/>
      <c r="K109" s="624"/>
      <c r="L109" s="624"/>
      <c r="M109" s="624"/>
      <c r="N109" s="624"/>
      <c r="O109" s="624"/>
      <c r="P109" s="624"/>
      <c r="Q109" s="624"/>
      <c r="R109" s="624"/>
      <c r="S109" s="624"/>
      <c r="T109" s="624"/>
      <c r="U109" s="624"/>
      <c r="V109" s="624"/>
      <c r="W109" s="624"/>
      <c r="X109" s="624"/>
      <c r="Y109" s="624"/>
      <c r="Z109" s="624"/>
      <c r="AA109" s="453"/>
    </row>
    <row r="110">
      <c r="A110" s="445"/>
      <c r="B110" s="446"/>
      <c r="C110" s="188" t="s">
        <v>371</v>
      </c>
      <c r="F110" s="448"/>
      <c r="G110" s="448"/>
      <c r="H110" s="622"/>
      <c r="AA110" s="525"/>
    </row>
    <row r="111">
      <c r="A111" s="445"/>
      <c r="B111" s="446"/>
      <c r="C111" s="447"/>
      <c r="D111" s="447"/>
      <c r="E111" s="189" t="s">
        <v>403</v>
      </c>
      <c r="F111" s="455" t="s">
        <v>99</v>
      </c>
      <c r="G111" s="456" t="s">
        <v>112</v>
      </c>
      <c r="H111" s="134" t="s">
        <v>124</v>
      </c>
      <c r="I111" s="132">
        <f t="shared" ref="I111:Z111" si="36">I105/I104</f>
        <v>-0.002836339751</v>
      </c>
      <c r="J111" s="132">
        <f t="shared" si="36"/>
        <v>-0.008995253969</v>
      </c>
      <c r="K111" s="132">
        <f t="shared" si="36"/>
        <v>-0.0177305505</v>
      </c>
      <c r="L111" s="132">
        <f t="shared" si="36"/>
        <v>-0.01489086544</v>
      </c>
      <c r="M111" s="132">
        <f t="shared" si="36"/>
        <v>-0.0151427267</v>
      </c>
      <c r="N111" s="132">
        <f t="shared" si="36"/>
        <v>-0.01077252744</v>
      </c>
      <c r="O111" s="132">
        <f t="shared" si="36"/>
        <v>-0.01071664873</v>
      </c>
      <c r="P111" s="132">
        <f t="shared" si="36"/>
        <v>-0.005587138932</v>
      </c>
      <c r="Q111" s="132">
        <f t="shared" si="36"/>
        <v>-0.008158529823</v>
      </c>
      <c r="R111" s="132">
        <f t="shared" si="36"/>
        <v>-0.009155407931</v>
      </c>
      <c r="S111" s="132">
        <f t="shared" si="36"/>
        <v>-0.003988673437</v>
      </c>
      <c r="T111" s="132">
        <f t="shared" si="36"/>
        <v>-0.006970331038</v>
      </c>
      <c r="U111" s="132">
        <f t="shared" si="36"/>
        <v>-0.005302869423</v>
      </c>
      <c r="V111" s="132">
        <f t="shared" si="36"/>
        <v>-0.004852275773</v>
      </c>
      <c r="W111" s="132">
        <f t="shared" si="36"/>
        <v>-0.007486122481</v>
      </c>
      <c r="X111" s="132">
        <f t="shared" si="36"/>
        <v>-0.003933090646</v>
      </c>
      <c r="Y111" s="132">
        <f t="shared" si="36"/>
        <v>-0.002834737873</v>
      </c>
      <c r="Z111" s="132">
        <f t="shared" si="36"/>
        <v>-0.009663030069</v>
      </c>
      <c r="AA111" s="458"/>
    </row>
    <row r="112">
      <c r="A112" s="445"/>
      <c r="B112" s="446"/>
      <c r="C112" s="447"/>
      <c r="D112" s="447"/>
      <c r="E112" s="189" t="s">
        <v>406</v>
      </c>
      <c r="F112" s="455" t="s">
        <v>99</v>
      </c>
      <c r="G112" s="456" t="s">
        <v>112</v>
      </c>
      <c r="H112" s="134" t="s">
        <v>124</v>
      </c>
      <c r="I112" s="624">
        <f t="shared" ref="I112:Z112" si="37">I106/I104</f>
        <v>-0.426621249</v>
      </c>
      <c r="J112" s="624">
        <f t="shared" si="37"/>
        <v>-0.2598473716</v>
      </c>
      <c r="K112" s="624">
        <f t="shared" si="37"/>
        <v>-0.06915863606</v>
      </c>
      <c r="L112" s="624">
        <f t="shared" si="37"/>
        <v>-0.08210600695</v>
      </c>
      <c r="M112" s="624">
        <f t="shared" si="37"/>
        <v>-0.08095766091</v>
      </c>
      <c r="N112" s="624">
        <f t="shared" si="37"/>
        <v>-0.100883318</v>
      </c>
      <c r="O112" s="624">
        <f t="shared" si="37"/>
        <v>-0.1307789658</v>
      </c>
      <c r="P112" s="624">
        <f t="shared" si="37"/>
        <v>-0.1637379572</v>
      </c>
      <c r="Q112" s="624">
        <f t="shared" si="37"/>
        <v>-0.07646619323</v>
      </c>
      <c r="R112" s="624">
        <f t="shared" si="37"/>
        <v>-0.07359063388</v>
      </c>
      <c r="S112" s="624">
        <f t="shared" si="37"/>
        <v>-0.1741124306</v>
      </c>
      <c r="T112" s="624">
        <f t="shared" si="37"/>
        <v>-0.07989362945</v>
      </c>
      <c r="U112" s="624">
        <f t="shared" si="37"/>
        <v>-0.1655829432</v>
      </c>
      <c r="V112" s="624">
        <f t="shared" si="37"/>
        <v>-0.1685074178</v>
      </c>
      <c r="W112" s="624">
        <f t="shared" si="37"/>
        <v>-0.1514130403</v>
      </c>
      <c r="X112" s="624">
        <f t="shared" si="37"/>
        <v>-0.1744731779</v>
      </c>
      <c r="Y112" s="624">
        <f t="shared" si="37"/>
        <v>-0.5115769106</v>
      </c>
      <c r="Z112" s="624">
        <f t="shared" si="37"/>
        <v>-0.1930020087</v>
      </c>
      <c r="AA112" s="453"/>
    </row>
    <row r="113">
      <c r="A113" s="445"/>
      <c r="B113" s="446"/>
      <c r="C113" s="447"/>
      <c r="D113" s="447"/>
      <c r="E113" s="203" t="s">
        <v>413</v>
      </c>
      <c r="F113" s="175" t="s">
        <v>99</v>
      </c>
      <c r="G113" s="485" t="s">
        <v>112</v>
      </c>
      <c r="H113" s="163" t="s">
        <v>124</v>
      </c>
      <c r="I113" s="162">
        <f t="shared" ref="I113:Z113" si="38">I107/I104</f>
        <v>-0.4294575887</v>
      </c>
      <c r="J113" s="162">
        <f t="shared" si="38"/>
        <v>-0.2688426256</v>
      </c>
      <c r="K113" s="162">
        <f t="shared" si="38"/>
        <v>-0.08688918656</v>
      </c>
      <c r="L113" s="162">
        <f t="shared" si="38"/>
        <v>-0.0969968724</v>
      </c>
      <c r="M113" s="162">
        <f t="shared" si="38"/>
        <v>-0.09610038761</v>
      </c>
      <c r="N113" s="162">
        <f t="shared" si="38"/>
        <v>-0.1116558454</v>
      </c>
      <c r="O113" s="162">
        <f t="shared" si="38"/>
        <v>-0.1414956146</v>
      </c>
      <c r="P113" s="162">
        <f t="shared" si="38"/>
        <v>-0.1693250961</v>
      </c>
      <c r="Q113" s="162">
        <f t="shared" si="38"/>
        <v>-0.08462472306</v>
      </c>
      <c r="R113" s="162">
        <f t="shared" si="38"/>
        <v>-0.08274604181</v>
      </c>
      <c r="S113" s="162">
        <f t="shared" si="38"/>
        <v>-0.178101104</v>
      </c>
      <c r="T113" s="162">
        <f t="shared" si="38"/>
        <v>-0.08686396049</v>
      </c>
      <c r="U113" s="162">
        <f t="shared" si="38"/>
        <v>-0.1708858126</v>
      </c>
      <c r="V113" s="162">
        <f t="shared" si="38"/>
        <v>-0.1733596936</v>
      </c>
      <c r="W113" s="162">
        <f t="shared" si="38"/>
        <v>-0.1588991628</v>
      </c>
      <c r="X113" s="162">
        <f t="shared" si="38"/>
        <v>-0.1784062686</v>
      </c>
      <c r="Y113" s="162">
        <f t="shared" si="38"/>
        <v>-0.5144116485</v>
      </c>
      <c r="Z113" s="162">
        <f t="shared" si="38"/>
        <v>-0.2026650388</v>
      </c>
      <c r="AA113" s="486"/>
    </row>
    <row r="114">
      <c r="A114" s="445"/>
      <c r="B114" s="446"/>
      <c r="C114" s="447"/>
      <c r="D114" s="447"/>
      <c r="E114" s="169"/>
      <c r="F114" s="448"/>
      <c r="G114" s="450"/>
      <c r="H114" s="451"/>
      <c r="I114" s="624"/>
      <c r="J114" s="624"/>
      <c r="K114" s="624"/>
      <c r="L114" s="624"/>
      <c r="M114" s="624"/>
      <c r="N114" s="624"/>
      <c r="O114" s="624"/>
      <c r="P114" s="624"/>
      <c r="Q114" s="624"/>
      <c r="R114" s="624"/>
      <c r="S114" s="624"/>
      <c r="T114" s="624"/>
      <c r="U114" s="624"/>
      <c r="V114" s="624"/>
      <c r="W114" s="624"/>
      <c r="X114" s="624"/>
      <c r="Y114" s="624"/>
      <c r="Z114" s="624"/>
      <c r="AA114" s="453"/>
    </row>
    <row r="115">
      <c r="A115" s="588" t="s">
        <v>418</v>
      </c>
      <c r="B115" s="17"/>
      <c r="C115" s="17"/>
      <c r="D115" s="17"/>
      <c r="E115" s="17"/>
      <c r="F115" s="17"/>
      <c r="G115" s="87"/>
      <c r="H115" s="589"/>
      <c r="I115" s="590"/>
      <c r="J115" s="590"/>
      <c r="K115" s="590"/>
      <c r="L115" s="590"/>
      <c r="M115" s="590"/>
      <c r="N115" s="590"/>
      <c r="O115" s="590"/>
      <c r="P115" s="590"/>
      <c r="Q115" s="590"/>
      <c r="R115" s="590"/>
      <c r="S115" s="590"/>
      <c r="T115" s="590"/>
      <c r="U115" s="590"/>
      <c r="V115" s="590"/>
      <c r="W115" s="590"/>
      <c r="X115" s="590"/>
      <c r="Y115" s="590"/>
      <c r="Z115" s="590"/>
      <c r="AA115" s="591"/>
    </row>
    <row r="116">
      <c r="A116" s="445"/>
      <c r="B116" s="446"/>
      <c r="C116" s="447"/>
      <c r="D116" s="447"/>
      <c r="E116" s="169"/>
      <c r="F116" s="448"/>
      <c r="G116" s="450"/>
      <c r="H116" s="451"/>
      <c r="I116" s="624"/>
      <c r="J116" s="624"/>
      <c r="K116" s="624"/>
      <c r="L116" s="624"/>
      <c r="M116" s="624"/>
      <c r="N116" s="624"/>
      <c r="O116" s="624"/>
      <c r="P116" s="624"/>
      <c r="Q116" s="624"/>
      <c r="R116" s="624"/>
      <c r="S116" s="624"/>
      <c r="T116" s="624"/>
      <c r="U116" s="624"/>
      <c r="V116" s="624"/>
      <c r="W116" s="624"/>
      <c r="X116" s="624"/>
      <c r="Y116" s="624"/>
      <c r="Z116" s="624"/>
      <c r="AA116" s="453"/>
    </row>
    <row r="117">
      <c r="A117" s="445"/>
      <c r="B117" s="446"/>
      <c r="C117" s="188" t="s">
        <v>423</v>
      </c>
      <c r="F117" s="448"/>
      <c r="G117" s="448"/>
      <c r="H117" s="451"/>
      <c r="I117" s="624"/>
      <c r="J117" s="624"/>
      <c r="K117" s="624"/>
      <c r="L117" s="624"/>
      <c r="M117" s="624"/>
      <c r="N117" s="624"/>
      <c r="O117" s="624"/>
      <c r="P117" s="624"/>
      <c r="Q117" s="624"/>
      <c r="R117" s="624"/>
      <c r="S117" s="624"/>
      <c r="T117" s="624"/>
      <c r="U117" s="624"/>
      <c r="V117" s="624"/>
      <c r="W117" s="624"/>
      <c r="X117" s="624"/>
      <c r="Y117" s="624"/>
      <c r="Z117" s="624"/>
      <c r="AA117" s="453"/>
    </row>
    <row r="118">
      <c r="A118" s="445"/>
      <c r="B118" s="446"/>
      <c r="C118" s="447"/>
      <c r="D118" s="447"/>
      <c r="E118" s="183" t="s">
        <v>423</v>
      </c>
      <c r="F118" s="617" t="s">
        <v>99</v>
      </c>
      <c r="G118" s="617" t="s">
        <v>112</v>
      </c>
      <c r="H118" s="618" t="s">
        <v>124</v>
      </c>
      <c r="I118" s="643">
        <f t="shared" ref="I118:Z118" si="39">((MIN(I67,0)*I68)+(MIN(I77,0)*I78)+I105)/I104</f>
        <v>-0.4294575887</v>
      </c>
      <c r="J118" s="643">
        <f t="shared" si="39"/>
        <v>-0.2688426256</v>
      </c>
      <c r="K118" s="643">
        <f t="shared" si="39"/>
        <v>-0.08688918656</v>
      </c>
      <c r="L118" s="643">
        <f t="shared" si="39"/>
        <v>-0.0969968724</v>
      </c>
      <c r="M118" s="643">
        <f t="shared" si="39"/>
        <v>-0.09610038761</v>
      </c>
      <c r="N118" s="643">
        <f t="shared" si="39"/>
        <v>-0.1116558454</v>
      </c>
      <c r="O118" s="643">
        <f t="shared" si="39"/>
        <v>-0.1414956146</v>
      </c>
      <c r="P118" s="643">
        <f t="shared" si="39"/>
        <v>-0.1693250961</v>
      </c>
      <c r="Q118" s="643">
        <f t="shared" si="39"/>
        <v>-0.08462472306</v>
      </c>
      <c r="R118" s="643">
        <f t="shared" si="39"/>
        <v>-0.08274604181</v>
      </c>
      <c r="S118" s="643">
        <f t="shared" si="39"/>
        <v>-0.178101104</v>
      </c>
      <c r="T118" s="643">
        <f t="shared" si="39"/>
        <v>-0.08686396049</v>
      </c>
      <c r="U118" s="643">
        <f t="shared" si="39"/>
        <v>-0.1708858126</v>
      </c>
      <c r="V118" s="643">
        <f t="shared" si="39"/>
        <v>-0.1733596936</v>
      </c>
      <c r="W118" s="643">
        <f t="shared" si="39"/>
        <v>-0.1588991628</v>
      </c>
      <c r="X118" s="643">
        <f t="shared" si="39"/>
        <v>-0.1784062686</v>
      </c>
      <c r="Y118" s="643">
        <f t="shared" si="39"/>
        <v>-0.5144116485</v>
      </c>
      <c r="Z118" s="643">
        <f t="shared" si="39"/>
        <v>-0.2026650388</v>
      </c>
      <c r="AA118" s="621"/>
    </row>
    <row r="119">
      <c r="A119" s="445"/>
      <c r="B119" s="446"/>
      <c r="C119" s="447"/>
      <c r="D119" s="447"/>
      <c r="E119" s="169"/>
      <c r="F119" s="448"/>
      <c r="G119" s="450"/>
      <c r="H119" s="451"/>
      <c r="I119" s="624"/>
      <c r="J119" s="624"/>
      <c r="K119" s="624"/>
      <c r="L119" s="624"/>
      <c r="M119" s="624"/>
      <c r="N119" s="624"/>
      <c r="O119" s="624"/>
      <c r="P119" s="624"/>
      <c r="Q119" s="624"/>
      <c r="R119" s="624"/>
      <c r="S119" s="624"/>
      <c r="T119" s="624"/>
      <c r="U119" s="624"/>
      <c r="V119" s="624"/>
      <c r="W119" s="624"/>
      <c r="X119" s="624"/>
      <c r="Y119" s="624"/>
      <c r="Z119" s="624"/>
      <c r="AA119" s="453"/>
    </row>
    <row r="120">
      <c r="A120" s="445"/>
      <c r="B120" s="446"/>
      <c r="C120" s="188" t="s">
        <v>431</v>
      </c>
      <c r="F120" s="448"/>
      <c r="G120" s="450"/>
      <c r="H120" s="451"/>
      <c r="I120" s="624"/>
      <c r="J120" s="624"/>
      <c r="K120" s="624"/>
      <c r="L120" s="624"/>
      <c r="M120" s="624"/>
      <c r="N120" s="624"/>
      <c r="O120" s="624"/>
      <c r="P120" s="624"/>
      <c r="Q120" s="624"/>
      <c r="R120" s="624"/>
      <c r="S120" s="624"/>
      <c r="T120" s="624"/>
      <c r="U120" s="624"/>
      <c r="V120" s="624"/>
      <c r="W120" s="624"/>
      <c r="X120" s="624"/>
      <c r="Y120" s="624"/>
      <c r="Z120" s="624"/>
      <c r="AA120" s="453"/>
    </row>
    <row r="121">
      <c r="A121" s="445"/>
      <c r="B121" s="446"/>
      <c r="C121" s="447"/>
      <c r="D121" s="447"/>
      <c r="E121" s="189" t="str">
        <f>Inputs!E73</f>
        <v>Value assigned to averting a malaria-attributable death of a person under age 5</v>
      </c>
      <c r="F121" s="455" t="str">
        <f>Inputs!F73</f>
        <v>UoV</v>
      </c>
      <c r="G121" s="456" t="str">
        <f>Inputs!G73</f>
        <v>input</v>
      </c>
      <c r="H121" s="649">
        <f>Inputs!H73</f>
        <v>116.25262</v>
      </c>
      <c r="I121" s="132" t="str">
        <f>Inputs!I73</f>
        <v>-</v>
      </c>
      <c r="J121" s="132" t="str">
        <f>Inputs!J73</f>
        <v>-</v>
      </c>
      <c r="K121" s="132" t="str">
        <f>Inputs!K73</f>
        <v>-</v>
      </c>
      <c r="L121" s="132" t="str">
        <f>Inputs!L73</f>
        <v>-</v>
      </c>
      <c r="M121" s="132" t="str">
        <f>Inputs!M73</f>
        <v>-</v>
      </c>
      <c r="N121" s="132" t="str">
        <f>Inputs!N73</f>
        <v>-</v>
      </c>
      <c r="O121" s="132" t="str">
        <f>Inputs!O73</f>
        <v>-</v>
      </c>
      <c r="P121" s="132" t="str">
        <f>Inputs!P73</f>
        <v>-</v>
      </c>
      <c r="Q121" s="132" t="str">
        <f>Inputs!Q73</f>
        <v>-</v>
      </c>
      <c r="R121" s="132" t="str">
        <f>Inputs!R73</f>
        <v>-</v>
      </c>
      <c r="S121" s="132" t="str">
        <f>Inputs!S73</f>
        <v>-</v>
      </c>
      <c r="T121" s="132" t="str">
        <f>Inputs!T73</f>
        <v>-</v>
      </c>
      <c r="U121" s="132" t="str">
        <f>Inputs!U73</f>
        <v>-</v>
      </c>
      <c r="V121" s="132" t="str">
        <f>Inputs!V73</f>
        <v>-</v>
      </c>
      <c r="W121" s="132" t="str">
        <f>Inputs!W73</f>
        <v>-</v>
      </c>
      <c r="X121" s="132" t="str">
        <f>Inputs!X73</f>
        <v>-</v>
      </c>
      <c r="Y121" s="132" t="str">
        <f>Inputs!Y73</f>
        <v>-</v>
      </c>
      <c r="Z121" s="132" t="str">
        <f>Inputs!Z73</f>
        <v>-</v>
      </c>
      <c r="AA121" s="458"/>
    </row>
    <row r="122">
      <c r="A122" s="445"/>
      <c r="B122" s="446"/>
      <c r="C122" s="447"/>
      <c r="D122" s="447"/>
      <c r="E122" s="194" t="s">
        <v>441</v>
      </c>
      <c r="F122" s="155" t="s">
        <v>88</v>
      </c>
      <c r="G122" s="460" t="s">
        <v>112</v>
      </c>
      <c r="H122" s="151" t="s">
        <v>124</v>
      </c>
      <c r="I122" s="145">
        <f t="shared" ref="I122:Z122" si="40">-(I105/$H121)</f>
        <v>2.565698069</v>
      </c>
      <c r="J122" s="145">
        <f t="shared" si="40"/>
        <v>2.825993882</v>
      </c>
      <c r="K122" s="145">
        <f t="shared" si="40"/>
        <v>4.36744509</v>
      </c>
      <c r="L122" s="145">
        <f t="shared" si="40"/>
        <v>4.36744509</v>
      </c>
      <c r="M122" s="145">
        <f t="shared" si="40"/>
        <v>4.36744509</v>
      </c>
      <c r="N122" s="145">
        <f t="shared" si="40"/>
        <v>4.36744509</v>
      </c>
      <c r="O122" s="145">
        <f t="shared" si="40"/>
        <v>4.110536555</v>
      </c>
      <c r="P122" s="145">
        <f t="shared" si="40"/>
        <v>4.090861785</v>
      </c>
      <c r="Q122" s="145">
        <f t="shared" si="40"/>
        <v>4.602219508</v>
      </c>
      <c r="R122" s="145">
        <f t="shared" si="40"/>
        <v>4.602219508</v>
      </c>
      <c r="S122" s="145">
        <f t="shared" si="40"/>
        <v>4.090861785</v>
      </c>
      <c r="T122" s="145">
        <f t="shared" si="40"/>
        <v>4.602219508</v>
      </c>
      <c r="U122" s="145">
        <f t="shared" si="40"/>
        <v>4.090861785</v>
      </c>
      <c r="V122" s="145">
        <f t="shared" si="40"/>
        <v>4.090861785</v>
      </c>
      <c r="W122" s="145">
        <f t="shared" si="40"/>
        <v>4.090861785</v>
      </c>
      <c r="X122" s="145">
        <f t="shared" si="40"/>
        <v>4.090861785</v>
      </c>
      <c r="Y122" s="145">
        <f t="shared" si="40"/>
        <v>1.767117109</v>
      </c>
      <c r="Z122" s="145">
        <f t="shared" si="40"/>
        <v>3.596719486</v>
      </c>
      <c r="AA122" s="465"/>
    </row>
    <row r="123">
      <c r="A123" s="445"/>
      <c r="B123" s="446"/>
      <c r="C123" s="447"/>
      <c r="D123" s="447"/>
      <c r="E123" s="194" t="str">
        <f t="shared" ref="E123:F123" si="41">E53</f>
        <v>Total lives saved (after supplemental adjustments)</v>
      </c>
      <c r="F123" s="660" t="str">
        <f t="shared" si="41"/>
        <v>#</v>
      </c>
      <c r="G123" s="661" t="s">
        <v>38</v>
      </c>
      <c r="H123" s="662" t="str">
        <f t="shared" ref="H123:Z123" si="42">H53</f>
        <v>-</v>
      </c>
      <c r="I123" s="145">
        <f t="shared" si="42"/>
        <v>528.4879448</v>
      </c>
      <c r="J123" s="145">
        <f t="shared" si="42"/>
        <v>164.2973672</v>
      </c>
      <c r="K123" s="145">
        <f t="shared" si="42"/>
        <v>140.373091</v>
      </c>
      <c r="L123" s="145">
        <f t="shared" si="42"/>
        <v>166.1948659</v>
      </c>
      <c r="M123" s="145">
        <f t="shared" si="42"/>
        <v>165.0467174</v>
      </c>
      <c r="N123" s="145">
        <f t="shared" si="42"/>
        <v>248.1688526</v>
      </c>
      <c r="O123" s="145">
        <f t="shared" si="42"/>
        <v>242.8417089</v>
      </c>
      <c r="P123" s="145">
        <f t="shared" si="42"/>
        <v>426.4667807</v>
      </c>
      <c r="Q123" s="145">
        <f t="shared" si="42"/>
        <v>310.0468622</v>
      </c>
      <c r="R123" s="145">
        <f t="shared" si="42"/>
        <v>282.8100205</v>
      </c>
      <c r="S123" s="145">
        <f t="shared" si="42"/>
        <v>563.5544875</v>
      </c>
      <c r="T123" s="145">
        <f t="shared" si="42"/>
        <v>376.3283711</v>
      </c>
      <c r="U123" s="145">
        <f t="shared" si="42"/>
        <v>419.3782735</v>
      </c>
      <c r="V123" s="145">
        <f t="shared" si="42"/>
        <v>433.0193416</v>
      </c>
      <c r="W123" s="145">
        <f t="shared" si="42"/>
        <v>299.0372247</v>
      </c>
      <c r="X123" s="145">
        <f t="shared" si="42"/>
        <v>601.9923865</v>
      </c>
      <c r="Y123" s="145">
        <f t="shared" si="42"/>
        <v>307.555669</v>
      </c>
      <c r="Z123" s="145">
        <f t="shared" si="42"/>
        <v>226.9984328</v>
      </c>
      <c r="AA123" s="465"/>
    </row>
    <row r="124">
      <c r="A124" s="445"/>
      <c r="B124" s="446"/>
      <c r="C124" s="447"/>
      <c r="D124" s="447"/>
      <c r="E124" s="194" t="s">
        <v>454</v>
      </c>
      <c r="F124" s="155" t="s">
        <v>99</v>
      </c>
      <c r="G124" s="460" t="s">
        <v>112</v>
      </c>
      <c r="H124" s="151" t="s">
        <v>124</v>
      </c>
      <c r="I124" s="150">
        <f t="shared" ref="I124:Z124" si="43">((I123-I122)/I123)-1</f>
        <v>-0.00485479015</v>
      </c>
      <c r="J124" s="150">
        <f t="shared" si="43"/>
        <v>-0.01720048184</v>
      </c>
      <c r="K124" s="150">
        <f t="shared" si="43"/>
        <v>-0.03111312189</v>
      </c>
      <c r="L124" s="150">
        <f t="shared" si="43"/>
        <v>-0.02627906143</v>
      </c>
      <c r="M124" s="150">
        <f t="shared" si="43"/>
        <v>-0.02646187188</v>
      </c>
      <c r="N124" s="150">
        <f t="shared" si="43"/>
        <v>-0.0175986835</v>
      </c>
      <c r="O124" s="150">
        <f t="shared" si="43"/>
        <v>-0.01692681449</v>
      </c>
      <c r="P124" s="150">
        <f t="shared" si="43"/>
        <v>-0.009592451207</v>
      </c>
      <c r="Q124" s="150">
        <f t="shared" si="43"/>
        <v>-0.0148436255</v>
      </c>
      <c r="R124" s="150">
        <f t="shared" si="43"/>
        <v>-0.01627318403</v>
      </c>
      <c r="S124" s="150">
        <f t="shared" si="43"/>
        <v>-0.007259035064</v>
      </c>
      <c r="T124" s="150">
        <f t="shared" si="43"/>
        <v>-0.01222926535</v>
      </c>
      <c r="U124" s="150">
        <f t="shared" si="43"/>
        <v>-0.009754586835</v>
      </c>
      <c r="V124" s="150">
        <f t="shared" si="43"/>
        <v>-0.009447295749</v>
      </c>
      <c r="W124" s="150">
        <f t="shared" si="43"/>
        <v>-0.01368010885</v>
      </c>
      <c r="X124" s="150">
        <f t="shared" si="43"/>
        <v>-0.006795537413</v>
      </c>
      <c r="Y124" s="150">
        <f t="shared" si="43"/>
        <v>-0.005745682123</v>
      </c>
      <c r="Z124" s="150">
        <f t="shared" si="43"/>
        <v>-0.01584468862</v>
      </c>
      <c r="AA124" s="465"/>
    </row>
    <row r="125">
      <c r="A125" s="445"/>
      <c r="B125" s="446"/>
      <c r="C125" s="447"/>
      <c r="D125" s="447"/>
      <c r="E125" s="194" t="s">
        <v>460</v>
      </c>
      <c r="F125" s="155" t="str">
        <f>F118</f>
        <v>%</v>
      </c>
      <c r="G125" s="460" t="s">
        <v>38</v>
      </c>
      <c r="H125" s="584" t="str">
        <f>H118</f>
        <v>-</v>
      </c>
      <c r="I125" s="150">
        <f t="shared" ref="I125:Z125" si="44">((MIN(I67,0)*I68)+(MIN(I77,0)*I78))/I104</f>
        <v>-0.426621249</v>
      </c>
      <c r="J125" s="150">
        <f t="shared" si="44"/>
        <v>-0.2598473716</v>
      </c>
      <c r="K125" s="150">
        <f t="shared" si="44"/>
        <v>-0.06915863606</v>
      </c>
      <c r="L125" s="150">
        <f t="shared" si="44"/>
        <v>-0.08210600695</v>
      </c>
      <c r="M125" s="150">
        <f t="shared" si="44"/>
        <v>-0.08095766091</v>
      </c>
      <c r="N125" s="150">
        <f t="shared" si="44"/>
        <v>-0.100883318</v>
      </c>
      <c r="O125" s="150">
        <f t="shared" si="44"/>
        <v>-0.1307789658</v>
      </c>
      <c r="P125" s="150">
        <f t="shared" si="44"/>
        <v>-0.1637379572</v>
      </c>
      <c r="Q125" s="150">
        <f t="shared" si="44"/>
        <v>-0.07646619323</v>
      </c>
      <c r="R125" s="150">
        <f t="shared" si="44"/>
        <v>-0.07359063388</v>
      </c>
      <c r="S125" s="150">
        <f t="shared" si="44"/>
        <v>-0.1741124306</v>
      </c>
      <c r="T125" s="150">
        <f t="shared" si="44"/>
        <v>-0.07989362945</v>
      </c>
      <c r="U125" s="150">
        <f t="shared" si="44"/>
        <v>-0.1655829432</v>
      </c>
      <c r="V125" s="150">
        <f t="shared" si="44"/>
        <v>-0.1685074178</v>
      </c>
      <c r="W125" s="150">
        <f t="shared" si="44"/>
        <v>-0.1514130403</v>
      </c>
      <c r="X125" s="150">
        <f t="shared" si="44"/>
        <v>-0.1744731779</v>
      </c>
      <c r="Y125" s="150">
        <f t="shared" si="44"/>
        <v>-0.5115769106</v>
      </c>
      <c r="Z125" s="150">
        <f t="shared" si="44"/>
        <v>-0.1930020087</v>
      </c>
      <c r="AA125" s="465"/>
    </row>
    <row r="126">
      <c r="A126" s="445"/>
      <c r="B126" s="446"/>
      <c r="C126" s="447"/>
      <c r="D126" s="447"/>
      <c r="E126" s="203" t="s">
        <v>468</v>
      </c>
      <c r="F126" s="175" t="s">
        <v>99</v>
      </c>
      <c r="G126" s="485" t="s">
        <v>112</v>
      </c>
      <c r="H126" s="163" t="s">
        <v>124</v>
      </c>
      <c r="I126" s="162">
        <f t="shared" ref="I126:Z126" si="45">SUM(I124:I125)</f>
        <v>-0.4314760391</v>
      </c>
      <c r="J126" s="162">
        <f t="shared" si="45"/>
        <v>-0.2770478534</v>
      </c>
      <c r="K126" s="162">
        <f t="shared" si="45"/>
        <v>-0.1002717579</v>
      </c>
      <c r="L126" s="162">
        <f t="shared" si="45"/>
        <v>-0.1083850684</v>
      </c>
      <c r="M126" s="162">
        <f t="shared" si="45"/>
        <v>-0.1074195328</v>
      </c>
      <c r="N126" s="162">
        <f t="shared" si="45"/>
        <v>-0.1184820015</v>
      </c>
      <c r="O126" s="162">
        <f t="shared" si="45"/>
        <v>-0.1477057803</v>
      </c>
      <c r="P126" s="162">
        <f t="shared" si="45"/>
        <v>-0.1733304084</v>
      </c>
      <c r="Q126" s="162">
        <f t="shared" si="45"/>
        <v>-0.09130981873</v>
      </c>
      <c r="R126" s="162">
        <f t="shared" si="45"/>
        <v>-0.0898638179</v>
      </c>
      <c r="S126" s="162">
        <f t="shared" si="45"/>
        <v>-0.1813714656</v>
      </c>
      <c r="T126" s="162">
        <f t="shared" si="45"/>
        <v>-0.0921228948</v>
      </c>
      <c r="U126" s="162">
        <f t="shared" si="45"/>
        <v>-0.17533753</v>
      </c>
      <c r="V126" s="162">
        <f t="shared" si="45"/>
        <v>-0.1779547136</v>
      </c>
      <c r="W126" s="162">
        <f t="shared" si="45"/>
        <v>-0.1650931491</v>
      </c>
      <c r="X126" s="162">
        <f t="shared" si="45"/>
        <v>-0.1812687153</v>
      </c>
      <c r="Y126" s="162">
        <f t="shared" si="45"/>
        <v>-0.5173225927</v>
      </c>
      <c r="Z126" s="162">
        <f t="shared" si="45"/>
        <v>-0.2088466973</v>
      </c>
      <c r="AA126" s="486"/>
    </row>
    <row r="127">
      <c r="A127" s="673"/>
      <c r="B127" s="674"/>
      <c r="C127" s="675"/>
      <c r="D127" s="675"/>
      <c r="E127" s="183"/>
      <c r="F127" s="617"/>
      <c r="G127" s="617"/>
      <c r="H127" s="676"/>
      <c r="I127" s="404"/>
      <c r="J127" s="404"/>
      <c r="K127" s="404"/>
      <c r="L127" s="404"/>
      <c r="M127" s="404"/>
      <c r="N127" s="404"/>
      <c r="O127" s="404"/>
      <c r="P127" s="404"/>
      <c r="Q127" s="404"/>
      <c r="R127" s="404"/>
      <c r="S127" s="404"/>
      <c r="T127" s="404"/>
      <c r="U127" s="404"/>
      <c r="V127" s="404"/>
      <c r="W127" s="404"/>
      <c r="X127" s="404"/>
      <c r="Y127" s="404"/>
      <c r="Z127" s="404"/>
      <c r="AA127" s="621"/>
    </row>
  </sheetData>
  <mergeCells count="31">
    <mergeCell ref="I1:Q1"/>
    <mergeCell ref="R1:Z1"/>
    <mergeCell ref="A3:E3"/>
    <mergeCell ref="A5:G5"/>
    <mergeCell ref="C7:E7"/>
    <mergeCell ref="C10:E10"/>
    <mergeCell ref="C15:E15"/>
    <mergeCell ref="C18:E18"/>
    <mergeCell ref="C23:E23"/>
    <mergeCell ref="A27:G27"/>
    <mergeCell ref="C29:E29"/>
    <mergeCell ref="C35:E35"/>
    <mergeCell ref="A41:G41"/>
    <mergeCell ref="C43:E43"/>
    <mergeCell ref="C49:E49"/>
    <mergeCell ref="C55:E55"/>
    <mergeCell ref="A59:G59"/>
    <mergeCell ref="C61:E61"/>
    <mergeCell ref="D62:E62"/>
    <mergeCell ref="C71:E71"/>
    <mergeCell ref="D72:E72"/>
    <mergeCell ref="A115:G115"/>
    <mergeCell ref="C117:E117"/>
    <mergeCell ref="C120:E120"/>
    <mergeCell ref="C81:E81"/>
    <mergeCell ref="D82:E82"/>
    <mergeCell ref="C91:E91"/>
    <mergeCell ref="D92:E92"/>
    <mergeCell ref="A101:G101"/>
    <mergeCell ref="C103:E103"/>
    <mergeCell ref="C110:E110"/>
  </mergeCells>
  <hyperlinks>
    <hyperlink display="Grant size" location="Inputs!E8" ref="E8"/>
    <hyperlink display="Percentage of total costs covered by the grantee" location="Inputs!E11" ref="E11"/>
    <hyperlink display="Percentage of total costs covered by other philanthropic actors" location="Inputs!E12" ref="E12"/>
    <hyperlink display="Percentage of total costs covered by domestic governments" location="Inputs!E13" ref="E13"/>
    <hyperlink display="Total spending by all contributors" location="'Main CEA'!E16" ref="E16"/>
    <hyperlink display="Total spending contributed by grantee" location="'Main CEA'!E19" ref="E19"/>
    <hyperlink display="Total spending contributed by other philanthropic actors" location="'Main CEA'!E20" ref="E20"/>
    <hyperlink display="Total spending contributed by domestic governments " location="'Main CEA'!E21" ref="E21"/>
    <hyperlink display="Total spending causally upstream of donations to grantee" location="'Main CEA'!E24" ref="E24"/>
    <hyperlink display="Total spending causally downstream of donations to grantee" location="'Main CEA'!E25" ref="E25"/>
    <hyperlink display="Scenario 1: Domestic governments would replace the grantee's costs" location="Inputs!E113" ref="E30"/>
    <hyperlink display="Scenario 2: Global Fund and/or PMI would replace the grantee's costs" location="Inputs!E114" ref="E31"/>
    <hyperlink display="Scenario 3: Other actors' upstream costs would stay the same (downstream costs would shrink in proportion to the total size of the program)" location="Inputs!E115" ref="E32"/>
    <hyperlink display="Scenario 1: Domestic governments would replace the grantee's costs" location="Inputs!E118" ref="E36"/>
    <hyperlink display="Scenario 2: Global Fund and/or PMI would replace the grantee's costs" location="Inputs!E119" ref="E37"/>
    <hyperlink display="Scenario 4: Distributions would go unfunded" location="Inputs!E120" ref="E39"/>
    <hyperlink display="Units of value generated per dollar (before final adjustments)" location="'Main CEA'!E132" ref="E44"/>
    <hyperlink display="Total supplemental grantee-level adjustment" location="'Main CEA'!D161" ref="E45"/>
    <hyperlink display="Total supplemental intervention-level adjustment" location="'Main CEA'!D177" ref="E46"/>
    <hyperlink display="Total lives saved (before final adjustments)" location="'Main CEA'!E143" ref="E50"/>
    <hyperlink display="Total supplemental grantee-level adjustment" location="'Main CEA'!D161" ref="E51"/>
    <hyperlink display="Total supplemental intervention-level adjustment affecting lives saved" location="'Main CEA'!E202" ref="E52"/>
    <hyperlink display="Counterfactual value per dollar spent by domestic governments" location="Inputs!E123" ref="E56"/>
    <hyperlink display="Counterfactual value per dollar spent by the Global Fund or PMI" location="Inputs!E124" ref="E57"/>
  </hyperlink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26" width="12.13"/>
    <col customWidth="1" min="27" max="27" width="3.63"/>
    <col customWidth="1" min="28" max="28" width="17.38"/>
    <col customWidth="1" min="29" max="29" width="48.25"/>
  </cols>
  <sheetData>
    <row r="1">
      <c r="A1" s="1"/>
      <c r="B1" s="2"/>
      <c r="C1" s="2"/>
      <c r="D1" s="2"/>
      <c r="E1" s="240"/>
      <c r="F1" s="6"/>
      <c r="G1" s="6"/>
      <c r="H1" s="10"/>
      <c r="I1" s="14" t="s">
        <v>1</v>
      </c>
      <c r="J1" s="15"/>
      <c r="K1" s="15"/>
      <c r="L1" s="15"/>
      <c r="M1" s="15"/>
      <c r="N1" s="15"/>
      <c r="O1" s="15"/>
      <c r="P1" s="15"/>
      <c r="Q1" s="15"/>
      <c r="R1" s="18" t="s">
        <v>1</v>
      </c>
      <c r="S1" s="17"/>
      <c r="T1" s="17"/>
      <c r="U1" s="17"/>
      <c r="V1" s="17"/>
      <c r="W1" s="17"/>
      <c r="X1" s="17"/>
      <c r="Y1" s="17"/>
      <c r="Z1" s="17"/>
      <c r="AA1" s="244"/>
      <c r="AB1" s="245"/>
      <c r="AC1" s="247"/>
    </row>
    <row r="2">
      <c r="A2" s="21"/>
      <c r="B2" s="23"/>
      <c r="C2" s="23"/>
      <c r="D2" s="23"/>
      <c r="E2" s="248"/>
      <c r="F2" s="26"/>
      <c r="G2" s="26"/>
      <c r="H2" s="29"/>
      <c r="I2" s="31" t="s">
        <v>3</v>
      </c>
      <c r="J2" s="31" t="s">
        <v>4</v>
      </c>
      <c r="K2" s="31" t="s">
        <v>5</v>
      </c>
      <c r="L2" s="31" t="s">
        <v>5</v>
      </c>
      <c r="M2" s="31" t="s">
        <v>5</v>
      </c>
      <c r="N2" s="31" t="s">
        <v>5</v>
      </c>
      <c r="O2" s="31" t="s">
        <v>6</v>
      </c>
      <c r="P2" s="31" t="s">
        <v>7</v>
      </c>
      <c r="Q2" s="31" t="s">
        <v>7</v>
      </c>
      <c r="R2" s="31" t="s">
        <v>7</v>
      </c>
      <c r="S2" s="31" t="s">
        <v>7</v>
      </c>
      <c r="T2" s="31" t="s">
        <v>7</v>
      </c>
      <c r="U2" s="31" t="s">
        <v>7</v>
      </c>
      <c r="V2" s="31" t="s">
        <v>7</v>
      </c>
      <c r="W2" s="31" t="s">
        <v>7</v>
      </c>
      <c r="X2" s="31" t="s">
        <v>7</v>
      </c>
      <c r="Y2" s="31" t="s">
        <v>8</v>
      </c>
      <c r="Z2" s="31" t="s">
        <v>9</v>
      </c>
      <c r="AA2" s="251"/>
      <c r="AB2" s="252"/>
      <c r="AC2" s="253"/>
    </row>
    <row r="3">
      <c r="A3" s="39" t="s">
        <v>41</v>
      </c>
      <c r="B3" s="15"/>
      <c r="C3" s="15"/>
      <c r="D3" s="15"/>
      <c r="E3" s="15"/>
      <c r="F3" s="40" t="s">
        <v>14</v>
      </c>
      <c r="G3" s="40" t="s">
        <v>15</v>
      </c>
      <c r="H3" s="42" t="s">
        <v>16</v>
      </c>
      <c r="I3" s="44"/>
      <c r="J3" s="44"/>
      <c r="K3" s="44" t="s">
        <v>17</v>
      </c>
      <c r="L3" s="44" t="s">
        <v>18</v>
      </c>
      <c r="M3" s="44" t="s">
        <v>19</v>
      </c>
      <c r="N3" s="44" t="s">
        <v>20</v>
      </c>
      <c r="O3" s="44" t="s">
        <v>21</v>
      </c>
      <c r="P3" s="44" t="s">
        <v>22</v>
      </c>
      <c r="Q3" s="44" t="s">
        <v>23</v>
      </c>
      <c r="R3" s="44" t="s">
        <v>24</v>
      </c>
      <c r="S3" s="44" t="s">
        <v>25</v>
      </c>
      <c r="T3" s="44" t="s">
        <v>26</v>
      </c>
      <c r="U3" s="44" t="s">
        <v>27</v>
      </c>
      <c r="V3" s="44" t="s">
        <v>28</v>
      </c>
      <c r="W3" s="44" t="s">
        <v>29</v>
      </c>
      <c r="X3" s="44" t="s">
        <v>30</v>
      </c>
      <c r="Y3" s="44"/>
      <c r="Z3" s="44" t="s">
        <v>32</v>
      </c>
      <c r="AA3" s="255"/>
      <c r="AB3" s="257" t="s">
        <v>160</v>
      </c>
      <c r="AC3" s="258" t="s">
        <v>161</v>
      </c>
    </row>
    <row r="4">
      <c r="A4" s="51"/>
      <c r="B4" s="50"/>
      <c r="C4" s="50"/>
      <c r="D4" s="50"/>
      <c r="E4" s="260" t="s">
        <v>33</v>
      </c>
      <c r="F4" s="57" t="str">
        <f>'Main CEA'!F191</f>
        <v>xbenchmark</v>
      </c>
      <c r="G4" s="59" t="s">
        <v>37</v>
      </c>
      <c r="H4" s="62" t="str">
        <f>'Main CEA'!H191</f>
        <v>-</v>
      </c>
      <c r="I4" s="64">
        <f>'Main CEA'!I191</f>
        <v>18.0174674</v>
      </c>
      <c r="J4" s="64">
        <f>'Main CEA'!J191</f>
        <v>8.019128417</v>
      </c>
      <c r="K4" s="64">
        <f>'Main CEA'!K191</f>
        <v>7.852125556</v>
      </c>
      <c r="L4" s="64">
        <f>'Main CEA'!L191</f>
        <v>9.246029712</v>
      </c>
      <c r="M4" s="64">
        <f>'Main CEA'!M191</f>
        <v>9.101271824</v>
      </c>
      <c r="N4" s="64">
        <f>'Main CEA'!N191</f>
        <v>12.5733096</v>
      </c>
      <c r="O4" s="64">
        <f>'Main CEA'!O191</f>
        <v>11.49583583</v>
      </c>
      <c r="P4" s="64">
        <f>'Main CEA'!P191</f>
        <v>21.23317512</v>
      </c>
      <c r="Q4" s="64">
        <f>'Main CEA'!Q191</f>
        <v>18.02657078</v>
      </c>
      <c r="R4" s="64">
        <f>'Main CEA'!R191</f>
        <v>16.09673298</v>
      </c>
      <c r="S4" s="64">
        <f>'Main CEA'!S191</f>
        <v>29.42816881</v>
      </c>
      <c r="T4" s="64">
        <f>'Main CEA'!T191</f>
        <v>21.04785894</v>
      </c>
      <c r="U4" s="64">
        <f>'Main CEA'!U191</f>
        <v>22.32938367</v>
      </c>
      <c r="V4" s="64">
        <f>'Main CEA'!V191</f>
        <v>24.33012971</v>
      </c>
      <c r="W4" s="64">
        <f>'Main CEA'!W191</f>
        <v>16.04591397</v>
      </c>
      <c r="X4" s="64">
        <f>'Main CEA'!X191</f>
        <v>29.83296948</v>
      </c>
      <c r="Y4" s="64">
        <f>'Main CEA'!Y191</f>
        <v>10.567669</v>
      </c>
      <c r="Z4" s="64">
        <f>'Main CEA'!Z191</f>
        <v>10.36078258</v>
      </c>
      <c r="AA4" s="281"/>
      <c r="AB4" s="282"/>
      <c r="AC4" s="283"/>
    </row>
    <row r="5">
      <c r="A5" s="66" t="s">
        <v>46</v>
      </c>
      <c r="B5" s="17"/>
      <c r="C5" s="17"/>
      <c r="D5" s="17"/>
      <c r="E5" s="17"/>
      <c r="F5" s="17"/>
      <c r="G5" s="87"/>
      <c r="H5" s="284"/>
      <c r="I5" s="285"/>
      <c r="J5" s="285"/>
      <c r="K5" s="285"/>
      <c r="L5" s="285"/>
      <c r="M5" s="285"/>
      <c r="N5" s="285"/>
      <c r="O5" s="285"/>
      <c r="P5" s="285"/>
      <c r="Q5" s="285"/>
      <c r="R5" s="285"/>
      <c r="S5" s="285"/>
      <c r="T5" s="285"/>
      <c r="U5" s="285"/>
      <c r="V5" s="285"/>
      <c r="W5" s="285"/>
      <c r="X5" s="285"/>
      <c r="Y5" s="285"/>
      <c r="Z5" s="285"/>
      <c r="AA5" s="287"/>
      <c r="AB5" s="282"/>
      <c r="AC5" s="288"/>
    </row>
    <row r="6">
      <c r="A6" s="71"/>
      <c r="B6" s="72"/>
      <c r="C6" s="72"/>
      <c r="D6" s="72"/>
      <c r="E6" s="289"/>
      <c r="F6" s="75"/>
      <c r="G6" s="77"/>
      <c r="H6" s="291"/>
      <c r="I6" s="293"/>
      <c r="J6" s="293"/>
      <c r="K6" s="293"/>
      <c r="L6" s="293"/>
      <c r="M6" s="293"/>
      <c r="N6" s="293"/>
      <c r="O6" s="293"/>
      <c r="P6" s="293"/>
      <c r="Q6" s="293"/>
      <c r="R6" s="293"/>
      <c r="S6" s="293"/>
      <c r="T6" s="293"/>
      <c r="U6" s="293"/>
      <c r="V6" s="293"/>
      <c r="W6" s="293"/>
      <c r="X6" s="293"/>
      <c r="Y6" s="293"/>
      <c r="Z6" s="293"/>
      <c r="AA6" s="185"/>
      <c r="AB6" s="294"/>
      <c r="AC6" s="295"/>
    </row>
    <row r="7">
      <c r="A7" s="71"/>
      <c r="B7" s="72"/>
      <c r="C7" s="82" t="s">
        <v>50</v>
      </c>
      <c r="F7" s="75"/>
      <c r="G7" s="83"/>
      <c r="H7" s="291"/>
      <c r="I7" s="293"/>
      <c r="J7" s="293"/>
      <c r="K7" s="293"/>
      <c r="L7" s="293"/>
      <c r="M7" s="293"/>
      <c r="N7" s="293"/>
      <c r="O7" s="293"/>
      <c r="P7" s="293"/>
      <c r="Q7" s="293"/>
      <c r="R7" s="293"/>
      <c r="S7" s="293"/>
      <c r="T7" s="293"/>
      <c r="U7" s="293"/>
      <c r="V7" s="293"/>
      <c r="W7" s="293"/>
      <c r="X7" s="293"/>
      <c r="Y7" s="293"/>
      <c r="Z7" s="293"/>
      <c r="AA7" s="185"/>
      <c r="AB7" s="294"/>
      <c r="AC7" s="295"/>
    </row>
    <row r="8">
      <c r="A8" s="71"/>
      <c r="B8" s="72"/>
      <c r="C8" s="72"/>
      <c r="D8" s="72"/>
      <c r="E8" s="93" t="s">
        <v>52</v>
      </c>
      <c r="F8" s="96" t="s">
        <v>95</v>
      </c>
      <c r="G8" s="101" t="s">
        <v>110</v>
      </c>
      <c r="H8" s="298">
        <v>1000000.0</v>
      </c>
      <c r="I8" s="299" t="s">
        <v>124</v>
      </c>
      <c r="J8" s="299" t="s">
        <v>124</v>
      </c>
      <c r="K8" s="299" t="s">
        <v>124</v>
      </c>
      <c r="L8" s="299" t="s">
        <v>124</v>
      </c>
      <c r="M8" s="299" t="s">
        <v>124</v>
      </c>
      <c r="N8" s="299" t="s">
        <v>124</v>
      </c>
      <c r="O8" s="299" t="s">
        <v>124</v>
      </c>
      <c r="P8" s="299" t="s">
        <v>124</v>
      </c>
      <c r="Q8" s="299" t="s">
        <v>124</v>
      </c>
      <c r="R8" s="299" t="s">
        <v>124</v>
      </c>
      <c r="S8" s="299" t="s">
        <v>124</v>
      </c>
      <c r="T8" s="299" t="s">
        <v>124</v>
      </c>
      <c r="U8" s="299" t="s">
        <v>124</v>
      </c>
      <c r="V8" s="299" t="s">
        <v>124</v>
      </c>
      <c r="W8" s="299" t="s">
        <v>124</v>
      </c>
      <c r="X8" s="299" t="s">
        <v>124</v>
      </c>
      <c r="Y8" s="299" t="s">
        <v>124</v>
      </c>
      <c r="Z8" s="299" t="s">
        <v>124</v>
      </c>
      <c r="AA8" s="235"/>
      <c r="AB8" s="300" t="s">
        <v>177</v>
      </c>
      <c r="AC8" s="301"/>
    </row>
    <row r="9">
      <c r="A9" s="71"/>
      <c r="B9" s="72"/>
      <c r="C9" s="35"/>
      <c r="D9" s="35"/>
      <c r="E9" s="304"/>
      <c r="F9" s="125"/>
      <c r="G9" s="126"/>
      <c r="H9" s="305"/>
      <c r="I9" s="293"/>
      <c r="J9" s="293"/>
      <c r="K9" s="293"/>
      <c r="L9" s="293"/>
      <c r="M9" s="293"/>
      <c r="N9" s="293"/>
      <c r="O9" s="293"/>
      <c r="P9" s="293"/>
      <c r="Q9" s="293"/>
      <c r="R9" s="293"/>
      <c r="S9" s="293"/>
      <c r="T9" s="293"/>
      <c r="U9" s="293"/>
      <c r="V9" s="293"/>
      <c r="W9" s="293"/>
      <c r="X9" s="293"/>
      <c r="Y9" s="293"/>
      <c r="Z9" s="293"/>
      <c r="AA9" s="185"/>
      <c r="AB9" s="294"/>
      <c r="AC9" s="295"/>
    </row>
    <row r="10">
      <c r="A10" s="71"/>
      <c r="B10" s="72"/>
      <c r="C10" s="124" t="s">
        <v>71</v>
      </c>
      <c r="F10" s="125"/>
      <c r="G10" s="126"/>
      <c r="H10" s="305"/>
      <c r="I10" s="293"/>
      <c r="J10" s="293"/>
      <c r="K10" s="293"/>
      <c r="L10" s="293"/>
      <c r="M10" s="293"/>
      <c r="N10" s="293"/>
      <c r="O10" s="293"/>
      <c r="P10" s="293"/>
      <c r="Q10" s="293"/>
      <c r="R10" s="293"/>
      <c r="S10" s="293"/>
      <c r="T10" s="293"/>
      <c r="U10" s="293"/>
      <c r="V10" s="293"/>
      <c r="W10" s="293"/>
      <c r="X10" s="293"/>
      <c r="Y10" s="293"/>
      <c r="Z10" s="293"/>
      <c r="AA10" s="185"/>
      <c r="AB10" s="294"/>
      <c r="AC10" s="295"/>
    </row>
    <row r="11">
      <c r="A11" s="71"/>
      <c r="B11" s="72"/>
      <c r="C11" s="35"/>
      <c r="D11" s="35"/>
      <c r="E11" s="306" t="s">
        <v>74</v>
      </c>
      <c r="F11" s="128" t="s">
        <v>99</v>
      </c>
      <c r="G11" s="130" t="s">
        <v>110</v>
      </c>
      <c r="H11" s="308" t="s">
        <v>124</v>
      </c>
      <c r="I11" s="309">
        <v>0.8872139</v>
      </c>
      <c r="J11" s="309">
        <v>0.8943595</v>
      </c>
      <c r="K11" s="309">
        <v>0.8943595</v>
      </c>
      <c r="L11" s="309">
        <v>0.8943595</v>
      </c>
      <c r="M11" s="309">
        <v>0.8943595</v>
      </c>
      <c r="N11" s="309">
        <v>0.8943595</v>
      </c>
      <c r="O11" s="309">
        <v>0.8943595</v>
      </c>
      <c r="P11" s="309">
        <v>0.8604484</v>
      </c>
      <c r="Q11" s="309">
        <v>0.8604484</v>
      </c>
      <c r="R11" s="309">
        <v>0.8604484</v>
      </c>
      <c r="S11" s="309">
        <v>0.8604484</v>
      </c>
      <c r="T11" s="309">
        <v>0.8604484</v>
      </c>
      <c r="U11" s="309">
        <v>0.8604484</v>
      </c>
      <c r="V11" s="309">
        <v>0.8604484</v>
      </c>
      <c r="W11" s="309">
        <v>0.8604484</v>
      </c>
      <c r="X11" s="309">
        <v>0.8604484</v>
      </c>
      <c r="Y11" s="309">
        <v>0.874083</v>
      </c>
      <c r="Z11" s="309">
        <v>0.8943595</v>
      </c>
      <c r="AA11" s="311"/>
      <c r="AB11" s="312" t="s">
        <v>181</v>
      </c>
      <c r="AC11" s="315" t="s">
        <v>182</v>
      </c>
    </row>
    <row r="12">
      <c r="A12" s="71"/>
      <c r="B12" s="72"/>
      <c r="C12" s="35"/>
      <c r="D12" s="35"/>
      <c r="E12" s="316" t="s">
        <v>91</v>
      </c>
      <c r="F12" s="146" t="s">
        <v>99</v>
      </c>
      <c r="G12" s="147" t="s">
        <v>110</v>
      </c>
      <c r="H12" s="317" t="s">
        <v>124</v>
      </c>
      <c r="I12" s="319">
        <v>0.0081278</v>
      </c>
      <c r="J12" s="319">
        <v>0.0</v>
      </c>
      <c r="K12" s="319">
        <v>0.0</v>
      </c>
      <c r="L12" s="319">
        <v>0.0</v>
      </c>
      <c r="M12" s="319">
        <v>0.0</v>
      </c>
      <c r="N12" s="319">
        <v>0.0</v>
      </c>
      <c r="O12" s="319">
        <v>0.0</v>
      </c>
      <c r="P12" s="319">
        <v>0.0384031</v>
      </c>
      <c r="Q12" s="319">
        <v>0.0384031</v>
      </c>
      <c r="R12" s="319">
        <v>0.0384031</v>
      </c>
      <c r="S12" s="319">
        <v>0.0384031</v>
      </c>
      <c r="T12" s="319">
        <v>0.0384031</v>
      </c>
      <c r="U12" s="319">
        <v>0.0384031</v>
      </c>
      <c r="V12" s="319">
        <v>0.0384031</v>
      </c>
      <c r="W12" s="319">
        <v>0.0384031</v>
      </c>
      <c r="X12" s="319">
        <v>0.0384031</v>
      </c>
      <c r="Y12" s="319">
        <v>0.0244652</v>
      </c>
      <c r="Z12" s="319">
        <v>0.0</v>
      </c>
      <c r="AA12" s="320"/>
      <c r="AB12" s="321" t="s">
        <v>181</v>
      </c>
      <c r="AC12" s="315" t="s">
        <v>182</v>
      </c>
    </row>
    <row r="13">
      <c r="A13" s="71"/>
      <c r="B13" s="72"/>
      <c r="C13" s="35"/>
      <c r="D13" s="35"/>
      <c r="E13" s="322" t="s">
        <v>109</v>
      </c>
      <c r="F13" s="157" t="s">
        <v>99</v>
      </c>
      <c r="G13" s="161" t="s">
        <v>110</v>
      </c>
      <c r="H13" s="324" t="s">
        <v>124</v>
      </c>
      <c r="I13" s="326">
        <v>0.1046583</v>
      </c>
      <c r="J13" s="326">
        <v>0.1056405</v>
      </c>
      <c r="K13" s="326">
        <v>0.1056405</v>
      </c>
      <c r="L13" s="326">
        <v>0.1056405</v>
      </c>
      <c r="M13" s="326">
        <v>0.1056405</v>
      </c>
      <c r="N13" s="326">
        <v>0.1056405</v>
      </c>
      <c r="O13" s="326">
        <v>0.1056405</v>
      </c>
      <c r="P13" s="326">
        <v>0.1011485</v>
      </c>
      <c r="Q13" s="326">
        <v>0.1011485</v>
      </c>
      <c r="R13" s="326">
        <v>0.1011485</v>
      </c>
      <c r="S13" s="326">
        <v>0.1011485</v>
      </c>
      <c r="T13" s="326">
        <v>0.1011485</v>
      </c>
      <c r="U13" s="326">
        <v>0.1011485</v>
      </c>
      <c r="V13" s="326">
        <v>0.1011485</v>
      </c>
      <c r="W13" s="326">
        <v>0.1011485</v>
      </c>
      <c r="X13" s="326">
        <v>0.1011485</v>
      </c>
      <c r="Y13" s="326">
        <v>0.1014518</v>
      </c>
      <c r="Z13" s="326">
        <v>0.1056405</v>
      </c>
      <c r="AA13" s="328"/>
      <c r="AB13" s="330" t="s">
        <v>181</v>
      </c>
      <c r="AC13" s="331" t="s">
        <v>182</v>
      </c>
    </row>
    <row r="14">
      <c r="A14" s="71"/>
      <c r="B14" s="72"/>
      <c r="C14" s="35"/>
      <c r="D14" s="35"/>
      <c r="E14" s="304"/>
      <c r="F14" s="293"/>
      <c r="G14" s="126"/>
      <c r="H14" s="291"/>
      <c r="I14" s="293"/>
      <c r="J14" s="293"/>
      <c r="K14" s="293"/>
      <c r="L14" s="293"/>
      <c r="M14" s="293"/>
      <c r="N14" s="293"/>
      <c r="O14" s="293"/>
      <c r="P14" s="293"/>
      <c r="Q14" s="293"/>
      <c r="R14" s="293"/>
      <c r="S14" s="293"/>
      <c r="T14" s="293"/>
      <c r="U14" s="293"/>
      <c r="V14" s="293"/>
      <c r="W14" s="293"/>
      <c r="X14" s="293"/>
      <c r="Y14" s="293"/>
      <c r="Z14" s="293"/>
      <c r="AA14" s="185"/>
      <c r="AB14" s="294"/>
      <c r="AC14" s="295"/>
    </row>
    <row r="15">
      <c r="A15" s="71"/>
      <c r="B15" s="72"/>
      <c r="C15" s="107" t="s">
        <v>146</v>
      </c>
      <c r="F15" s="75"/>
      <c r="G15" s="77"/>
      <c r="H15" s="291"/>
      <c r="I15" s="293"/>
      <c r="J15" s="293"/>
      <c r="K15" s="293"/>
      <c r="L15" s="293"/>
      <c r="M15" s="293"/>
      <c r="N15" s="293"/>
      <c r="O15" s="293"/>
      <c r="P15" s="293"/>
      <c r="Q15" s="293"/>
      <c r="R15" s="293"/>
      <c r="S15" s="293"/>
      <c r="T15" s="293"/>
      <c r="U15" s="293"/>
      <c r="V15" s="293"/>
      <c r="W15" s="293"/>
      <c r="X15" s="293"/>
      <c r="Y15" s="293"/>
      <c r="Z15" s="293"/>
      <c r="AA15" s="185"/>
      <c r="AB15" s="294"/>
      <c r="AC15" s="295"/>
    </row>
    <row r="16">
      <c r="A16" s="71"/>
      <c r="B16" s="72"/>
      <c r="C16" s="72"/>
      <c r="D16" s="333"/>
      <c r="E16" s="334" t="s">
        <v>149</v>
      </c>
      <c r="F16" s="115" t="s">
        <v>95</v>
      </c>
      <c r="G16" s="231" t="s">
        <v>110</v>
      </c>
      <c r="H16" s="308" t="s">
        <v>124</v>
      </c>
      <c r="I16" s="336">
        <v>1.47763</v>
      </c>
      <c r="J16" s="336">
        <v>1.81008</v>
      </c>
      <c r="K16" s="336">
        <v>1.81008</v>
      </c>
      <c r="L16" s="336">
        <v>1.81008</v>
      </c>
      <c r="M16" s="336">
        <v>1.81008</v>
      </c>
      <c r="N16" s="336">
        <v>1.81008</v>
      </c>
      <c r="O16" s="336">
        <v>1.81008</v>
      </c>
      <c r="P16" s="336">
        <v>1.40255</v>
      </c>
      <c r="Q16" s="336">
        <v>1.40255</v>
      </c>
      <c r="R16" s="336">
        <v>1.40255</v>
      </c>
      <c r="S16" s="336">
        <v>1.40255</v>
      </c>
      <c r="T16" s="336">
        <v>1.40255</v>
      </c>
      <c r="U16" s="336">
        <v>1.40255</v>
      </c>
      <c r="V16" s="336">
        <v>1.40255</v>
      </c>
      <c r="W16" s="336">
        <v>1.40255</v>
      </c>
      <c r="X16" s="336">
        <v>1.40255</v>
      </c>
      <c r="Y16" s="336">
        <v>1.49507</v>
      </c>
      <c r="Z16" s="336">
        <v>1.81008</v>
      </c>
      <c r="AA16" s="311"/>
      <c r="AB16" s="339" t="s">
        <v>181</v>
      </c>
      <c r="AC16" s="315" t="s">
        <v>182</v>
      </c>
    </row>
    <row r="17">
      <c r="A17" s="71"/>
      <c r="B17" s="72"/>
      <c r="C17" s="72"/>
      <c r="D17" s="333"/>
      <c r="E17" s="340" t="s">
        <v>153</v>
      </c>
      <c r="F17" s="96" t="s">
        <v>88</v>
      </c>
      <c r="G17" s="176" t="s">
        <v>110</v>
      </c>
      <c r="H17" s="341" t="s">
        <v>124</v>
      </c>
      <c r="I17" s="342">
        <v>4.3</v>
      </c>
      <c r="J17" s="342">
        <v>4.0</v>
      </c>
      <c r="K17" s="342">
        <v>4.0</v>
      </c>
      <c r="L17" s="342">
        <v>4.0</v>
      </c>
      <c r="M17" s="342">
        <v>4.0</v>
      </c>
      <c r="N17" s="342">
        <v>4.0</v>
      </c>
      <c r="O17" s="342">
        <v>4.0</v>
      </c>
      <c r="P17" s="342">
        <v>4.0</v>
      </c>
      <c r="Q17" s="342">
        <v>4.0</v>
      </c>
      <c r="R17" s="342">
        <v>5.0</v>
      </c>
      <c r="S17" s="342">
        <v>4.0</v>
      </c>
      <c r="T17" s="342">
        <v>5.0</v>
      </c>
      <c r="U17" s="342">
        <v>5.0</v>
      </c>
      <c r="V17" s="342">
        <v>5.0</v>
      </c>
      <c r="W17" s="342">
        <v>5.0</v>
      </c>
      <c r="X17" s="342">
        <v>4.0</v>
      </c>
      <c r="Y17" s="342">
        <v>4.0</v>
      </c>
      <c r="Z17" s="342">
        <v>5.0</v>
      </c>
      <c r="AA17" s="235"/>
      <c r="AB17" s="300" t="s">
        <v>181</v>
      </c>
      <c r="AC17" s="347" t="s">
        <v>125</v>
      </c>
    </row>
    <row r="18">
      <c r="A18" s="71"/>
      <c r="B18" s="72"/>
      <c r="C18" s="35"/>
      <c r="D18" s="35"/>
      <c r="E18" s="304"/>
      <c r="F18" s="293"/>
      <c r="G18" s="126"/>
      <c r="H18" s="291"/>
      <c r="I18" s="293"/>
      <c r="J18" s="293"/>
      <c r="K18" s="293"/>
      <c r="L18" s="293"/>
      <c r="M18" s="293"/>
      <c r="N18" s="293"/>
      <c r="O18" s="293"/>
      <c r="P18" s="293"/>
      <c r="Q18" s="293"/>
      <c r="R18" s="293"/>
      <c r="S18" s="293"/>
      <c r="T18" s="293"/>
      <c r="U18" s="293"/>
      <c r="V18" s="293"/>
      <c r="W18" s="293"/>
      <c r="X18" s="293"/>
      <c r="Y18" s="293"/>
      <c r="Z18" s="293"/>
      <c r="AA18" s="185"/>
      <c r="AB18" s="294"/>
      <c r="AC18" s="295"/>
    </row>
    <row r="19">
      <c r="A19" s="66" t="s">
        <v>35</v>
      </c>
      <c r="B19" s="17"/>
      <c r="C19" s="17"/>
      <c r="D19" s="17"/>
      <c r="E19" s="17"/>
      <c r="F19" s="17"/>
      <c r="G19" s="87"/>
      <c r="H19" s="349"/>
      <c r="I19" s="350"/>
      <c r="J19" s="350"/>
      <c r="K19" s="350"/>
      <c r="L19" s="350"/>
      <c r="M19" s="350"/>
      <c r="N19" s="350"/>
      <c r="O19" s="350"/>
      <c r="P19" s="350"/>
      <c r="Q19" s="350"/>
      <c r="R19" s="350"/>
      <c r="S19" s="350"/>
      <c r="T19" s="350"/>
      <c r="U19" s="350"/>
      <c r="V19" s="350"/>
      <c r="W19" s="350"/>
      <c r="X19" s="350"/>
      <c r="Y19" s="350"/>
      <c r="Z19" s="350"/>
      <c r="AA19" s="352"/>
      <c r="AB19" s="353"/>
      <c r="AC19" s="356"/>
    </row>
    <row r="20">
      <c r="A20" s="355"/>
      <c r="B20" s="358"/>
      <c r="C20" s="358"/>
      <c r="D20" s="358"/>
      <c r="E20" s="358"/>
      <c r="F20" s="358"/>
      <c r="G20" s="360"/>
      <c r="H20" s="361"/>
      <c r="I20" s="108"/>
      <c r="J20" s="108"/>
      <c r="K20" s="108"/>
      <c r="L20" s="108"/>
      <c r="M20" s="108"/>
      <c r="N20" s="108"/>
      <c r="O20" s="108"/>
      <c r="P20" s="108"/>
      <c r="Q20" s="108"/>
      <c r="R20" s="108"/>
      <c r="S20" s="108"/>
      <c r="T20" s="108"/>
      <c r="U20" s="108"/>
      <c r="V20" s="108"/>
      <c r="W20" s="108"/>
      <c r="X20" s="108"/>
      <c r="Y20" s="108"/>
      <c r="Z20" s="108"/>
      <c r="AA20" s="270"/>
      <c r="AB20" s="362"/>
      <c r="AC20" s="363"/>
    </row>
    <row r="21">
      <c r="A21" s="355"/>
      <c r="B21" s="358"/>
      <c r="C21" s="107" t="s">
        <v>195</v>
      </c>
      <c r="F21" s="364"/>
      <c r="G21" s="365"/>
      <c r="H21" s="361"/>
      <c r="I21" s="108"/>
      <c r="J21" s="108"/>
      <c r="K21" s="108"/>
      <c r="L21" s="108"/>
      <c r="M21" s="108"/>
      <c r="N21" s="108"/>
      <c r="O21" s="108"/>
      <c r="P21" s="108"/>
      <c r="Q21" s="108"/>
      <c r="R21" s="108"/>
      <c r="S21" s="108"/>
      <c r="T21" s="108"/>
      <c r="U21" s="108"/>
      <c r="V21" s="108"/>
      <c r="W21" s="108"/>
      <c r="X21" s="108"/>
      <c r="Y21" s="108"/>
      <c r="Z21" s="108"/>
      <c r="AA21" s="270"/>
      <c r="AB21" s="362"/>
      <c r="AC21" s="363"/>
    </row>
    <row r="22">
      <c r="A22" s="367"/>
      <c r="B22" s="333"/>
      <c r="C22" s="333"/>
      <c r="D22" s="333"/>
      <c r="E22" s="369" t="s">
        <v>61</v>
      </c>
      <c r="F22" s="370" t="s">
        <v>88</v>
      </c>
      <c r="G22" s="371" t="s">
        <v>110</v>
      </c>
      <c r="H22" s="372" t="s">
        <v>124</v>
      </c>
      <c r="I22" s="374">
        <f>IFERROR(__xludf.DUMMYFUNCTION("FILTER('GBD estimates'!$S$4:$S$309,'GBD estimates'!$M$4:$M$309=I$2,'GBD estimates'!$O$4:$O$309=""&lt;5 years"")"),16395.3694901677)</f>
        <v>16395.36949</v>
      </c>
      <c r="J22" s="374">
        <f>IFERROR(__xludf.DUMMYFUNCTION("FILTER('GBD estimates'!$S$4:$S$309,'GBD estimates'!$M$4:$M$309=J$2,'GBD estimates'!$O$4:$O$309=""&lt;5 years"")"),4525.73244604996)</f>
        <v>4525.732446</v>
      </c>
      <c r="K22" s="375">
        <v>4108.13667</v>
      </c>
      <c r="L22" s="375">
        <v>3604.38625</v>
      </c>
      <c r="M22" s="375">
        <v>1046.91257</v>
      </c>
      <c r="N22" s="375">
        <v>3752.05856</v>
      </c>
      <c r="O22" s="375">
        <v>3006.92809</v>
      </c>
      <c r="P22" s="374">
        <f>IFERROR(__xludf.DUMMYFUNCTION("FILTER('GBD estimates'!$BA$4:$BA$258,'GBD estimates'!$AV$4:$AV$258=P$3,'GBD estimates'!$AU$4:$AU$258=""Under 5"")"),3593.574945)</f>
        <v>3593.574945</v>
      </c>
      <c r="Q22" s="374">
        <f>IFERROR(__xludf.DUMMYFUNCTION("FILTER('GBD estimates'!$BA$4:$BA$258,'GBD estimates'!$AV$4:$AV$258=Q$3,'GBD estimates'!$AU$4:$AU$258=""Under 5"")"),1707.805365)</f>
        <v>1707.805365</v>
      </c>
      <c r="R22" s="374">
        <f>IFERROR(__xludf.DUMMYFUNCTION("FILTER('GBD estimates'!$BA$4:$BA$258,'GBD estimates'!$AV$4:$AV$258=R$3,'GBD estimates'!$AU$4:$AU$258=""Under 5"")"),1882.032542)</f>
        <v>1882.032542</v>
      </c>
      <c r="S22" s="374">
        <f>IFERROR(__xludf.DUMMYFUNCTION("FILTER('GBD estimates'!$BA$4:$BA$258,'GBD estimates'!$AV$4:$AV$258=S$3,'GBD estimates'!$AU$4:$AU$258=""Under 5"")"),3140.509316)</f>
        <v>3140.509316</v>
      </c>
      <c r="T22" s="374">
        <f>IFERROR(__xludf.DUMMYFUNCTION("FILTER('GBD estimates'!$BA$4:$BA$258,'GBD estimates'!$AV$4:$AV$258=T$3,'GBD estimates'!$AU$4:$AU$258=""Under 5"")"),800.9679515)</f>
        <v>800.9679515</v>
      </c>
      <c r="U22" s="374">
        <f>IFERROR(__xludf.DUMMYFUNCTION("FILTER('GBD estimates'!$BA$4:$BA$258,'GBD estimates'!$AV$4:$AV$258=U$3,'GBD estimates'!$AU$4:$AU$258=""Under 5"")"),2258.288279)</f>
        <v>2258.288279</v>
      </c>
      <c r="V22" s="374">
        <f>IFERROR(__xludf.DUMMYFUNCTION("FILTER('GBD estimates'!$BA$4:$BA$258,'GBD estimates'!$AV$4:$AV$258=V$3,'GBD estimates'!$AU$4:$AU$258=""Under 5"")"),1857.078678)</f>
        <v>1857.078678</v>
      </c>
      <c r="W22" s="374">
        <f>IFERROR(__xludf.DUMMYFUNCTION("FILTER('GBD estimates'!$BA$4:$BA$258,'GBD estimates'!$AV$4:$AV$258=W$3,'GBD estimates'!$AU$4:$AU$258=""Under 5"")"),3181.704964)</f>
        <v>3181.704964</v>
      </c>
      <c r="X22" s="374">
        <f>IFERROR(__xludf.DUMMYFUNCTION("FILTER('GBD estimates'!$BA$4:$BA$258,'GBD estimates'!$AV$4:$AV$258=X$3,'GBD estimates'!$AU$4:$AU$258=""Under 5"")"),4918.708785)</f>
        <v>4918.708785</v>
      </c>
      <c r="Y22" s="374">
        <f>IFERROR(__xludf.DUMMYFUNCTION("FILTER('GBD estimates'!$S$4:$S$309,'GBD estimates'!$M$4:$M$309=Y$2,'GBD estimates'!$O$4:$O$309=""&lt;5 years"")"),1880.40794320354)</f>
        <v>1880.407943</v>
      </c>
      <c r="Z22" s="375">
        <v>3723.99317</v>
      </c>
      <c r="AA22" s="382"/>
      <c r="AB22" s="384" t="s">
        <v>202</v>
      </c>
      <c r="AC22" s="385"/>
    </row>
    <row r="23">
      <c r="A23" s="367"/>
      <c r="B23" s="333"/>
      <c r="C23" s="333"/>
      <c r="D23" s="333"/>
      <c r="E23" s="386" t="s">
        <v>86</v>
      </c>
      <c r="F23" s="387" t="s">
        <v>88</v>
      </c>
      <c r="G23" s="389" t="s">
        <v>110</v>
      </c>
      <c r="H23" s="390" t="s">
        <v>124</v>
      </c>
      <c r="I23" s="391">
        <f>IFERROR(__xludf.DUMMYFUNCTION("FILTER('GBD estimates'!$S$4:$S$309,'GBD estimates'!$M$4:$M$309=I$2,'GBD estimates'!$O$4:$O$309=""0-6 days"")"),0.0)</f>
        <v>0</v>
      </c>
      <c r="J23" s="391">
        <f>IFERROR(__xludf.DUMMYFUNCTION("FILTER('GBD estimates'!$S$4:$S$309,'GBD estimates'!$M$4:$M$309=J$2,'GBD estimates'!$O$4:$O$309=""0-6 days"")"),0.0)</f>
        <v>0</v>
      </c>
      <c r="K23" s="393">
        <v>0.0</v>
      </c>
      <c r="L23" s="393">
        <v>0.0</v>
      </c>
      <c r="M23" s="393">
        <v>0.0</v>
      </c>
      <c r="N23" s="393">
        <v>0.0</v>
      </c>
      <c r="O23" s="393">
        <v>0.0</v>
      </c>
      <c r="P23" s="393">
        <v>0.0</v>
      </c>
      <c r="Q23" s="393">
        <v>0.0</v>
      </c>
      <c r="R23" s="393">
        <v>0.0</v>
      </c>
      <c r="S23" s="393">
        <v>0.0</v>
      </c>
      <c r="T23" s="393">
        <v>0.0</v>
      </c>
      <c r="U23" s="393">
        <v>0.0</v>
      </c>
      <c r="V23" s="393">
        <v>0.0</v>
      </c>
      <c r="W23" s="393">
        <v>0.0</v>
      </c>
      <c r="X23" s="393">
        <v>0.0</v>
      </c>
      <c r="Y23" s="391">
        <f>IFERROR(__xludf.DUMMYFUNCTION("FILTER('GBD estimates'!$S$4:$S$309,'GBD estimates'!$M$4:$M$309=Y$2,'GBD estimates'!$O$4:$O$309=""0-6 days"")"),0.0)</f>
        <v>0</v>
      </c>
      <c r="Z23" s="393">
        <v>0.0</v>
      </c>
      <c r="AA23" s="395"/>
      <c r="AB23" s="396" t="s">
        <v>202</v>
      </c>
      <c r="AC23" s="398"/>
    </row>
    <row r="24">
      <c r="A24" s="367"/>
      <c r="B24" s="333"/>
      <c r="C24" s="333"/>
      <c r="D24" s="333"/>
      <c r="E24" s="386" t="s">
        <v>107</v>
      </c>
      <c r="F24" s="387" t="s">
        <v>88</v>
      </c>
      <c r="G24" s="389" t="s">
        <v>110</v>
      </c>
      <c r="H24" s="390" t="s">
        <v>124</v>
      </c>
      <c r="I24" s="391">
        <f>IFERROR(__xludf.DUMMYFUNCTION("FILTER('GBD estimates'!$S$4:$S$309,'GBD estimates'!$M$4:$M$309=I$2,'GBD estimates'!$O$4:$O$309=""7-27 days"")"),683.012100501328)</f>
        <v>683.0121005</v>
      </c>
      <c r="J24" s="391">
        <f>IFERROR(__xludf.DUMMYFUNCTION("FILTER('GBD estimates'!$S$4:$S$309,'GBD estimates'!$M$4:$M$309=J$2,'GBD estimates'!$O$4:$O$309=""7-27 days"")"),207.98591325582)</f>
        <v>207.9859133</v>
      </c>
      <c r="K24" s="393">
        <v>288.24933</v>
      </c>
      <c r="L24" s="393">
        <v>252.90345</v>
      </c>
      <c r="M24" s="393">
        <v>73.45711</v>
      </c>
      <c r="N24" s="393">
        <v>263.26495</v>
      </c>
      <c r="O24" s="393">
        <v>119.56005</v>
      </c>
      <c r="P24" s="391">
        <f>IFERROR(__xludf.DUMMYFUNCTION("FILTER('GBD estimates'!$BA$4:$BA$258,'GBD estimates'!$AV$4:$AV$258=P$3,'GBD estimates'!$AU$4:$AU$258=""7 to 27 days (late neonatal)"")"),77.56124047)</f>
        <v>77.56124047</v>
      </c>
      <c r="Q24" s="391">
        <f>IFERROR(__xludf.DUMMYFUNCTION("FILTER('GBD estimates'!$BA$4:$BA$258,'GBD estimates'!$AV$4:$AV$258=Q$3,'GBD estimates'!$AU$4:$AU$258=""7 to 27 days (late neonatal)"")"),67.45050889)</f>
        <v>67.45050889</v>
      </c>
      <c r="R24" s="391">
        <f>IFERROR(__xludf.DUMMYFUNCTION("FILTER('GBD estimates'!$BA$4:$BA$258,'GBD estimates'!$AV$4:$AV$258=R$3,'GBD estimates'!$AU$4:$AU$258=""7 to 27 days (late neonatal)"")"),112.9551112)</f>
        <v>112.9551112</v>
      </c>
      <c r="S24" s="391">
        <f>IFERROR(__xludf.DUMMYFUNCTION("FILTER('GBD estimates'!$BA$4:$BA$258,'GBD estimates'!$AV$4:$AV$258=S$3,'GBD estimates'!$AU$4:$AU$258=""7 to 27 days (late neonatal)"")"),84.23526307)</f>
        <v>84.23526307</v>
      </c>
      <c r="T24" s="391">
        <f>IFERROR(__xludf.DUMMYFUNCTION("FILTER('GBD estimates'!$BA$4:$BA$258,'GBD estimates'!$AV$4:$AV$258=T$3,'GBD estimates'!$AU$4:$AU$258=""7 to 27 days (late neonatal)"")"),49.43917069)</f>
        <v>49.43917069</v>
      </c>
      <c r="U24" s="391">
        <f>IFERROR(__xludf.DUMMYFUNCTION("FILTER('GBD estimates'!$BA$4:$BA$258,'GBD estimates'!$AV$4:$AV$258=U$3,'GBD estimates'!$AU$4:$AU$258=""7 to 27 days (late neonatal)"")"),97.97276234)</f>
        <v>97.97276234</v>
      </c>
      <c r="V24" s="391">
        <f>IFERROR(__xludf.DUMMYFUNCTION("FILTER('GBD estimates'!$BA$4:$BA$258,'GBD estimates'!$AV$4:$AV$258=V$3,'GBD estimates'!$AU$4:$AU$258=""7 to 27 days (late neonatal)"")"),155.6540484)</f>
        <v>155.6540484</v>
      </c>
      <c r="W24" s="391">
        <f>IFERROR(__xludf.DUMMYFUNCTION("FILTER('GBD estimates'!$BA$4:$BA$258,'GBD estimates'!$AV$4:$AV$258=W$3,'GBD estimates'!$AU$4:$AU$258=""7 to 27 days (late neonatal)"")"),160.3877065)</f>
        <v>160.3877065</v>
      </c>
      <c r="X24" s="391">
        <f>IFERROR(__xludf.DUMMYFUNCTION("FILTER('GBD estimates'!$BA$4:$BA$258,'GBD estimates'!$AV$4:$AV$258=X$3,'GBD estimates'!$AU$4:$AU$258=""7 to 27 days (late neonatal)"")"),107.7832724)</f>
        <v>107.7832724</v>
      </c>
      <c r="Y24" s="391">
        <f>IFERROR(__xludf.DUMMYFUNCTION("FILTER('GBD estimates'!$S$4:$S$309,'GBD estimates'!$M$4:$M$309=Y$2,'GBD estimates'!$O$4:$O$309=""7-27 days"")"),82.1438456374381)</f>
        <v>82.14384564</v>
      </c>
      <c r="Z24" s="393">
        <v>214.2493</v>
      </c>
      <c r="AA24" s="395"/>
      <c r="AB24" s="396" t="s">
        <v>202</v>
      </c>
      <c r="AC24" s="398"/>
    </row>
    <row r="25">
      <c r="A25" s="367"/>
      <c r="B25" s="333"/>
      <c r="C25" s="333"/>
      <c r="D25" s="333"/>
      <c r="E25" s="386" t="s">
        <v>121</v>
      </c>
      <c r="F25" s="387" t="s">
        <v>88</v>
      </c>
      <c r="G25" s="389" t="s">
        <v>110</v>
      </c>
      <c r="H25" s="390" t="s">
        <v>124</v>
      </c>
      <c r="I25" s="391">
        <f>IFERROR(__xludf.DUMMYFUNCTION("FILTER('GBD estimates'!$S$4:$S$309,'GBD estimates'!$M$4:$M$309=I$2,'GBD estimates'!$O$4:$O$309=""28-364 days"")"),5135.61437005002)</f>
        <v>5135.61437</v>
      </c>
      <c r="J25" s="391">
        <f>IFERROR(__xludf.DUMMYFUNCTION("FILTER('GBD estimates'!$S$4:$S$309,'GBD estimates'!$M$4:$M$309=J$2,'GBD estimates'!$O$4:$O$309=""28-364 days"")"),1402.47165898354)</f>
        <v>1402.471659</v>
      </c>
      <c r="K25" s="393">
        <v>1632.34355</v>
      </c>
      <c r="L25" s="393">
        <v>1432.18133</v>
      </c>
      <c r="M25" s="393">
        <v>415.98445</v>
      </c>
      <c r="N25" s="393">
        <v>1490.85804</v>
      </c>
      <c r="O25" s="393">
        <v>1570.00564</v>
      </c>
      <c r="P25" s="391">
        <f>IFERROR(__xludf.DUMMYFUNCTION("FILTER('GBD estimates'!$BA$4:$BA$258,'GBD estimates'!$AV$4:$AV$258=P$3,'GBD estimates'!$AU$4:$AU$258=""28 to 364 days (post neonatal)"")"),514.1128436)</f>
        <v>514.1128436</v>
      </c>
      <c r="Q25" s="391">
        <f>IFERROR(__xludf.DUMMYFUNCTION("FILTER('GBD estimates'!$BA$4:$BA$258,'GBD estimates'!$AV$4:$AV$258=Q$3,'GBD estimates'!$AU$4:$AU$258=""28 to 364 days (post neonatal)"")"),362.4923754)</f>
        <v>362.4923754</v>
      </c>
      <c r="R25" s="391">
        <f>IFERROR(__xludf.DUMMYFUNCTION("FILTER('GBD estimates'!$BA$4:$BA$258,'GBD estimates'!$AV$4:$AV$258=R$3,'GBD estimates'!$AU$4:$AU$258=""28 to 364 days (post neonatal)"")"),590.6183608)</f>
        <v>590.6183608</v>
      </c>
      <c r="S25" s="391">
        <f>IFERROR(__xludf.DUMMYFUNCTION("FILTER('GBD estimates'!$BA$4:$BA$258,'GBD estimates'!$AV$4:$AV$258=S$3,'GBD estimates'!$AU$4:$AU$258=""28 to 364 days (post neonatal)"")"),501.3440327)</f>
        <v>501.3440327</v>
      </c>
      <c r="T25" s="391">
        <f>IFERROR(__xludf.DUMMYFUNCTION("FILTER('GBD estimates'!$BA$4:$BA$258,'GBD estimates'!$AV$4:$AV$258=T$3,'GBD estimates'!$AU$4:$AU$258=""28 to 364 days (post neonatal)"")"),249.8757855)</f>
        <v>249.8757855</v>
      </c>
      <c r="U25" s="391">
        <f>IFERROR(__xludf.DUMMYFUNCTION("FILTER('GBD estimates'!$BA$4:$BA$258,'GBD estimates'!$AV$4:$AV$258=U$3,'GBD estimates'!$AU$4:$AU$258=""28 to 364 days (post neonatal)"")"),584.2162297)</f>
        <v>584.2162297</v>
      </c>
      <c r="V25" s="391">
        <f>IFERROR(__xludf.DUMMYFUNCTION("FILTER('GBD estimates'!$BA$4:$BA$258,'GBD estimates'!$AV$4:$AV$258=V$3,'GBD estimates'!$AU$4:$AU$258=""28 to 364 days (post neonatal)"")"),658.0187831)</f>
        <v>658.0187831</v>
      </c>
      <c r="W25" s="391">
        <f>IFERROR(__xludf.DUMMYFUNCTION("FILTER('GBD estimates'!$BA$4:$BA$258,'GBD estimates'!$AV$4:$AV$258=W$3,'GBD estimates'!$AU$4:$AU$258=""28 to 364 days (post neonatal)"")"),921.5288306)</f>
        <v>921.5288306</v>
      </c>
      <c r="X25" s="391">
        <f>IFERROR(__xludf.DUMMYFUNCTION("FILTER('GBD estimates'!$BA$4:$BA$258,'GBD estimates'!$AV$4:$AV$258=X$3,'GBD estimates'!$AU$4:$AU$258=""28 to 364 days (post neonatal)"")"),726.8852489)</f>
        <v>726.8852489</v>
      </c>
      <c r="Y25" s="391">
        <f>IFERROR(__xludf.DUMMYFUNCTION("FILTER('GBD estimates'!$S$4:$S$309,'GBD estimates'!$M$4:$M$309=Y$2,'GBD estimates'!$O$4:$O$309=""28-364 days"")"),575.084442435558)</f>
        <v>575.0844424</v>
      </c>
      <c r="Z25" s="393">
        <v>1595.46372</v>
      </c>
      <c r="AA25" s="395"/>
      <c r="AB25" s="396" t="s">
        <v>202</v>
      </c>
      <c r="AC25" s="398"/>
    </row>
    <row r="26">
      <c r="A26" s="367"/>
      <c r="B26" s="333"/>
      <c r="C26" s="333"/>
      <c r="D26" s="333"/>
      <c r="E26" s="386" t="s">
        <v>134</v>
      </c>
      <c r="F26" s="387" t="s">
        <v>88</v>
      </c>
      <c r="G26" s="389" t="s">
        <v>110</v>
      </c>
      <c r="H26" s="390">
        <v>11.0</v>
      </c>
      <c r="I26" s="277" t="s">
        <v>124</v>
      </c>
      <c r="J26" s="277" t="s">
        <v>124</v>
      </c>
      <c r="K26" s="277" t="s">
        <v>124</v>
      </c>
      <c r="L26" s="277" t="s">
        <v>124</v>
      </c>
      <c r="M26" s="277" t="s">
        <v>124</v>
      </c>
      <c r="N26" s="277" t="s">
        <v>124</v>
      </c>
      <c r="O26" s="277" t="s">
        <v>124</v>
      </c>
      <c r="P26" s="277" t="s">
        <v>124</v>
      </c>
      <c r="Q26" s="277" t="s">
        <v>124</v>
      </c>
      <c r="R26" s="277" t="s">
        <v>124</v>
      </c>
      <c r="S26" s="277" t="s">
        <v>124</v>
      </c>
      <c r="T26" s="277" t="s">
        <v>124</v>
      </c>
      <c r="U26" s="277" t="s">
        <v>124</v>
      </c>
      <c r="V26" s="277" t="s">
        <v>124</v>
      </c>
      <c r="W26" s="277" t="s">
        <v>124</v>
      </c>
      <c r="X26" s="277" t="s">
        <v>124</v>
      </c>
      <c r="Y26" s="277" t="s">
        <v>124</v>
      </c>
      <c r="Z26" s="277" t="s">
        <v>124</v>
      </c>
      <c r="AA26" s="395"/>
      <c r="AB26" s="409"/>
      <c r="AC26" s="398"/>
    </row>
    <row r="27">
      <c r="A27" s="367"/>
      <c r="B27" s="333"/>
      <c r="C27" s="333"/>
      <c r="D27" s="333"/>
      <c r="E27" s="410" t="s">
        <v>141</v>
      </c>
      <c r="F27" s="411" t="s">
        <v>88</v>
      </c>
      <c r="G27" s="412" t="s">
        <v>110</v>
      </c>
      <c r="H27" s="413">
        <v>2.0</v>
      </c>
      <c r="I27" s="241" t="s">
        <v>124</v>
      </c>
      <c r="J27" s="241" t="s">
        <v>124</v>
      </c>
      <c r="K27" s="241" t="s">
        <v>124</v>
      </c>
      <c r="L27" s="241" t="s">
        <v>124</v>
      </c>
      <c r="M27" s="241" t="s">
        <v>124</v>
      </c>
      <c r="N27" s="241" t="s">
        <v>124</v>
      </c>
      <c r="O27" s="241" t="s">
        <v>124</v>
      </c>
      <c r="P27" s="241" t="s">
        <v>124</v>
      </c>
      <c r="Q27" s="241" t="s">
        <v>124</v>
      </c>
      <c r="R27" s="241" t="s">
        <v>124</v>
      </c>
      <c r="S27" s="241" t="s">
        <v>124</v>
      </c>
      <c r="T27" s="241" t="s">
        <v>124</v>
      </c>
      <c r="U27" s="241" t="s">
        <v>124</v>
      </c>
      <c r="V27" s="241" t="s">
        <v>124</v>
      </c>
      <c r="W27" s="241" t="s">
        <v>124</v>
      </c>
      <c r="X27" s="241" t="s">
        <v>124</v>
      </c>
      <c r="Y27" s="241" t="s">
        <v>124</v>
      </c>
      <c r="Z27" s="241" t="s">
        <v>124</v>
      </c>
      <c r="AA27" s="416"/>
      <c r="AB27" s="417"/>
      <c r="AC27" s="418"/>
    </row>
    <row r="28">
      <c r="A28" s="367"/>
      <c r="B28" s="333"/>
      <c r="C28" s="333"/>
      <c r="D28" s="333"/>
      <c r="E28" s="333"/>
      <c r="F28" s="419"/>
      <c r="G28" s="420"/>
      <c r="H28" s="361"/>
      <c r="I28" s="108"/>
      <c r="J28" s="108"/>
      <c r="K28" s="108"/>
      <c r="L28" s="108"/>
      <c r="M28" s="108"/>
      <c r="N28" s="108"/>
      <c r="O28" s="108"/>
      <c r="P28" s="108"/>
      <c r="Q28" s="108"/>
      <c r="R28" s="108"/>
      <c r="S28" s="108"/>
      <c r="T28" s="108"/>
      <c r="U28" s="108"/>
      <c r="V28" s="108"/>
      <c r="W28" s="108"/>
      <c r="X28" s="108"/>
      <c r="Y28" s="108"/>
      <c r="Z28" s="108"/>
      <c r="AA28" s="270"/>
      <c r="AB28" s="362"/>
      <c r="AC28" s="363"/>
    </row>
    <row r="29">
      <c r="A29" s="367"/>
      <c r="B29" s="333"/>
      <c r="C29" s="107" t="s">
        <v>221</v>
      </c>
      <c r="F29" s="419"/>
      <c r="G29" s="420"/>
      <c r="H29" s="361"/>
      <c r="I29" s="108"/>
      <c r="J29" s="108"/>
      <c r="K29" s="108"/>
      <c r="L29" s="108"/>
      <c r="M29" s="108"/>
      <c r="N29" s="108"/>
      <c r="O29" s="108"/>
      <c r="P29" s="108"/>
      <c r="Q29" s="108"/>
      <c r="R29" s="108"/>
      <c r="S29" s="108"/>
      <c r="T29" s="108"/>
      <c r="U29" s="108"/>
      <c r="V29" s="108"/>
      <c r="W29" s="108"/>
      <c r="X29" s="108"/>
      <c r="Y29" s="108"/>
      <c r="Z29" s="108"/>
      <c r="AA29" s="270"/>
      <c r="AB29" s="362"/>
      <c r="AC29" s="363"/>
    </row>
    <row r="30">
      <c r="A30" s="367"/>
      <c r="B30" s="333"/>
      <c r="C30" s="333"/>
      <c r="D30" s="333"/>
      <c r="E30" s="369" t="s">
        <v>158</v>
      </c>
      <c r="F30" s="370" t="s">
        <v>93</v>
      </c>
      <c r="G30" s="371" t="s">
        <v>110</v>
      </c>
      <c r="H30" s="372" t="s">
        <v>124</v>
      </c>
      <c r="I30" s="425">
        <f>IFERROR(__xludf.DUMMYFUNCTION("FILTER('GBD estimates'!$AD$4:$AD$54,'GBD estimates'!$X$4:$X$54=I$2)"),405.3286161)</f>
        <v>405.3286161</v>
      </c>
      <c r="J30" s="425">
        <f>IFERROR(__xludf.DUMMYFUNCTION("FILTER('GBD estimates'!$AD$4:$AD$54,'GBD estimates'!$X$4:$X$54=J$2)"),135.7991375)</f>
        <v>135.7991375</v>
      </c>
      <c r="K30" s="256">
        <v>203.80315</v>
      </c>
      <c r="L30" s="256">
        <v>241.29295</v>
      </c>
      <c r="M30" s="256">
        <v>239.62599</v>
      </c>
      <c r="N30" s="256">
        <v>360.30833</v>
      </c>
      <c r="O30" s="256">
        <v>304.75977</v>
      </c>
      <c r="P30" s="425">
        <f>IFERROR(__xludf.DUMMYFUNCTION("FILTER('GBD estimates'!$BN$4:$BN$54,'GBD estimates'!$BI$4:$BI$54=P$3)"),255.6551987)</f>
        <v>255.6551987</v>
      </c>
      <c r="Q30" s="425">
        <f>IFERROR(__xludf.DUMMYFUNCTION("FILTER('GBD estimates'!$BN$4:$BN$54,'GBD estimates'!$BI$4:$BI$54=Q$3)"),178.1742523)</f>
        <v>178.1742523</v>
      </c>
      <c r="R30" s="425">
        <f>IFERROR(__xludf.DUMMYFUNCTION("FILTER('GBD estimates'!$BN$4:$BN$54,'GBD estimates'!$BI$4:$BI$54=R$3)"),288.3183134)</f>
        <v>288.3183134</v>
      </c>
      <c r="S30" s="425">
        <f>IFERROR(__xludf.DUMMYFUNCTION("FILTER('GBD estimates'!$BN$4:$BN$54,'GBD estimates'!$BI$4:$BI$54=S$3)"),331.5302296)</f>
        <v>331.5302296</v>
      </c>
      <c r="T30" s="425">
        <f>IFERROR(__xludf.DUMMYFUNCTION("FILTER('GBD estimates'!$BN$4:$BN$54,'GBD estimates'!$BI$4:$BI$54=T$3)"),240.036585)</f>
        <v>240.036585</v>
      </c>
      <c r="U30" s="425">
        <f>IFERROR(__xludf.DUMMYFUNCTION("FILTER('GBD estimates'!$BN$4:$BN$54,'GBD estimates'!$BI$4:$BI$54=U$3)"),298.6653229)</f>
        <v>298.6653229</v>
      </c>
      <c r="V30" s="425">
        <f>IFERROR(__xludf.DUMMYFUNCTION("FILTER('GBD estimates'!$BN$4:$BN$54,'GBD estimates'!$BI$4:$BI$54=V$3)"),261.8332491)</f>
        <v>261.8332491</v>
      </c>
      <c r="W30" s="425">
        <f>IFERROR(__xludf.DUMMYFUNCTION("FILTER('GBD estimates'!$BN$4:$BN$54,'GBD estimates'!$BI$4:$BI$54=W$3)"),210.2157784)</f>
        <v>210.2157784</v>
      </c>
      <c r="X30" s="425">
        <f>IFERROR(__xludf.DUMMYFUNCTION("FILTER('GBD estimates'!$BN$4:$BN$54,'GBD estimates'!$BI$4:$BI$54=X$3)"),361.0521294)</f>
        <v>361.0521294</v>
      </c>
      <c r="Y30" s="425">
        <f>IFERROR(__xludf.DUMMYFUNCTION("FILTER('GBD estimates'!$AD$4:$AD$54,'GBD estimates'!$X$4:$X$54=Y$2)"),168.6683554)</f>
        <v>168.6683554</v>
      </c>
      <c r="Z30" s="256">
        <v>339.43659</v>
      </c>
      <c r="AA30" s="382"/>
      <c r="AB30" s="384" t="s">
        <v>202</v>
      </c>
      <c r="AC30" s="385"/>
    </row>
    <row r="31">
      <c r="A31" s="367"/>
      <c r="B31" s="333"/>
      <c r="C31" s="333"/>
      <c r="D31" s="333"/>
      <c r="E31" s="386" t="s">
        <v>172</v>
      </c>
      <c r="F31" s="387" t="s">
        <v>88</v>
      </c>
      <c r="G31" s="389" t="s">
        <v>110</v>
      </c>
      <c r="H31" s="390">
        <v>60.0</v>
      </c>
      <c r="I31" s="277" t="s">
        <v>124</v>
      </c>
      <c r="J31" s="277" t="s">
        <v>124</v>
      </c>
      <c r="K31" s="277" t="s">
        <v>124</v>
      </c>
      <c r="L31" s="277" t="s">
        <v>124</v>
      </c>
      <c r="M31" s="277" t="s">
        <v>124</v>
      </c>
      <c r="N31" s="277" t="s">
        <v>124</v>
      </c>
      <c r="O31" s="277" t="s">
        <v>124</v>
      </c>
      <c r="P31" s="277" t="s">
        <v>124</v>
      </c>
      <c r="Q31" s="277" t="s">
        <v>124</v>
      </c>
      <c r="R31" s="277" t="s">
        <v>124</v>
      </c>
      <c r="S31" s="277" t="s">
        <v>124</v>
      </c>
      <c r="T31" s="277" t="s">
        <v>124</v>
      </c>
      <c r="U31" s="277" t="s">
        <v>124</v>
      </c>
      <c r="V31" s="277" t="s">
        <v>124</v>
      </c>
      <c r="W31" s="277" t="s">
        <v>124</v>
      </c>
      <c r="X31" s="277" t="s">
        <v>124</v>
      </c>
      <c r="Y31" s="277" t="s">
        <v>124</v>
      </c>
      <c r="Z31" s="277" t="s">
        <v>124</v>
      </c>
      <c r="AA31" s="395"/>
      <c r="AB31" s="396"/>
      <c r="AC31" s="398"/>
    </row>
    <row r="32">
      <c r="A32" s="367"/>
      <c r="B32" s="333"/>
      <c r="C32" s="333"/>
      <c r="D32" s="333"/>
      <c r="E32" s="386" t="s">
        <v>227</v>
      </c>
      <c r="F32" s="387" t="s">
        <v>88</v>
      </c>
      <c r="G32" s="389" t="s">
        <v>110</v>
      </c>
      <c r="H32" s="390">
        <v>3.0</v>
      </c>
      <c r="I32" s="277" t="s">
        <v>124</v>
      </c>
      <c r="J32" s="277" t="s">
        <v>124</v>
      </c>
      <c r="K32" s="277" t="s">
        <v>124</v>
      </c>
      <c r="L32" s="277" t="s">
        <v>124</v>
      </c>
      <c r="M32" s="277" t="s">
        <v>124</v>
      </c>
      <c r="N32" s="277" t="s">
        <v>124</v>
      </c>
      <c r="O32" s="277" t="s">
        <v>124</v>
      </c>
      <c r="P32" s="277" t="s">
        <v>124</v>
      </c>
      <c r="Q32" s="277" t="s">
        <v>124</v>
      </c>
      <c r="R32" s="277" t="s">
        <v>124</v>
      </c>
      <c r="S32" s="277" t="s">
        <v>124</v>
      </c>
      <c r="T32" s="277" t="s">
        <v>124</v>
      </c>
      <c r="U32" s="277" t="s">
        <v>124</v>
      </c>
      <c r="V32" s="277" t="s">
        <v>124</v>
      </c>
      <c r="W32" s="277" t="s">
        <v>124</v>
      </c>
      <c r="X32" s="277" t="s">
        <v>124</v>
      </c>
      <c r="Y32" s="277" t="s">
        <v>124</v>
      </c>
      <c r="Z32" s="277" t="s">
        <v>124</v>
      </c>
      <c r="AA32" s="395"/>
      <c r="AB32" s="396"/>
      <c r="AC32" s="398"/>
    </row>
    <row r="33">
      <c r="A33" s="71"/>
      <c r="B33" s="72"/>
      <c r="C33" s="188"/>
      <c r="D33" s="72"/>
      <c r="E33" s="429" t="s">
        <v>188</v>
      </c>
      <c r="F33" s="204" t="s">
        <v>99</v>
      </c>
      <c r="G33" s="204" t="s">
        <v>110</v>
      </c>
      <c r="H33" s="430" t="s">
        <v>124</v>
      </c>
      <c r="I33" s="326">
        <v>0.0</v>
      </c>
      <c r="J33" s="326">
        <v>0.0</v>
      </c>
      <c r="K33" s="326">
        <v>0.0</v>
      </c>
      <c r="L33" s="326">
        <v>0.0</v>
      </c>
      <c r="M33" s="326">
        <v>0.0</v>
      </c>
      <c r="N33" s="326">
        <v>0.0</v>
      </c>
      <c r="O33" s="326">
        <v>0.0</v>
      </c>
      <c r="P33" s="326">
        <v>-0.05</v>
      </c>
      <c r="Q33" s="326">
        <v>-0.05</v>
      </c>
      <c r="R33" s="326">
        <v>-0.3512063</v>
      </c>
      <c r="S33" s="326">
        <v>-0.05</v>
      </c>
      <c r="T33" s="326">
        <v>-0.05</v>
      </c>
      <c r="U33" s="326">
        <v>-0.05</v>
      </c>
      <c r="V33" s="326">
        <v>-0.05</v>
      </c>
      <c r="W33" s="326">
        <v>-0.05</v>
      </c>
      <c r="X33" s="326">
        <v>-0.05</v>
      </c>
      <c r="Y33" s="326">
        <v>0.0</v>
      </c>
      <c r="Z33" s="326">
        <v>0.0</v>
      </c>
      <c r="AA33" s="328"/>
      <c r="AB33" s="435" t="s">
        <v>232</v>
      </c>
      <c r="AC33" s="436"/>
    </row>
    <row r="34">
      <c r="A34" s="367"/>
      <c r="B34" s="333"/>
      <c r="C34" s="333"/>
      <c r="D34" s="333"/>
      <c r="E34" s="333"/>
      <c r="F34" s="419"/>
      <c r="G34" s="420"/>
      <c r="H34" s="361"/>
      <c r="I34" s="108"/>
      <c r="J34" s="108"/>
      <c r="K34" s="108"/>
      <c r="L34" s="108"/>
      <c r="M34" s="108"/>
      <c r="N34" s="108"/>
      <c r="O34" s="108"/>
      <c r="P34" s="108"/>
      <c r="Q34" s="108"/>
      <c r="R34" s="108"/>
      <c r="S34" s="108"/>
      <c r="T34" s="108"/>
      <c r="U34" s="108"/>
      <c r="V34" s="108"/>
      <c r="W34" s="108"/>
      <c r="X34" s="108"/>
      <c r="Y34" s="108"/>
      <c r="Z34" s="108"/>
      <c r="AA34" s="270"/>
      <c r="AB34" s="362"/>
      <c r="AC34" s="363"/>
    </row>
    <row r="35">
      <c r="A35" s="367"/>
      <c r="B35" s="333"/>
      <c r="C35" s="188" t="s">
        <v>196</v>
      </c>
      <c r="F35" s="419"/>
      <c r="G35" s="420"/>
      <c r="H35" s="361"/>
      <c r="I35" s="108"/>
      <c r="J35" s="108"/>
      <c r="K35" s="108"/>
      <c r="L35" s="108"/>
      <c r="M35" s="108"/>
      <c r="N35" s="108"/>
      <c r="O35" s="108"/>
      <c r="P35" s="108"/>
      <c r="Q35" s="108"/>
      <c r="R35" s="108"/>
      <c r="S35" s="108"/>
      <c r="T35" s="108"/>
      <c r="U35" s="108"/>
      <c r="V35" s="108"/>
      <c r="W35" s="108"/>
      <c r="X35" s="108"/>
      <c r="Y35" s="108"/>
      <c r="Z35" s="108"/>
      <c r="AA35" s="270"/>
      <c r="AB35" s="362"/>
      <c r="AC35" s="363"/>
    </row>
    <row r="36">
      <c r="A36" s="367"/>
      <c r="B36" s="333"/>
      <c r="C36" s="107"/>
      <c r="D36" s="107"/>
      <c r="E36" s="441" t="s">
        <v>197</v>
      </c>
      <c r="F36" s="442" t="s">
        <v>88</v>
      </c>
      <c r="G36" s="443" t="s">
        <v>110</v>
      </c>
      <c r="H36" s="444" t="s">
        <v>124</v>
      </c>
      <c r="I36" s="449">
        <f>IFERROR(__xludf.DUMMYFUNCTION("FILTER('GBD estimates'!$S$4:$S$309,'GBD estimates'!$M$4:$M$309=I$2,'GBD estimates'!$O$4:$O$309=""All ages"")"),26304.7468000016)</f>
        <v>26304.7468</v>
      </c>
      <c r="J36" s="449">
        <f>IFERROR(__xludf.DUMMYFUNCTION("FILTER('GBD estimates'!$S$4:$S$309,'GBD estimates'!$M$4:$M$309=J$2,'GBD estimates'!$O$4:$O$309=""All ages"")"),7194.19944040964)</f>
        <v>7194.19944</v>
      </c>
      <c r="K36" s="452">
        <v>5327.419</v>
      </c>
      <c r="L36" s="452">
        <v>4674.157</v>
      </c>
      <c r="M36" s="452">
        <v>1357.633</v>
      </c>
      <c r="N36" s="452">
        <v>4865.658</v>
      </c>
      <c r="O36" s="452">
        <v>6890.0</v>
      </c>
      <c r="P36" s="449">
        <f>IFERROR(__xludf.DUMMYFUNCTION("FILTER('GBD estimates'!$BA$4:$BA$258,'GBD estimates'!$AV$4:$AV$258=P$3,'GBD estimates'!$AU$4:$AU$258=""All ages"")"),4545.106485)</f>
        <v>4545.106485</v>
      </c>
      <c r="Q36" s="449">
        <f>IFERROR(__xludf.DUMMYFUNCTION("FILTER('GBD estimates'!$BA$4:$BA$258,'GBD estimates'!$AV$4:$AV$258=Q$3,'GBD estimates'!$AU$4:$AU$258=""All ages"")"),3093.504749)</f>
        <v>3093.504749</v>
      </c>
      <c r="R36" s="449">
        <f>IFERROR(__xludf.DUMMYFUNCTION("FILTER('GBD estimates'!$BA$4:$BA$258,'GBD estimates'!$AV$4:$AV$258=R$3,'GBD estimates'!$AU$4:$AU$258=""All ages"")"),4417.546406)</f>
        <v>4417.546406</v>
      </c>
      <c r="S36" s="449">
        <f>IFERROR(__xludf.DUMMYFUNCTION("FILTER('GBD estimates'!$BA$4:$BA$258,'GBD estimates'!$AV$4:$AV$258=S$3,'GBD estimates'!$AU$4:$AU$258=""All ages"")"),4606.794083)</f>
        <v>4606.794083</v>
      </c>
      <c r="T36" s="449">
        <f>IFERROR(__xludf.DUMMYFUNCTION("FILTER('GBD estimates'!$BA$4:$BA$258,'GBD estimates'!$AV$4:$AV$258=T$3,'GBD estimates'!$AU$4:$AU$258=""All ages"")"),2471.067612)</f>
        <v>2471.067612</v>
      </c>
      <c r="U36" s="449">
        <f>IFERROR(__xludf.DUMMYFUNCTION("FILTER('GBD estimates'!$BA$4:$BA$258,'GBD estimates'!$AV$4:$AV$258=U$3,'GBD estimates'!$AU$4:$AU$258=""All ages"")"),4449.598839)</f>
        <v>4449.598839</v>
      </c>
      <c r="V36" s="449">
        <f>IFERROR(__xludf.DUMMYFUNCTION("FILTER('GBD estimates'!$BA$4:$BA$258,'GBD estimates'!$AV$4:$AV$258=V$3,'GBD estimates'!$AU$4:$AU$258=""All ages"")"),7026.505839)</f>
        <v>7026.505839</v>
      </c>
      <c r="W36" s="449">
        <f>IFERROR(__xludf.DUMMYFUNCTION("FILTER('GBD estimates'!$BA$4:$BA$258,'GBD estimates'!$AV$4:$AV$258=W$3,'GBD estimates'!$AU$4:$AU$258=""All ages"")"),6892.924992)</f>
        <v>6892.924992</v>
      </c>
      <c r="X36" s="449">
        <f>IFERROR(__xludf.DUMMYFUNCTION("FILTER('GBD estimates'!$BA$4:$BA$258,'GBD estimates'!$AV$4:$AV$258=X$3,'GBD estimates'!$AU$4:$AU$258=""All ages"")"),6247.24128)</f>
        <v>6247.24128</v>
      </c>
      <c r="Y36" s="449">
        <f>IFERROR(__xludf.DUMMYFUNCTION("FILTER('GBD estimates'!$S$4:$S$309,'GBD estimates'!$M$4:$M$309=Y$2,'GBD estimates'!$O$4:$O$309=""All ages"")"),5436.18786097608)</f>
        <v>5436.187861</v>
      </c>
      <c r="Z36" s="452">
        <v>4838.0</v>
      </c>
      <c r="AA36" s="461"/>
      <c r="AB36" s="462" t="s">
        <v>202</v>
      </c>
      <c r="AC36" s="463"/>
    </row>
    <row r="37">
      <c r="A37" s="367"/>
      <c r="B37" s="333"/>
      <c r="C37" s="107"/>
      <c r="D37" s="107"/>
      <c r="E37" s="464"/>
      <c r="F37" s="419"/>
      <c r="G37" s="420"/>
      <c r="H37" s="361"/>
      <c r="I37" s="108"/>
      <c r="J37" s="108"/>
      <c r="K37" s="108"/>
      <c r="L37" s="108"/>
      <c r="M37" s="108"/>
      <c r="N37" s="108"/>
      <c r="O37" s="108"/>
      <c r="P37" s="108"/>
      <c r="Q37" s="108"/>
      <c r="R37" s="108"/>
      <c r="S37" s="108"/>
      <c r="T37" s="108"/>
      <c r="U37" s="108"/>
      <c r="V37" s="108"/>
      <c r="W37" s="108"/>
      <c r="X37" s="108"/>
      <c r="Y37" s="108"/>
      <c r="Z37" s="108"/>
      <c r="AA37" s="270"/>
      <c r="AB37" s="362"/>
      <c r="AC37" s="363"/>
    </row>
    <row r="38">
      <c r="A38" s="367"/>
      <c r="B38" s="333"/>
      <c r="C38" s="107" t="s">
        <v>209</v>
      </c>
      <c r="F38" s="419"/>
      <c r="G38" s="420"/>
      <c r="H38" s="361"/>
      <c r="I38" s="108"/>
      <c r="J38" s="108"/>
      <c r="K38" s="108"/>
      <c r="L38" s="108"/>
      <c r="M38" s="108"/>
      <c r="N38" s="108"/>
      <c r="O38" s="108"/>
      <c r="P38" s="108"/>
      <c r="Q38" s="108"/>
      <c r="R38" s="108"/>
      <c r="S38" s="108"/>
      <c r="T38" s="108"/>
      <c r="U38" s="108"/>
      <c r="V38" s="108"/>
      <c r="W38" s="108"/>
      <c r="X38" s="108"/>
      <c r="Y38" s="108"/>
      <c r="Z38" s="108"/>
      <c r="AA38" s="270"/>
      <c r="AB38" s="362"/>
      <c r="AC38" s="363"/>
    </row>
    <row r="39">
      <c r="A39" s="367"/>
      <c r="B39" s="333"/>
      <c r="C39" s="333"/>
      <c r="D39" s="333"/>
      <c r="E39" s="369" t="s">
        <v>210</v>
      </c>
      <c r="F39" s="370" t="s">
        <v>93</v>
      </c>
      <c r="G39" s="466" t="s">
        <v>110</v>
      </c>
      <c r="H39" s="467" t="s">
        <v>124</v>
      </c>
      <c r="I39" s="374">
        <f>IFERROR(__xludf.DUMMYFUNCTION("FILTER('GBD estimates'!$AO$4:$AO$105,'GBD estimates'!$AI$4:$AI$105=I$2,'GBD estimates'!$AK$4:$AK$105=""1-4 years"")"),60060.98378)</f>
        <v>60060.98378</v>
      </c>
      <c r="J39" s="374">
        <f>IFERROR(__xludf.DUMMYFUNCTION("FILTER('GBD estimates'!$AO$4:$AO$105,'GBD estimates'!$AI$4:$AI$105=J$2,'GBD estimates'!$AK$4:$AK$105=""1-4 years"")"),37423.26557)</f>
        <v>37423.26557</v>
      </c>
      <c r="K39" s="375">
        <v>30731.36</v>
      </c>
      <c r="L39" s="375">
        <v>37447.9</v>
      </c>
      <c r="M39" s="375">
        <v>35364.66</v>
      </c>
      <c r="N39" s="375">
        <v>35102.89</v>
      </c>
      <c r="O39" s="375">
        <v>36327.33</v>
      </c>
      <c r="P39" s="374">
        <f>IFERROR(__xludf.DUMMYFUNCTION("FILTER('GBD estimates'!$CA$4:$CA$105,'GBD estimates'!$BV$4:$BV$105=P$3,'GBD estimates'!$BU$4:$BU$105=""1 to 4"")"),47661.90624)</f>
        <v>47661.90624</v>
      </c>
      <c r="Q39" s="374">
        <f>IFERROR(__xludf.DUMMYFUNCTION("FILTER('GBD estimates'!$CA$4:$CA$105,'GBD estimates'!$BV$4:$BV$105=Q$3,'GBD estimates'!$BU$4:$BU$105=""1 to 4"")"),49206.23234)</f>
        <v>49206.23234</v>
      </c>
      <c r="R39" s="374">
        <f>IFERROR(__xludf.DUMMYFUNCTION("FILTER('GBD estimates'!$CA$4:$CA$105,'GBD estimates'!$BV$4:$BV$105=R$3,'GBD estimates'!$BU$4:$BU$105=""1 to 4"")"),81529.9384)</f>
        <v>81529.9384</v>
      </c>
      <c r="S39" s="374">
        <f>IFERROR(__xludf.DUMMYFUNCTION("FILTER('GBD estimates'!$CA$4:$CA$105,'GBD estimates'!$BV$4:$BV$105=S$3,'GBD estimates'!$BU$4:$BU$105=""1 to 4"")"),85869.02616)</f>
        <v>85869.02616</v>
      </c>
      <c r="T39" s="374">
        <f>IFERROR(__xludf.DUMMYFUNCTION("FILTER('GBD estimates'!$CA$4:$CA$105,'GBD estimates'!$BV$4:$BV$105=T$3,'GBD estimates'!$BU$4:$BU$105=""1 to 4"")"),76182.96693)</f>
        <v>76182.96693</v>
      </c>
      <c r="U39" s="374">
        <f>IFERROR(__xludf.DUMMYFUNCTION("FILTER('GBD estimates'!$CA$4:$CA$105,'GBD estimates'!$BV$4:$BV$105=U$3,'GBD estimates'!$BU$4:$BU$105=""1 to 4"")"),89798.63281)</f>
        <v>89798.63281</v>
      </c>
      <c r="V39" s="374">
        <f>IFERROR(__xludf.DUMMYFUNCTION("FILTER('GBD estimates'!$CA$4:$CA$105,'GBD estimates'!$BV$4:$BV$105=V$3,'GBD estimates'!$BU$4:$BU$105=""1 to 4"")"),130288.462)</f>
        <v>130288.462</v>
      </c>
      <c r="W39" s="374">
        <f>IFERROR(__xludf.DUMMYFUNCTION("FILTER('GBD estimates'!$CA$4:$CA$105,'GBD estimates'!$BV$4:$BV$105=W$3,'GBD estimates'!$BU$4:$BU$105=""1 to 4"")"),63655.29509)</f>
        <v>63655.29509</v>
      </c>
      <c r="X39" s="374">
        <f>IFERROR(__xludf.DUMMYFUNCTION("FILTER('GBD estimates'!$CA$4:$CA$105,'GBD estimates'!$BV$4:$BV$105=X$3,'GBD estimates'!$BU$4:$BU$105=""1 to 4"")"),69580.73086)</f>
        <v>69580.73086</v>
      </c>
      <c r="Y39" s="374">
        <f>IFERROR(__xludf.DUMMYFUNCTION("FILTER('GBD estimates'!$AO$4:$AO$105,'GBD estimates'!$AI$4:$AI$105=Y$2,'GBD estimates'!$AK$4:$AK$105=""1-4 years"")"),79106.01535)</f>
        <v>79106.01535</v>
      </c>
      <c r="Z39" s="375">
        <v>34522.23</v>
      </c>
      <c r="AA39" s="382"/>
      <c r="AB39" s="384" t="s">
        <v>202</v>
      </c>
      <c r="AC39" s="385"/>
    </row>
    <row r="40">
      <c r="A40" s="367"/>
      <c r="B40" s="333"/>
      <c r="C40" s="333"/>
      <c r="D40" s="333"/>
      <c r="E40" s="410" t="s">
        <v>215</v>
      </c>
      <c r="F40" s="411" t="s">
        <v>93</v>
      </c>
      <c r="G40" s="477" t="s">
        <v>110</v>
      </c>
      <c r="H40" s="479" t="s">
        <v>124</v>
      </c>
      <c r="I40" s="481">
        <f>IFERROR(__xludf.DUMMYFUNCTION("FILTER('GBD estimates'!$AO$4:$AO$105,'GBD estimates'!$AI$4:$AI$105=I$2,'GBD estimates'!$AK$4:$AK$105=""5-14 years"")"),24693.60871)</f>
        <v>24693.60871</v>
      </c>
      <c r="J40" s="481">
        <f>IFERROR(__xludf.DUMMYFUNCTION("FILTER('GBD estimates'!$AO$4:$AO$105,'GBD estimates'!$AI$4:$AI$105=J$2,'GBD estimates'!$AK$4:$AK$105=""5-14 years"")"),16222.6214)</f>
        <v>16222.6214</v>
      </c>
      <c r="K40" s="482">
        <v>30731.36</v>
      </c>
      <c r="L40" s="482">
        <v>37447.9</v>
      </c>
      <c r="M40" s="482">
        <v>35364.66</v>
      </c>
      <c r="N40" s="482">
        <v>35102.89</v>
      </c>
      <c r="O40" s="482">
        <v>36327.33</v>
      </c>
      <c r="P40" s="481">
        <f>IFERROR(__xludf.DUMMYFUNCTION("FILTER('GBD estimates'!$CA$4:$CA$105,'GBD estimates'!$BV$4:$BV$105=P$3,'GBD estimates'!$BU$4:$BU$105=""5 to 14"")"),19593.14817)</f>
        <v>19593.14817</v>
      </c>
      <c r="Q40" s="481">
        <f>IFERROR(__xludf.DUMMYFUNCTION("FILTER('GBD estimates'!$CA$4:$CA$105,'GBD estimates'!$BV$4:$BV$105=Q$3,'GBD estimates'!$BU$4:$BU$105=""5 to 14"")"),20783.80124)</f>
        <v>20783.80124</v>
      </c>
      <c r="R40" s="481">
        <f>IFERROR(__xludf.DUMMYFUNCTION("FILTER('GBD estimates'!$CA$4:$CA$105,'GBD estimates'!$BV$4:$BV$105=R$3,'GBD estimates'!$BU$4:$BU$105=""5 to 14"")"),31209.9027)</f>
        <v>31209.9027</v>
      </c>
      <c r="S40" s="481">
        <f>IFERROR(__xludf.DUMMYFUNCTION("FILTER('GBD estimates'!$CA$4:$CA$105,'GBD estimates'!$BV$4:$BV$105=S$3,'GBD estimates'!$BU$4:$BU$105=""5 to 14"")"),33795.62909)</f>
        <v>33795.62909</v>
      </c>
      <c r="T40" s="481">
        <f>IFERROR(__xludf.DUMMYFUNCTION("FILTER('GBD estimates'!$CA$4:$CA$105,'GBD estimates'!$BV$4:$BV$105=T$3,'GBD estimates'!$BU$4:$BU$105=""5 to 14"")"),29812.0385)</f>
        <v>29812.0385</v>
      </c>
      <c r="U40" s="481">
        <f>IFERROR(__xludf.DUMMYFUNCTION("FILTER('GBD estimates'!$CA$4:$CA$105,'GBD estimates'!$BV$4:$BV$105=U$3,'GBD estimates'!$BU$4:$BU$105=""5 to 14"")"),33528.33274)</f>
        <v>33528.33274</v>
      </c>
      <c r="V40" s="481">
        <f>IFERROR(__xludf.DUMMYFUNCTION("FILTER('GBD estimates'!$CA$4:$CA$105,'GBD estimates'!$BV$4:$BV$105=V$3,'GBD estimates'!$BU$4:$BU$105=""5 to 14"")"),48687.08739)</f>
        <v>48687.08739</v>
      </c>
      <c r="W40" s="481">
        <f>IFERROR(__xludf.DUMMYFUNCTION("FILTER('GBD estimates'!$CA$4:$CA$105,'GBD estimates'!$BV$4:$BV$105=W$3,'GBD estimates'!$BU$4:$BU$105=""5 to 14"")"),25166.99536)</f>
        <v>25166.99536</v>
      </c>
      <c r="X40" s="481">
        <f>IFERROR(__xludf.DUMMYFUNCTION("FILTER('GBD estimates'!$CA$4:$CA$105,'GBD estimates'!$BV$4:$BV$105=X$3,'GBD estimates'!$BU$4:$BU$105=""5 to 14"")"),28680.35419)</f>
        <v>28680.35419</v>
      </c>
      <c r="Y40" s="481">
        <f>IFERROR(__xludf.DUMMYFUNCTION("FILTER('GBD estimates'!$AO$4:$AO$105,'GBD estimates'!$AI$4:$AI$105=Y$2,'GBD estimates'!$AK$4:$AK$105=""5-14 years"")"),30845.0741)</f>
        <v>30845.0741</v>
      </c>
      <c r="Z40" s="482">
        <v>34522.23</v>
      </c>
      <c r="AA40" s="416"/>
      <c r="AB40" s="491" t="s">
        <v>202</v>
      </c>
      <c r="AC40" s="418"/>
    </row>
    <row r="41">
      <c r="A41" s="367"/>
      <c r="B41" s="333"/>
      <c r="C41" s="333"/>
      <c r="D41" s="333"/>
      <c r="E41" s="333"/>
      <c r="F41" s="419"/>
      <c r="G41" s="420"/>
      <c r="H41" s="361"/>
      <c r="I41" s="108"/>
      <c r="J41" s="108"/>
      <c r="K41" s="108"/>
      <c r="L41" s="108"/>
      <c r="M41" s="108"/>
      <c r="N41" s="108"/>
      <c r="O41" s="108"/>
      <c r="P41" s="108"/>
      <c r="Q41" s="108"/>
      <c r="R41" s="108"/>
      <c r="S41" s="108"/>
      <c r="T41" s="108"/>
      <c r="U41" s="108"/>
      <c r="V41" s="108"/>
      <c r="W41" s="108"/>
      <c r="X41" s="108"/>
      <c r="Y41" s="108"/>
      <c r="Z41" s="108"/>
      <c r="AA41" s="270"/>
      <c r="AB41" s="362"/>
      <c r="AC41" s="363"/>
    </row>
    <row r="42">
      <c r="A42" s="66" t="s">
        <v>167</v>
      </c>
      <c r="B42" s="17"/>
      <c r="C42" s="17"/>
      <c r="D42" s="17"/>
      <c r="E42" s="17"/>
      <c r="F42" s="17"/>
      <c r="G42" s="87"/>
      <c r="H42" s="349"/>
      <c r="I42" s="350"/>
      <c r="J42" s="350"/>
      <c r="K42" s="350"/>
      <c r="L42" s="350"/>
      <c r="M42" s="350"/>
      <c r="N42" s="350"/>
      <c r="O42" s="350"/>
      <c r="P42" s="350"/>
      <c r="Q42" s="350"/>
      <c r="R42" s="350"/>
      <c r="S42" s="350"/>
      <c r="T42" s="350"/>
      <c r="U42" s="350"/>
      <c r="V42" s="350"/>
      <c r="W42" s="350"/>
      <c r="X42" s="350"/>
      <c r="Y42" s="350"/>
      <c r="Z42" s="350"/>
      <c r="AA42" s="352"/>
      <c r="AB42" s="353"/>
      <c r="AC42" s="356"/>
    </row>
    <row r="43">
      <c r="A43" s="71"/>
      <c r="B43" s="72"/>
      <c r="C43" s="273"/>
      <c r="D43" s="72"/>
      <c r="E43" s="289"/>
      <c r="F43" s="75"/>
      <c r="G43" s="77"/>
      <c r="H43" s="291"/>
      <c r="I43" s="293"/>
      <c r="J43" s="293"/>
      <c r="K43" s="494"/>
      <c r="L43" s="293"/>
      <c r="M43" s="293"/>
      <c r="N43" s="293"/>
      <c r="O43" s="293"/>
      <c r="P43" s="293"/>
      <c r="Q43" s="293"/>
      <c r="R43" s="293"/>
      <c r="S43" s="293"/>
      <c r="T43" s="293"/>
      <c r="U43" s="293"/>
      <c r="V43" s="293"/>
      <c r="W43" s="293"/>
      <c r="X43" s="293"/>
      <c r="Y43" s="293"/>
      <c r="Z43" s="293"/>
      <c r="AA43" s="185"/>
      <c r="AB43" s="294"/>
      <c r="AC43" s="295"/>
    </row>
    <row r="44">
      <c r="A44" s="71"/>
      <c r="B44" s="72"/>
      <c r="C44" s="278" t="s">
        <v>253</v>
      </c>
      <c r="F44" s="75"/>
      <c r="G44" s="77"/>
      <c r="H44" s="291"/>
      <c r="I44" s="293"/>
      <c r="J44" s="293"/>
      <c r="K44" s="293"/>
      <c r="L44" s="293"/>
      <c r="M44" s="293"/>
      <c r="N44" s="293"/>
      <c r="O44" s="293"/>
      <c r="P44" s="293"/>
      <c r="Q44" s="293"/>
      <c r="R44" s="293"/>
      <c r="S44" s="293"/>
      <c r="T44" s="293"/>
      <c r="U44" s="293"/>
      <c r="V44" s="293"/>
      <c r="W44" s="293"/>
      <c r="X44" s="293"/>
      <c r="Y44" s="293"/>
      <c r="Z44" s="293"/>
      <c r="AA44" s="185"/>
      <c r="AB44" s="294"/>
      <c r="AC44" s="295"/>
    </row>
    <row r="45">
      <c r="A45" s="71"/>
      <c r="B45" s="72"/>
      <c r="C45" s="188"/>
      <c r="D45" s="72"/>
      <c r="E45" s="334" t="s">
        <v>171</v>
      </c>
      <c r="F45" s="115" t="s">
        <v>99</v>
      </c>
      <c r="G45" s="231" t="s">
        <v>110</v>
      </c>
      <c r="H45" s="495">
        <v>0.75</v>
      </c>
      <c r="I45" s="128" t="s">
        <v>124</v>
      </c>
      <c r="J45" s="128" t="s">
        <v>124</v>
      </c>
      <c r="K45" s="128" t="s">
        <v>124</v>
      </c>
      <c r="L45" s="128" t="s">
        <v>124</v>
      </c>
      <c r="M45" s="128" t="s">
        <v>124</v>
      </c>
      <c r="N45" s="128" t="s">
        <v>124</v>
      </c>
      <c r="O45" s="128" t="s">
        <v>124</v>
      </c>
      <c r="P45" s="128" t="s">
        <v>124</v>
      </c>
      <c r="Q45" s="128" t="s">
        <v>124</v>
      </c>
      <c r="R45" s="128" t="s">
        <v>124</v>
      </c>
      <c r="S45" s="128" t="s">
        <v>124</v>
      </c>
      <c r="T45" s="128" t="s">
        <v>124</v>
      </c>
      <c r="U45" s="128" t="s">
        <v>124</v>
      </c>
      <c r="V45" s="128" t="s">
        <v>124</v>
      </c>
      <c r="W45" s="128" t="s">
        <v>124</v>
      </c>
      <c r="X45" s="128" t="s">
        <v>124</v>
      </c>
      <c r="Y45" s="128" t="s">
        <v>124</v>
      </c>
      <c r="Z45" s="128" t="s">
        <v>124</v>
      </c>
      <c r="AA45" s="311"/>
      <c r="AB45" s="501" t="s">
        <v>181</v>
      </c>
      <c r="AC45" s="192" t="s">
        <v>257</v>
      </c>
    </row>
    <row r="46">
      <c r="A46" s="71"/>
      <c r="B46" s="72"/>
      <c r="C46" s="188"/>
      <c r="D46" s="72"/>
      <c r="E46" s="508" t="s">
        <v>174</v>
      </c>
      <c r="F46" s="139" t="s">
        <v>99</v>
      </c>
      <c r="G46" s="377" t="s">
        <v>110</v>
      </c>
      <c r="H46" s="511">
        <v>0.8977</v>
      </c>
      <c r="I46" s="146" t="s">
        <v>124</v>
      </c>
      <c r="J46" s="146" t="s">
        <v>124</v>
      </c>
      <c r="K46" s="146" t="s">
        <v>124</v>
      </c>
      <c r="L46" s="146" t="s">
        <v>124</v>
      </c>
      <c r="M46" s="146" t="s">
        <v>124</v>
      </c>
      <c r="N46" s="146" t="s">
        <v>124</v>
      </c>
      <c r="O46" s="146" t="s">
        <v>124</v>
      </c>
      <c r="P46" s="146" t="s">
        <v>124</v>
      </c>
      <c r="Q46" s="146" t="s">
        <v>124</v>
      </c>
      <c r="R46" s="146" t="s">
        <v>124</v>
      </c>
      <c r="S46" s="146" t="s">
        <v>124</v>
      </c>
      <c r="T46" s="146" t="s">
        <v>124</v>
      </c>
      <c r="U46" s="146" t="s">
        <v>124</v>
      </c>
      <c r="V46" s="146" t="s">
        <v>124</v>
      </c>
      <c r="W46" s="146" t="s">
        <v>124</v>
      </c>
      <c r="X46" s="146" t="s">
        <v>124</v>
      </c>
      <c r="Y46" s="146" t="s">
        <v>124</v>
      </c>
      <c r="Z46" s="146" t="s">
        <v>124</v>
      </c>
      <c r="AA46" s="320"/>
      <c r="AB46" s="517" t="s">
        <v>181</v>
      </c>
      <c r="AC46" s="523" t="s">
        <v>128</v>
      </c>
    </row>
    <row r="47">
      <c r="A47" s="71"/>
      <c r="B47" s="72"/>
      <c r="C47" s="188"/>
      <c r="D47" s="72"/>
      <c r="E47" s="508" t="s">
        <v>176</v>
      </c>
      <c r="F47" s="139" t="s">
        <v>99</v>
      </c>
      <c r="G47" s="377" t="s">
        <v>110</v>
      </c>
      <c r="H47" s="511">
        <v>-0.05</v>
      </c>
      <c r="I47" s="146" t="s">
        <v>124</v>
      </c>
      <c r="J47" s="146" t="s">
        <v>124</v>
      </c>
      <c r="K47" s="146" t="s">
        <v>124</v>
      </c>
      <c r="L47" s="146" t="s">
        <v>124</v>
      </c>
      <c r="M47" s="146" t="s">
        <v>124</v>
      </c>
      <c r="N47" s="146" t="s">
        <v>124</v>
      </c>
      <c r="O47" s="146" t="s">
        <v>124</v>
      </c>
      <c r="P47" s="146" t="s">
        <v>124</v>
      </c>
      <c r="Q47" s="146" t="s">
        <v>124</v>
      </c>
      <c r="R47" s="146" t="s">
        <v>124</v>
      </c>
      <c r="S47" s="146" t="s">
        <v>124</v>
      </c>
      <c r="T47" s="146" t="s">
        <v>124</v>
      </c>
      <c r="U47" s="146" t="s">
        <v>124</v>
      </c>
      <c r="V47" s="146" t="s">
        <v>124</v>
      </c>
      <c r="W47" s="146" t="s">
        <v>124</v>
      </c>
      <c r="X47" s="146" t="s">
        <v>124</v>
      </c>
      <c r="Y47" s="146" t="s">
        <v>124</v>
      </c>
      <c r="Z47" s="146" t="s">
        <v>124</v>
      </c>
      <c r="AA47" s="320"/>
      <c r="AB47" s="529" t="s">
        <v>232</v>
      </c>
      <c r="AC47" s="531"/>
    </row>
    <row r="48">
      <c r="A48" s="71"/>
      <c r="B48" s="72"/>
      <c r="C48" s="188"/>
      <c r="D48" s="72"/>
      <c r="E48" s="508" t="s">
        <v>180</v>
      </c>
      <c r="F48" s="139" t="s">
        <v>99</v>
      </c>
      <c r="G48" s="377" t="s">
        <v>110</v>
      </c>
      <c r="H48" s="511">
        <v>0.0</v>
      </c>
      <c r="I48" s="146" t="s">
        <v>124</v>
      </c>
      <c r="J48" s="146" t="s">
        <v>124</v>
      </c>
      <c r="K48" s="146" t="s">
        <v>124</v>
      </c>
      <c r="L48" s="146" t="s">
        <v>124</v>
      </c>
      <c r="M48" s="146" t="s">
        <v>124</v>
      </c>
      <c r="N48" s="146" t="s">
        <v>124</v>
      </c>
      <c r="O48" s="146" t="s">
        <v>124</v>
      </c>
      <c r="P48" s="146" t="s">
        <v>124</v>
      </c>
      <c r="Q48" s="146" t="s">
        <v>124</v>
      </c>
      <c r="R48" s="146" t="s">
        <v>124</v>
      </c>
      <c r="S48" s="146" t="s">
        <v>124</v>
      </c>
      <c r="T48" s="146" t="s">
        <v>124</v>
      </c>
      <c r="U48" s="146" t="s">
        <v>124</v>
      </c>
      <c r="V48" s="146" t="s">
        <v>124</v>
      </c>
      <c r="W48" s="146" t="s">
        <v>124</v>
      </c>
      <c r="X48" s="146" t="s">
        <v>124</v>
      </c>
      <c r="Y48" s="146" t="s">
        <v>124</v>
      </c>
      <c r="Z48" s="146" t="s">
        <v>124</v>
      </c>
      <c r="AA48" s="320"/>
      <c r="AB48" s="529" t="s">
        <v>232</v>
      </c>
      <c r="AC48" s="531"/>
    </row>
    <row r="49">
      <c r="A49" s="71"/>
      <c r="B49" s="72"/>
      <c r="C49" s="188"/>
      <c r="D49" s="72"/>
      <c r="E49" s="508" t="s">
        <v>185</v>
      </c>
      <c r="F49" s="139" t="s">
        <v>99</v>
      </c>
      <c r="G49" s="377" t="s">
        <v>110</v>
      </c>
      <c r="H49" s="317" t="s">
        <v>124</v>
      </c>
      <c r="I49" s="319">
        <v>0.0</v>
      </c>
      <c r="J49" s="319">
        <v>0.0</v>
      </c>
      <c r="K49" s="319">
        <v>-0.1955888</v>
      </c>
      <c r="L49" s="319">
        <v>-0.1955888</v>
      </c>
      <c r="M49" s="319">
        <v>-0.1955888</v>
      </c>
      <c r="N49" s="319">
        <v>-0.1955888</v>
      </c>
      <c r="O49" s="319">
        <v>-0.1955888</v>
      </c>
      <c r="P49" s="319">
        <v>0.0</v>
      </c>
      <c r="Q49" s="319">
        <v>0.0</v>
      </c>
      <c r="R49" s="319">
        <v>0.0</v>
      </c>
      <c r="S49" s="319">
        <v>0.0</v>
      </c>
      <c r="T49" s="319">
        <v>0.0</v>
      </c>
      <c r="U49" s="319">
        <v>0.0</v>
      </c>
      <c r="V49" s="319">
        <v>0.0</v>
      </c>
      <c r="W49" s="319">
        <v>0.0</v>
      </c>
      <c r="X49" s="319">
        <v>0.0</v>
      </c>
      <c r="Y49" s="319">
        <v>0.0</v>
      </c>
      <c r="Z49" s="319">
        <v>-0.1955888</v>
      </c>
      <c r="AA49" s="320"/>
      <c r="AB49" s="529" t="s">
        <v>181</v>
      </c>
      <c r="AC49" s="531"/>
    </row>
    <row r="50">
      <c r="A50" s="71"/>
      <c r="B50" s="72"/>
      <c r="C50" s="188"/>
      <c r="D50" s="72"/>
      <c r="E50" s="508" t="s">
        <v>189</v>
      </c>
      <c r="F50" s="139" t="s">
        <v>99</v>
      </c>
      <c r="G50" s="377" t="s">
        <v>110</v>
      </c>
      <c r="H50" s="511">
        <v>1.0</v>
      </c>
      <c r="I50" s="146" t="s">
        <v>124</v>
      </c>
      <c r="J50" s="146" t="s">
        <v>124</v>
      </c>
      <c r="K50" s="146" t="s">
        <v>124</v>
      </c>
      <c r="L50" s="146" t="s">
        <v>124</v>
      </c>
      <c r="M50" s="146" t="s">
        <v>124</v>
      </c>
      <c r="N50" s="146" t="s">
        <v>124</v>
      </c>
      <c r="O50" s="146" t="s">
        <v>124</v>
      </c>
      <c r="P50" s="146" t="s">
        <v>124</v>
      </c>
      <c r="Q50" s="146" t="s">
        <v>124</v>
      </c>
      <c r="R50" s="146" t="s">
        <v>124</v>
      </c>
      <c r="S50" s="146" t="s">
        <v>124</v>
      </c>
      <c r="T50" s="146" t="s">
        <v>124</v>
      </c>
      <c r="U50" s="146" t="s">
        <v>124</v>
      </c>
      <c r="V50" s="146" t="s">
        <v>124</v>
      </c>
      <c r="W50" s="146" t="s">
        <v>124</v>
      </c>
      <c r="X50" s="146" t="s">
        <v>124</v>
      </c>
      <c r="Y50" s="146" t="s">
        <v>124</v>
      </c>
      <c r="Z50" s="146" t="s">
        <v>124</v>
      </c>
      <c r="AA50" s="320"/>
      <c r="AB50" s="529" t="s">
        <v>232</v>
      </c>
      <c r="AC50" s="531"/>
    </row>
    <row r="51">
      <c r="A51" s="71"/>
      <c r="B51" s="72"/>
      <c r="C51" s="188"/>
      <c r="D51" s="72"/>
      <c r="E51" s="508" t="s">
        <v>199</v>
      </c>
      <c r="F51" s="139" t="s">
        <v>88</v>
      </c>
      <c r="G51" s="377" t="s">
        <v>110</v>
      </c>
      <c r="H51" s="317">
        <v>0.75</v>
      </c>
      <c r="I51" s="146" t="s">
        <v>124</v>
      </c>
      <c r="J51" s="146" t="s">
        <v>124</v>
      </c>
      <c r="K51" s="146" t="s">
        <v>124</v>
      </c>
      <c r="L51" s="146" t="s">
        <v>124</v>
      </c>
      <c r="M51" s="146" t="s">
        <v>124</v>
      </c>
      <c r="N51" s="146" t="s">
        <v>124</v>
      </c>
      <c r="O51" s="146" t="s">
        <v>124</v>
      </c>
      <c r="P51" s="146" t="s">
        <v>124</v>
      </c>
      <c r="Q51" s="146" t="s">
        <v>124</v>
      </c>
      <c r="R51" s="146" t="s">
        <v>124</v>
      </c>
      <c r="S51" s="146" t="s">
        <v>124</v>
      </c>
      <c r="T51" s="146" t="s">
        <v>124</v>
      </c>
      <c r="U51" s="146" t="s">
        <v>124</v>
      </c>
      <c r="V51" s="146" t="s">
        <v>124</v>
      </c>
      <c r="W51" s="146" t="s">
        <v>124</v>
      </c>
      <c r="X51" s="146" t="s">
        <v>124</v>
      </c>
      <c r="Y51" s="146" t="s">
        <v>124</v>
      </c>
      <c r="Z51" s="146" t="s">
        <v>124</v>
      </c>
      <c r="AA51" s="320"/>
      <c r="AB51" s="529" t="s">
        <v>232</v>
      </c>
      <c r="AC51" s="531"/>
    </row>
    <row r="52">
      <c r="A52" s="71"/>
      <c r="B52" s="72"/>
      <c r="C52" s="188"/>
      <c r="D52" s="72"/>
      <c r="E52" s="429" t="s">
        <v>207</v>
      </c>
      <c r="F52" s="204" t="s">
        <v>99</v>
      </c>
      <c r="G52" s="303" t="s">
        <v>110</v>
      </c>
      <c r="H52" s="324" t="s">
        <v>124</v>
      </c>
      <c r="I52" s="326">
        <v>0.7</v>
      </c>
      <c r="J52" s="326">
        <v>0.7</v>
      </c>
      <c r="K52" s="326">
        <f t="shared" ref="K52:O52" si="1">AVERAGE(33%, 70%)</f>
        <v>0.515</v>
      </c>
      <c r="L52" s="326">
        <f t="shared" si="1"/>
        <v>0.515</v>
      </c>
      <c r="M52" s="326">
        <f t="shared" si="1"/>
        <v>0.515</v>
      </c>
      <c r="N52" s="326">
        <f t="shared" si="1"/>
        <v>0.515</v>
      </c>
      <c r="O52" s="326">
        <f t="shared" si="1"/>
        <v>0.515</v>
      </c>
      <c r="P52" s="326">
        <v>0.7</v>
      </c>
      <c r="Q52" s="326">
        <v>0.7</v>
      </c>
      <c r="R52" s="326">
        <v>0.7</v>
      </c>
      <c r="S52" s="326">
        <v>0.7</v>
      </c>
      <c r="T52" s="326">
        <v>0.7</v>
      </c>
      <c r="U52" s="326">
        <v>0.7</v>
      </c>
      <c r="V52" s="326">
        <v>0.7</v>
      </c>
      <c r="W52" s="326">
        <v>0.7</v>
      </c>
      <c r="X52" s="326">
        <v>0.7</v>
      </c>
      <c r="Y52" s="326">
        <v>0.7</v>
      </c>
      <c r="Z52" s="326">
        <v>0.62</v>
      </c>
      <c r="AA52" s="328"/>
      <c r="AB52" s="435" t="s">
        <v>232</v>
      </c>
      <c r="AC52" s="555"/>
    </row>
    <row r="53">
      <c r="A53" s="71"/>
      <c r="B53" s="72"/>
      <c r="C53" s="188"/>
      <c r="D53" s="72"/>
      <c r="E53" s="289"/>
      <c r="F53" s="75"/>
      <c r="G53" s="77"/>
      <c r="H53" s="291"/>
      <c r="I53" s="293"/>
      <c r="J53" s="293"/>
      <c r="K53" s="293"/>
      <c r="L53" s="293"/>
      <c r="M53" s="293"/>
      <c r="N53" s="293"/>
      <c r="O53" s="293"/>
      <c r="P53" s="293"/>
      <c r="Q53" s="293"/>
      <c r="R53" s="293"/>
      <c r="S53" s="293"/>
      <c r="T53" s="293"/>
      <c r="U53" s="293"/>
      <c r="V53" s="293"/>
      <c r="W53" s="293"/>
      <c r="X53" s="293"/>
      <c r="Y53" s="293"/>
      <c r="Z53" s="293"/>
      <c r="AA53" s="185"/>
      <c r="AB53" s="294"/>
      <c r="AC53" s="295"/>
    </row>
    <row r="54">
      <c r="A54" s="71"/>
      <c r="B54" s="72"/>
      <c r="C54" s="278" t="s">
        <v>331</v>
      </c>
      <c r="F54" s="75"/>
      <c r="G54" s="77"/>
      <c r="H54" s="291"/>
      <c r="I54" s="293"/>
      <c r="J54" s="293"/>
      <c r="K54" s="293"/>
      <c r="L54" s="293"/>
      <c r="M54" s="293"/>
      <c r="N54" s="293"/>
      <c r="O54" s="293"/>
      <c r="P54" s="293"/>
      <c r="Q54" s="293"/>
      <c r="R54" s="293"/>
      <c r="S54" s="293"/>
      <c r="T54" s="293"/>
      <c r="U54" s="293"/>
      <c r="V54" s="293"/>
      <c r="W54" s="293"/>
      <c r="X54" s="293"/>
      <c r="Y54" s="293"/>
      <c r="Z54" s="293"/>
      <c r="AA54" s="185"/>
      <c r="AB54" s="294"/>
      <c r="AC54" s="295"/>
    </row>
    <row r="55">
      <c r="A55" s="71"/>
      <c r="B55" s="72"/>
      <c r="C55" s="188"/>
      <c r="D55" s="72"/>
      <c r="E55" s="334" t="s">
        <v>217</v>
      </c>
      <c r="F55" s="115" t="s">
        <v>99</v>
      </c>
      <c r="G55" s="231" t="s">
        <v>110</v>
      </c>
      <c r="H55" s="495">
        <v>0.6</v>
      </c>
      <c r="I55" s="128" t="s">
        <v>124</v>
      </c>
      <c r="J55" s="128" t="s">
        <v>124</v>
      </c>
      <c r="K55" s="128" t="s">
        <v>124</v>
      </c>
      <c r="L55" s="128" t="s">
        <v>124</v>
      </c>
      <c r="M55" s="128" t="s">
        <v>124</v>
      </c>
      <c r="N55" s="128" t="s">
        <v>124</v>
      </c>
      <c r="O55" s="128" t="s">
        <v>124</v>
      </c>
      <c r="P55" s="128" t="s">
        <v>124</v>
      </c>
      <c r="Q55" s="128" t="s">
        <v>124</v>
      </c>
      <c r="R55" s="128" t="s">
        <v>124</v>
      </c>
      <c r="S55" s="128" t="s">
        <v>124</v>
      </c>
      <c r="T55" s="128" t="s">
        <v>124</v>
      </c>
      <c r="U55" s="128" t="s">
        <v>124</v>
      </c>
      <c r="V55" s="128" t="s">
        <v>124</v>
      </c>
      <c r="W55" s="128" t="s">
        <v>124</v>
      </c>
      <c r="X55" s="128" t="s">
        <v>124</v>
      </c>
      <c r="Y55" s="128" t="s">
        <v>124</v>
      </c>
      <c r="Z55" s="128" t="s">
        <v>124</v>
      </c>
      <c r="AA55" s="311"/>
      <c r="AB55" s="562" t="s">
        <v>337</v>
      </c>
      <c r="AC55" s="563"/>
    </row>
    <row r="56">
      <c r="A56" s="71"/>
      <c r="B56" s="72"/>
      <c r="C56" s="188"/>
      <c r="D56" s="72"/>
      <c r="E56" s="508" t="s">
        <v>219</v>
      </c>
      <c r="F56" s="139" t="s">
        <v>99</v>
      </c>
      <c r="G56" s="377" t="s">
        <v>110</v>
      </c>
      <c r="H56" s="511">
        <v>0.26</v>
      </c>
      <c r="I56" s="146" t="s">
        <v>124</v>
      </c>
      <c r="J56" s="146" t="s">
        <v>124</v>
      </c>
      <c r="K56" s="146" t="s">
        <v>124</v>
      </c>
      <c r="L56" s="146" t="s">
        <v>124</v>
      </c>
      <c r="M56" s="146" t="s">
        <v>124</v>
      </c>
      <c r="N56" s="146" t="s">
        <v>124</v>
      </c>
      <c r="O56" s="146" t="s">
        <v>124</v>
      </c>
      <c r="P56" s="146" t="s">
        <v>124</v>
      </c>
      <c r="Q56" s="146" t="s">
        <v>124</v>
      </c>
      <c r="R56" s="146" t="s">
        <v>124</v>
      </c>
      <c r="S56" s="146" t="s">
        <v>124</v>
      </c>
      <c r="T56" s="146" t="s">
        <v>124</v>
      </c>
      <c r="U56" s="146" t="s">
        <v>124</v>
      </c>
      <c r="V56" s="146" t="s">
        <v>124</v>
      </c>
      <c r="W56" s="146" t="s">
        <v>124</v>
      </c>
      <c r="X56" s="146" t="s">
        <v>124</v>
      </c>
      <c r="Y56" s="146" t="s">
        <v>124</v>
      </c>
      <c r="Z56" s="146" t="s">
        <v>124</v>
      </c>
      <c r="AA56" s="320"/>
      <c r="AB56" s="217" t="s">
        <v>337</v>
      </c>
      <c r="AC56" s="567"/>
    </row>
    <row r="57">
      <c r="A57" s="71"/>
      <c r="B57" s="72"/>
      <c r="C57" s="188"/>
      <c r="D57" s="72"/>
      <c r="E57" s="429" t="s">
        <v>224</v>
      </c>
      <c r="F57" s="204" t="s">
        <v>99</v>
      </c>
      <c r="G57" s="303" t="s">
        <v>110</v>
      </c>
      <c r="H57" s="569">
        <v>-0.6912579</v>
      </c>
      <c r="I57" s="157" t="s">
        <v>124</v>
      </c>
      <c r="J57" s="157" t="s">
        <v>124</v>
      </c>
      <c r="K57" s="157" t="s">
        <v>124</v>
      </c>
      <c r="L57" s="157" t="s">
        <v>124</v>
      </c>
      <c r="M57" s="157" t="s">
        <v>124</v>
      </c>
      <c r="N57" s="157" t="s">
        <v>124</v>
      </c>
      <c r="O57" s="157" t="s">
        <v>124</v>
      </c>
      <c r="P57" s="157" t="s">
        <v>124</v>
      </c>
      <c r="Q57" s="157" t="s">
        <v>124</v>
      </c>
      <c r="R57" s="157" t="s">
        <v>124</v>
      </c>
      <c r="S57" s="157" t="s">
        <v>124</v>
      </c>
      <c r="T57" s="157" t="s">
        <v>124</v>
      </c>
      <c r="U57" s="157" t="s">
        <v>124</v>
      </c>
      <c r="V57" s="157" t="s">
        <v>124</v>
      </c>
      <c r="W57" s="157" t="s">
        <v>124</v>
      </c>
      <c r="X57" s="157" t="s">
        <v>124</v>
      </c>
      <c r="Y57" s="157" t="s">
        <v>124</v>
      </c>
      <c r="Z57" s="157" t="s">
        <v>124</v>
      </c>
      <c r="AA57" s="328"/>
      <c r="AB57" s="300" t="s">
        <v>181</v>
      </c>
      <c r="AC57" s="572" t="s">
        <v>126</v>
      </c>
    </row>
    <row r="58">
      <c r="A58" s="71"/>
      <c r="B58" s="72"/>
      <c r="C58" s="188"/>
      <c r="D58" s="72"/>
      <c r="E58" s="289"/>
      <c r="F58" s="75"/>
      <c r="G58" s="77"/>
      <c r="H58" s="291"/>
      <c r="I58" s="293"/>
      <c r="J58" s="293"/>
      <c r="K58" s="293"/>
      <c r="L58" s="293"/>
      <c r="M58" s="293"/>
      <c r="N58" s="293"/>
      <c r="O58" s="293"/>
      <c r="P58" s="293"/>
      <c r="Q58" s="293"/>
      <c r="R58" s="293"/>
      <c r="S58" s="293"/>
      <c r="T58" s="293"/>
      <c r="U58" s="293"/>
      <c r="V58" s="293"/>
      <c r="W58" s="293"/>
      <c r="X58" s="293"/>
      <c r="Y58" s="293"/>
      <c r="Z58" s="293"/>
      <c r="AA58" s="185"/>
      <c r="AB58" s="294"/>
      <c r="AC58" s="295"/>
    </row>
    <row r="59">
      <c r="A59" s="71"/>
      <c r="B59" s="72"/>
      <c r="C59" s="82" t="s">
        <v>353</v>
      </c>
      <c r="F59" s="75"/>
      <c r="G59" s="77"/>
      <c r="H59" s="291"/>
      <c r="I59" s="577"/>
      <c r="J59" s="577"/>
      <c r="K59" s="577"/>
      <c r="L59" s="577"/>
      <c r="M59" s="577"/>
      <c r="N59" s="577"/>
      <c r="O59" s="577"/>
      <c r="P59" s="577"/>
      <c r="Q59" s="577"/>
      <c r="R59" s="577"/>
      <c r="S59" s="577"/>
      <c r="T59" s="577"/>
      <c r="U59" s="577"/>
      <c r="V59" s="577"/>
      <c r="W59" s="577"/>
      <c r="X59" s="577"/>
      <c r="Y59" s="577"/>
      <c r="Z59" s="577"/>
      <c r="AA59" s="185"/>
      <c r="AB59" s="294"/>
      <c r="AC59" s="295"/>
    </row>
    <row r="60">
      <c r="A60" s="71"/>
      <c r="B60" s="72"/>
      <c r="C60" s="188"/>
      <c r="D60" s="72"/>
      <c r="E60" s="334" t="s">
        <v>280</v>
      </c>
      <c r="F60" s="115" t="s">
        <v>88</v>
      </c>
      <c r="G60" s="231" t="s">
        <v>110</v>
      </c>
      <c r="H60" s="579" t="s">
        <v>124</v>
      </c>
      <c r="I60" s="581">
        <f>IFERROR(__xludf.DUMMYFUNCTION("FILTER('GBD estimates'!$H$4:$H$2400,'GBD estimates'!$B$4:$B$2400=I$2,'GBD estimates'!$D$4:$D$2400=""1 to 4"")"),3159819.734)</f>
        <v>3159819.734</v>
      </c>
      <c r="J60" s="581">
        <f>IFERROR(__xludf.DUMMYFUNCTION("FILTER('GBD estimates'!$H$4:$H$2400,'GBD estimates'!$B$4:$B$2400=J$2,'GBD estimates'!$D$4:$D$2400=""1 to 4"")"),2593740.178)</f>
        <v>2593740.178</v>
      </c>
      <c r="K60" s="581">
        <f>IFERROR(__xludf.DUMMYFUNCTION("FILTER('GBD estimates'!$H$4:$H$2400,'GBD estimates'!$B$4:$B$2400=K$2,'GBD estimates'!$D$4:$D$2400=""1 to 4"")"),1.082114861E7)</f>
        <v>10821148.61</v>
      </c>
      <c r="L60" s="581">
        <f>IFERROR(__xludf.DUMMYFUNCTION("FILTER('GBD estimates'!$H$4:$H$2400,'GBD estimates'!$B$4:$B$2400=L$2,'GBD estimates'!$D$4:$D$2400=""1 to 4"")"),1.082114861E7)</f>
        <v>10821148.61</v>
      </c>
      <c r="M60" s="581">
        <f>IFERROR(__xludf.DUMMYFUNCTION("FILTER('GBD estimates'!$H$4:$H$2400,'GBD estimates'!$B$4:$B$2400=M$2,'GBD estimates'!$D$4:$D$2400=""1 to 4"")"),1.082114861E7)</f>
        <v>10821148.61</v>
      </c>
      <c r="N60" s="581">
        <f>IFERROR(__xludf.DUMMYFUNCTION("FILTER('GBD estimates'!$H$4:$H$2400,'GBD estimates'!$B$4:$B$2400=N$2,'GBD estimates'!$D$4:$D$2400=""1 to 4"")"),1.082114861E7)</f>
        <v>10821148.61</v>
      </c>
      <c r="O60" s="581">
        <f>IFERROR(__xludf.DUMMYFUNCTION("FILTER('GBD estimates'!$H$4:$H$2400,'GBD estimates'!$B$4:$B$2400=O$2,'GBD estimates'!$D$4:$D$2400=""1 to 4"")"),4037237.425)</f>
        <v>4037237.425</v>
      </c>
      <c r="P60" s="581">
        <f>IFERROR(__xludf.DUMMYFUNCTION("FILTER('GBD estimates'!$H$4:$H$2400,'GBD estimates'!$B$4:$B$2400=P$2,'GBD estimates'!$D$4:$D$2400=""1 to 4"")"),2.64010714E7)</f>
        <v>26401071.4</v>
      </c>
      <c r="Q60" s="581">
        <f>IFERROR(__xludf.DUMMYFUNCTION("FILTER('GBD estimates'!$H$4:$H$2400,'GBD estimates'!$B$4:$B$2400=Q$2,'GBD estimates'!$D$4:$D$2400=""1 to 4"")"),2.64010714E7)</f>
        <v>26401071.4</v>
      </c>
      <c r="R60" s="581">
        <f>IFERROR(__xludf.DUMMYFUNCTION("FILTER('GBD estimates'!$H$4:$H$2400,'GBD estimates'!$B$4:$B$2400=R$2,'GBD estimates'!$D$4:$D$2400=""1 to 4"")"),2.64010714E7)</f>
        <v>26401071.4</v>
      </c>
      <c r="S60" s="581">
        <f>IFERROR(__xludf.DUMMYFUNCTION("FILTER('GBD estimates'!$H$4:$H$2400,'GBD estimates'!$B$4:$B$2400=S$2,'GBD estimates'!$D$4:$D$2400=""1 to 4"")"),2.64010714E7)</f>
        <v>26401071.4</v>
      </c>
      <c r="T60" s="581">
        <f>IFERROR(__xludf.DUMMYFUNCTION("FILTER('GBD estimates'!$H$4:$H$2400,'GBD estimates'!$B$4:$B$2400=T$2,'GBD estimates'!$D$4:$D$2400=""1 to 4"")"),2.64010714E7)</f>
        <v>26401071.4</v>
      </c>
      <c r="U60" s="581">
        <f>IFERROR(__xludf.DUMMYFUNCTION("FILTER('GBD estimates'!$H$4:$H$2400,'GBD estimates'!$B$4:$B$2400=U$2,'GBD estimates'!$D$4:$D$2400=""1 to 4"")"),2.64010714E7)</f>
        <v>26401071.4</v>
      </c>
      <c r="V60" s="581">
        <f>IFERROR(__xludf.DUMMYFUNCTION("FILTER('GBD estimates'!$H$4:$H$2400,'GBD estimates'!$B$4:$B$2400=V$2,'GBD estimates'!$D$4:$D$2400=""1 to 4"")"),2.64010714E7)</f>
        <v>26401071.4</v>
      </c>
      <c r="W60" s="581">
        <f>IFERROR(__xludf.DUMMYFUNCTION("FILTER('GBD estimates'!$H$4:$H$2400,'GBD estimates'!$B$4:$B$2400=W$2,'GBD estimates'!$D$4:$D$2400=""1 to 4"")"),2.64010714E7)</f>
        <v>26401071.4</v>
      </c>
      <c r="X60" s="581">
        <f>IFERROR(__xludf.DUMMYFUNCTION("FILTER('GBD estimates'!$H$4:$H$2400,'GBD estimates'!$B$4:$B$2400=X$2,'GBD estimates'!$D$4:$D$2400=""1 to 4"")"),2.64010714E7)</f>
        <v>26401071.4</v>
      </c>
      <c r="Y60" s="581">
        <f>IFERROR(__xludf.DUMMYFUNCTION("FILTER('GBD estimates'!$H$4:$H$2400,'GBD estimates'!$B$4:$B$2400=Y$2,'GBD estimates'!$D$4:$D$2400=""1 to 4"")"),887125.4327)</f>
        <v>887125.4327</v>
      </c>
      <c r="Z60" s="581">
        <f>IFERROR(__xludf.DUMMYFUNCTION("FILTER('GBD estimates'!$H$4:$H$2400,'GBD estimates'!$B$4:$B$2400=Z$2,'GBD estimates'!$D$4:$D$2400=""1 to 4"")"),5581405.246)</f>
        <v>5581405.246</v>
      </c>
      <c r="AA60" s="311"/>
      <c r="AB60" s="339" t="s">
        <v>202</v>
      </c>
      <c r="AC60" s="563"/>
    </row>
    <row r="61">
      <c r="A61" s="71"/>
      <c r="B61" s="72"/>
      <c r="C61" s="188"/>
      <c r="D61" s="72"/>
      <c r="E61" s="340" t="s">
        <v>308</v>
      </c>
      <c r="F61" s="96" t="s">
        <v>88</v>
      </c>
      <c r="G61" s="176" t="s">
        <v>110</v>
      </c>
      <c r="H61" s="585" t="s">
        <v>124</v>
      </c>
      <c r="I61" s="586">
        <f>IFERROR(__xludf.DUMMYFUNCTION("FILTER('GBD estimates'!$H$4:$H$2400,'GBD estimates'!$B$4:$B$2400=I$2,'GBD estimates'!$D$4:$D$2400=""5-14 years"")"),6348445.622)</f>
        <v>6348445.622</v>
      </c>
      <c r="J61" s="586">
        <f>IFERROR(__xludf.DUMMYFUNCTION("FILTER('GBD estimates'!$H$4:$H$2400,'GBD estimates'!$B$4:$B$2400=J$2,'GBD estimates'!$D$4:$D$2400=""5-14 years"")"),4977421.002)</f>
        <v>4977421.002</v>
      </c>
      <c r="K61" s="586">
        <f>IFERROR(__xludf.DUMMYFUNCTION("FILTER('GBD estimates'!$H$4:$H$2400,'GBD estimates'!$B$4:$B$2400=K$2,'GBD estimates'!$D$4:$D$2400=""5-14 years"")"),2.406568016E7)</f>
        <v>24065680.16</v>
      </c>
      <c r="L61" s="586">
        <f>IFERROR(__xludf.DUMMYFUNCTION("FILTER('GBD estimates'!$H$4:$H$2400,'GBD estimates'!$B$4:$B$2400=L$2,'GBD estimates'!$D$4:$D$2400=""5-14 years"")"),2.406568016E7)</f>
        <v>24065680.16</v>
      </c>
      <c r="M61" s="586">
        <f>IFERROR(__xludf.DUMMYFUNCTION("FILTER('GBD estimates'!$H$4:$H$2400,'GBD estimates'!$B$4:$B$2400=M$2,'GBD estimates'!$D$4:$D$2400=""5-14 years"")"),2.406568016E7)</f>
        <v>24065680.16</v>
      </c>
      <c r="N61" s="586">
        <f>IFERROR(__xludf.DUMMYFUNCTION("FILTER('GBD estimates'!$H$4:$H$2400,'GBD estimates'!$B$4:$B$2400=N$2,'GBD estimates'!$D$4:$D$2400=""5-14 years"")"),2.406568016E7)</f>
        <v>24065680.16</v>
      </c>
      <c r="O61" s="586">
        <f>IFERROR(__xludf.DUMMYFUNCTION("FILTER('GBD estimates'!$H$4:$H$2400,'GBD estimates'!$B$4:$B$2400=O$2,'GBD estimates'!$D$4:$D$2400=""5-14 years"")"),8658112.544)</f>
        <v>8658112.544</v>
      </c>
      <c r="P61" s="586">
        <f>IFERROR(__xludf.DUMMYFUNCTION("FILTER('GBD estimates'!$H$4:$H$2400,'GBD estimates'!$B$4:$B$2400=P$2,'GBD estimates'!$D$4:$D$2400=""5-14 years"")"),6.022643653E7)</f>
        <v>60226436.53</v>
      </c>
      <c r="Q61" s="586">
        <f>IFERROR(__xludf.DUMMYFUNCTION("FILTER('GBD estimates'!$H$4:$H$2400,'GBD estimates'!$B$4:$B$2400=Q$2,'GBD estimates'!$D$4:$D$2400=""5-14 years"")"),6.022643653E7)</f>
        <v>60226436.53</v>
      </c>
      <c r="R61" s="586">
        <f>IFERROR(__xludf.DUMMYFUNCTION("FILTER('GBD estimates'!$H$4:$H$2400,'GBD estimates'!$B$4:$B$2400=R$2,'GBD estimates'!$D$4:$D$2400=""5-14 years"")"),6.022643653E7)</f>
        <v>60226436.53</v>
      </c>
      <c r="S61" s="586">
        <f>IFERROR(__xludf.DUMMYFUNCTION("FILTER('GBD estimates'!$H$4:$H$2400,'GBD estimates'!$B$4:$B$2400=S$2,'GBD estimates'!$D$4:$D$2400=""5-14 years"")"),6.022643653E7)</f>
        <v>60226436.53</v>
      </c>
      <c r="T61" s="586">
        <f>IFERROR(__xludf.DUMMYFUNCTION("FILTER('GBD estimates'!$H$4:$H$2400,'GBD estimates'!$B$4:$B$2400=T$2,'GBD estimates'!$D$4:$D$2400=""5-14 years"")"),6.022643653E7)</f>
        <v>60226436.53</v>
      </c>
      <c r="U61" s="586">
        <f>IFERROR(__xludf.DUMMYFUNCTION("FILTER('GBD estimates'!$H$4:$H$2400,'GBD estimates'!$B$4:$B$2400=U$2,'GBD estimates'!$D$4:$D$2400=""5-14 years"")"),6.022643653E7)</f>
        <v>60226436.53</v>
      </c>
      <c r="V61" s="586">
        <f>IFERROR(__xludf.DUMMYFUNCTION("FILTER('GBD estimates'!$H$4:$H$2400,'GBD estimates'!$B$4:$B$2400=V$2,'GBD estimates'!$D$4:$D$2400=""5-14 years"")"),6.022643653E7)</f>
        <v>60226436.53</v>
      </c>
      <c r="W61" s="586">
        <f>IFERROR(__xludf.DUMMYFUNCTION("FILTER('GBD estimates'!$H$4:$H$2400,'GBD estimates'!$B$4:$B$2400=W$2,'GBD estimates'!$D$4:$D$2400=""5-14 years"")"),6.022643653E7)</f>
        <v>60226436.53</v>
      </c>
      <c r="X61" s="586">
        <f>IFERROR(__xludf.DUMMYFUNCTION("FILTER('GBD estimates'!$H$4:$H$2400,'GBD estimates'!$B$4:$B$2400=X$2,'GBD estimates'!$D$4:$D$2400=""5-14 years"")"),6.022643653E7)</f>
        <v>60226436.53</v>
      </c>
      <c r="Y61" s="586">
        <f>IFERROR(__xludf.DUMMYFUNCTION("FILTER('GBD estimates'!$H$4:$H$2400,'GBD estimates'!$B$4:$B$2400=Y$2,'GBD estimates'!$D$4:$D$2400=""5-14 years"")"),2032780.787)</f>
        <v>2032780.787</v>
      </c>
      <c r="Z61" s="586">
        <f>IFERROR(__xludf.DUMMYFUNCTION("FILTER('GBD estimates'!$H$4:$H$2400,'GBD estimates'!$B$4:$B$2400=Z$2,'GBD estimates'!$D$4:$D$2400=""5-14 years"")"),1.198772212E7)</f>
        <v>11987722.12</v>
      </c>
      <c r="AA61" s="235"/>
      <c r="AB61" s="300" t="s">
        <v>202</v>
      </c>
      <c r="AC61" s="598"/>
    </row>
    <row r="62">
      <c r="A62" s="71"/>
      <c r="B62" s="72"/>
      <c r="C62" s="188"/>
      <c r="D62" s="72"/>
      <c r="E62" s="599"/>
      <c r="F62" s="120"/>
      <c r="G62" s="120"/>
      <c r="H62" s="600"/>
      <c r="I62" s="601"/>
      <c r="J62" s="601"/>
      <c r="K62" s="601"/>
      <c r="L62" s="601"/>
      <c r="M62" s="601"/>
      <c r="N62" s="601"/>
      <c r="O62" s="601"/>
      <c r="P62" s="601"/>
      <c r="Q62" s="601"/>
      <c r="R62" s="601"/>
      <c r="S62" s="601"/>
      <c r="T62" s="601"/>
      <c r="U62" s="601"/>
      <c r="V62" s="601"/>
      <c r="W62" s="601"/>
      <c r="X62" s="601"/>
      <c r="Y62" s="601"/>
      <c r="Z62" s="601"/>
      <c r="AA62" s="185"/>
      <c r="AB62" s="602"/>
      <c r="AC62" s="295"/>
    </row>
    <row r="63">
      <c r="A63" s="71"/>
      <c r="B63" s="72"/>
      <c r="C63" s="82" t="s">
        <v>350</v>
      </c>
      <c r="F63" s="120"/>
      <c r="G63" s="120"/>
      <c r="H63" s="600"/>
      <c r="I63" s="601"/>
      <c r="J63" s="601"/>
      <c r="K63" s="601"/>
      <c r="L63" s="601"/>
      <c r="M63" s="601"/>
      <c r="N63" s="601"/>
      <c r="O63" s="601"/>
      <c r="P63" s="601"/>
      <c r="Q63" s="601"/>
      <c r="R63" s="601"/>
      <c r="S63" s="601"/>
      <c r="T63" s="601"/>
      <c r="U63" s="601"/>
      <c r="V63" s="601"/>
      <c r="W63" s="601"/>
      <c r="X63" s="601"/>
      <c r="Y63" s="601"/>
      <c r="Z63" s="601"/>
      <c r="AA63" s="185"/>
      <c r="AB63" s="602"/>
      <c r="AC63" s="295"/>
    </row>
    <row r="64">
      <c r="A64" s="71"/>
      <c r="B64" s="72"/>
      <c r="C64" s="188"/>
      <c r="D64" s="72"/>
      <c r="E64" s="306" t="s">
        <v>354</v>
      </c>
      <c r="F64" s="603" t="s">
        <v>99</v>
      </c>
      <c r="G64" s="604" t="s">
        <v>110</v>
      </c>
      <c r="H64" s="605">
        <v>0.0064543</v>
      </c>
      <c r="I64" s="581" t="s">
        <v>124</v>
      </c>
      <c r="J64" s="581" t="s">
        <v>124</v>
      </c>
      <c r="K64" s="581" t="s">
        <v>124</v>
      </c>
      <c r="L64" s="581" t="s">
        <v>124</v>
      </c>
      <c r="M64" s="581" t="s">
        <v>124</v>
      </c>
      <c r="N64" s="581" t="s">
        <v>124</v>
      </c>
      <c r="O64" s="581" t="s">
        <v>124</v>
      </c>
      <c r="P64" s="581" t="s">
        <v>124</v>
      </c>
      <c r="Q64" s="581" t="s">
        <v>124</v>
      </c>
      <c r="R64" s="581" t="s">
        <v>124</v>
      </c>
      <c r="S64" s="581" t="s">
        <v>124</v>
      </c>
      <c r="T64" s="581" t="s">
        <v>124</v>
      </c>
      <c r="U64" s="581" t="s">
        <v>124</v>
      </c>
      <c r="V64" s="581" t="s">
        <v>124</v>
      </c>
      <c r="W64" s="581" t="s">
        <v>124</v>
      </c>
      <c r="X64" s="581" t="s">
        <v>124</v>
      </c>
      <c r="Y64" s="581" t="s">
        <v>124</v>
      </c>
      <c r="Z64" s="581" t="s">
        <v>124</v>
      </c>
      <c r="AA64" s="311"/>
      <c r="AB64" s="606" t="s">
        <v>232</v>
      </c>
      <c r="AC64" s="608" t="s">
        <v>130</v>
      </c>
    </row>
    <row r="65">
      <c r="A65" s="71"/>
      <c r="B65" s="72"/>
      <c r="C65" s="188"/>
      <c r="D65" s="72"/>
      <c r="E65" s="609" t="s">
        <v>363</v>
      </c>
      <c r="F65" s="610" t="s">
        <v>88</v>
      </c>
      <c r="G65" s="611" t="s">
        <v>110</v>
      </c>
      <c r="H65" s="612">
        <v>12.5</v>
      </c>
      <c r="I65" s="613" t="s">
        <v>124</v>
      </c>
      <c r="J65" s="613" t="s">
        <v>124</v>
      </c>
      <c r="K65" s="613" t="s">
        <v>124</v>
      </c>
      <c r="L65" s="613" t="s">
        <v>124</v>
      </c>
      <c r="M65" s="613" t="s">
        <v>124</v>
      </c>
      <c r="N65" s="613" t="s">
        <v>124</v>
      </c>
      <c r="O65" s="613" t="s">
        <v>124</v>
      </c>
      <c r="P65" s="613" t="s">
        <v>124</v>
      </c>
      <c r="Q65" s="613" t="s">
        <v>124</v>
      </c>
      <c r="R65" s="613" t="s">
        <v>124</v>
      </c>
      <c r="S65" s="613" t="s">
        <v>124</v>
      </c>
      <c r="T65" s="613" t="s">
        <v>124</v>
      </c>
      <c r="U65" s="613" t="s">
        <v>124</v>
      </c>
      <c r="V65" s="613" t="s">
        <v>124</v>
      </c>
      <c r="W65" s="613" t="s">
        <v>124</v>
      </c>
      <c r="X65" s="613" t="s">
        <v>124</v>
      </c>
      <c r="Y65" s="613" t="s">
        <v>124</v>
      </c>
      <c r="Z65" s="613" t="s">
        <v>124</v>
      </c>
      <c r="AA65" s="320"/>
      <c r="AB65" s="614" t="s">
        <v>232</v>
      </c>
      <c r="AC65" s="615"/>
    </row>
    <row r="66">
      <c r="A66" s="71"/>
      <c r="B66" s="72"/>
      <c r="C66" s="188"/>
      <c r="D66" s="72"/>
      <c r="E66" s="616" t="s">
        <v>369</v>
      </c>
      <c r="F66" s="610" t="s">
        <v>99</v>
      </c>
      <c r="G66" s="611" t="s">
        <v>110</v>
      </c>
      <c r="H66" s="619">
        <v>0.04</v>
      </c>
      <c r="I66" s="613" t="s">
        <v>124</v>
      </c>
      <c r="J66" s="613" t="s">
        <v>124</v>
      </c>
      <c r="K66" s="613" t="s">
        <v>124</v>
      </c>
      <c r="L66" s="613" t="s">
        <v>124</v>
      </c>
      <c r="M66" s="613" t="s">
        <v>124</v>
      </c>
      <c r="N66" s="613" t="s">
        <v>124</v>
      </c>
      <c r="O66" s="613" t="s">
        <v>124</v>
      </c>
      <c r="P66" s="613" t="s">
        <v>124</v>
      </c>
      <c r="Q66" s="613" t="s">
        <v>124</v>
      </c>
      <c r="R66" s="613" t="s">
        <v>124</v>
      </c>
      <c r="S66" s="613" t="s">
        <v>124</v>
      </c>
      <c r="T66" s="613" t="s">
        <v>124</v>
      </c>
      <c r="U66" s="613" t="s">
        <v>124</v>
      </c>
      <c r="V66" s="613" t="s">
        <v>124</v>
      </c>
      <c r="W66" s="613" t="s">
        <v>124</v>
      </c>
      <c r="X66" s="613" t="s">
        <v>124</v>
      </c>
      <c r="Y66" s="613" t="s">
        <v>124</v>
      </c>
      <c r="Z66" s="613" t="s">
        <v>124</v>
      </c>
      <c r="AA66" s="320"/>
      <c r="AB66" s="614" t="s">
        <v>181</v>
      </c>
      <c r="AC66" s="620" t="s">
        <v>138</v>
      </c>
    </row>
    <row r="67">
      <c r="A67" s="71"/>
      <c r="B67" s="72"/>
      <c r="C67" s="188"/>
      <c r="D67" s="72"/>
      <c r="E67" s="508" t="s">
        <v>380</v>
      </c>
      <c r="F67" s="610" t="s">
        <v>88</v>
      </c>
      <c r="G67" s="611" t="s">
        <v>110</v>
      </c>
      <c r="H67" s="623">
        <v>40.0</v>
      </c>
      <c r="I67" s="613" t="s">
        <v>124</v>
      </c>
      <c r="J67" s="613" t="s">
        <v>124</v>
      </c>
      <c r="K67" s="613" t="s">
        <v>124</v>
      </c>
      <c r="L67" s="613" t="s">
        <v>124</v>
      </c>
      <c r="M67" s="613" t="s">
        <v>124</v>
      </c>
      <c r="N67" s="613" t="s">
        <v>124</v>
      </c>
      <c r="O67" s="613" t="s">
        <v>124</v>
      </c>
      <c r="P67" s="613" t="s">
        <v>124</v>
      </c>
      <c r="Q67" s="613" t="s">
        <v>124</v>
      </c>
      <c r="R67" s="613" t="s">
        <v>124</v>
      </c>
      <c r="S67" s="613" t="s">
        <v>124</v>
      </c>
      <c r="T67" s="613" t="s">
        <v>124</v>
      </c>
      <c r="U67" s="613" t="s">
        <v>124</v>
      </c>
      <c r="V67" s="613" t="s">
        <v>124</v>
      </c>
      <c r="W67" s="613" t="s">
        <v>124</v>
      </c>
      <c r="X67" s="613" t="s">
        <v>124</v>
      </c>
      <c r="Y67" s="613" t="s">
        <v>124</v>
      </c>
      <c r="Z67" s="613" t="s">
        <v>124</v>
      </c>
      <c r="AA67" s="320"/>
      <c r="AB67" s="614" t="s">
        <v>232</v>
      </c>
      <c r="AC67" s="615"/>
    </row>
    <row r="68">
      <c r="A68" s="71"/>
      <c r="B68" s="72"/>
      <c r="C68" s="188"/>
      <c r="D68" s="72"/>
      <c r="E68" s="627" t="s">
        <v>391</v>
      </c>
      <c r="F68" s="628" t="s">
        <v>88</v>
      </c>
      <c r="G68" s="629" t="s">
        <v>110</v>
      </c>
      <c r="H68" s="630">
        <v>2.0</v>
      </c>
      <c r="I68" s="631" t="s">
        <v>124</v>
      </c>
      <c r="J68" s="631" t="s">
        <v>124</v>
      </c>
      <c r="K68" s="631" t="s">
        <v>124</v>
      </c>
      <c r="L68" s="631" t="s">
        <v>124</v>
      </c>
      <c r="M68" s="631" t="s">
        <v>124</v>
      </c>
      <c r="N68" s="631" t="s">
        <v>124</v>
      </c>
      <c r="O68" s="631" t="s">
        <v>124</v>
      </c>
      <c r="P68" s="631" t="s">
        <v>124</v>
      </c>
      <c r="Q68" s="631" t="s">
        <v>124</v>
      </c>
      <c r="R68" s="631" t="s">
        <v>124</v>
      </c>
      <c r="S68" s="631" t="s">
        <v>124</v>
      </c>
      <c r="T68" s="631" t="s">
        <v>124</v>
      </c>
      <c r="U68" s="631" t="s">
        <v>124</v>
      </c>
      <c r="V68" s="631" t="s">
        <v>124</v>
      </c>
      <c r="W68" s="631" t="s">
        <v>124</v>
      </c>
      <c r="X68" s="631" t="s">
        <v>124</v>
      </c>
      <c r="Y68" s="631" t="s">
        <v>124</v>
      </c>
      <c r="Z68" s="631" t="s">
        <v>124</v>
      </c>
      <c r="AA68" s="328"/>
      <c r="AB68" s="632" t="s">
        <v>181</v>
      </c>
      <c r="AC68" s="633" t="s">
        <v>139</v>
      </c>
    </row>
    <row r="69">
      <c r="A69" s="71"/>
      <c r="B69" s="72"/>
      <c r="C69" s="188"/>
      <c r="D69" s="72"/>
      <c r="E69" s="289"/>
      <c r="F69" s="75"/>
      <c r="G69" s="77"/>
      <c r="H69" s="291"/>
      <c r="I69" s="293"/>
      <c r="J69" s="293"/>
      <c r="K69" s="293"/>
      <c r="L69" s="293"/>
      <c r="M69" s="293"/>
      <c r="N69" s="293"/>
      <c r="O69" s="293"/>
      <c r="P69" s="293"/>
      <c r="Q69" s="293"/>
      <c r="R69" s="293"/>
      <c r="S69" s="293"/>
      <c r="T69" s="293"/>
      <c r="U69" s="293"/>
      <c r="V69" s="293"/>
      <c r="W69" s="293"/>
      <c r="X69" s="293"/>
      <c r="Y69" s="293"/>
      <c r="Z69" s="293"/>
      <c r="AA69" s="185"/>
      <c r="AB69" s="294"/>
      <c r="AC69" s="295"/>
    </row>
    <row r="70">
      <c r="A70" s="66" t="s">
        <v>411</v>
      </c>
      <c r="B70" s="17"/>
      <c r="C70" s="17"/>
      <c r="D70" s="17"/>
      <c r="E70" s="17"/>
      <c r="F70" s="17"/>
      <c r="G70" s="87"/>
      <c r="H70" s="284"/>
      <c r="I70" s="285"/>
      <c r="J70" s="285"/>
      <c r="K70" s="285"/>
      <c r="L70" s="285"/>
      <c r="M70" s="285"/>
      <c r="N70" s="285"/>
      <c r="O70" s="285"/>
      <c r="P70" s="285"/>
      <c r="Q70" s="285"/>
      <c r="R70" s="285"/>
      <c r="S70" s="285"/>
      <c r="T70" s="285"/>
      <c r="U70" s="285"/>
      <c r="V70" s="285"/>
      <c r="W70" s="285"/>
      <c r="X70" s="285"/>
      <c r="Y70" s="285"/>
      <c r="Z70" s="285"/>
      <c r="AA70" s="634"/>
      <c r="AB70" s="635"/>
      <c r="AC70" s="288"/>
    </row>
    <row r="71">
      <c r="A71" s="71"/>
      <c r="B71" s="72"/>
      <c r="C71" s="72"/>
      <c r="D71" s="72"/>
      <c r="E71" s="289"/>
      <c r="F71" s="75"/>
      <c r="G71" s="77"/>
      <c r="H71" s="291"/>
      <c r="I71" s="293"/>
      <c r="J71" s="293"/>
      <c r="K71" s="293"/>
      <c r="L71" s="293"/>
      <c r="M71" s="293"/>
      <c r="N71" s="293"/>
      <c r="O71" s="293"/>
      <c r="P71" s="293"/>
      <c r="Q71" s="293"/>
      <c r="R71" s="293"/>
      <c r="S71" s="293"/>
      <c r="T71" s="293"/>
      <c r="U71" s="293"/>
      <c r="V71" s="293"/>
      <c r="W71" s="293"/>
      <c r="X71" s="293"/>
      <c r="Y71" s="293"/>
      <c r="Z71" s="293"/>
      <c r="AA71" s="185"/>
      <c r="AB71" s="294"/>
      <c r="AC71" s="295"/>
    </row>
    <row r="72">
      <c r="A72" s="71"/>
      <c r="B72" s="72"/>
      <c r="C72" s="188" t="s">
        <v>411</v>
      </c>
      <c r="F72" s="75"/>
      <c r="G72" s="77"/>
      <c r="H72" s="291"/>
      <c r="I72" s="293"/>
      <c r="J72" s="293"/>
      <c r="K72" s="293"/>
      <c r="L72" s="293"/>
      <c r="M72" s="293"/>
      <c r="N72" s="293"/>
      <c r="O72" s="293"/>
      <c r="P72" s="293"/>
      <c r="Q72" s="293"/>
      <c r="R72" s="293"/>
      <c r="S72" s="293"/>
      <c r="T72" s="293"/>
      <c r="U72" s="293"/>
      <c r="V72" s="293"/>
      <c r="W72" s="293"/>
      <c r="X72" s="293"/>
      <c r="Y72" s="293"/>
      <c r="Z72" s="293"/>
      <c r="AA72" s="185"/>
      <c r="AB72" s="294"/>
      <c r="AC72" s="295"/>
    </row>
    <row r="73">
      <c r="A73" s="71"/>
      <c r="B73" s="72"/>
      <c r="C73" s="72"/>
      <c r="D73" s="72"/>
      <c r="E73" s="334" t="s">
        <v>416</v>
      </c>
      <c r="F73" s="115" t="s">
        <v>103</v>
      </c>
      <c r="G73" s="231" t="s">
        <v>110</v>
      </c>
      <c r="H73" s="637">
        <v>116.25262</v>
      </c>
      <c r="I73" s="128" t="s">
        <v>124</v>
      </c>
      <c r="J73" s="128" t="s">
        <v>124</v>
      </c>
      <c r="K73" s="128" t="s">
        <v>124</v>
      </c>
      <c r="L73" s="128" t="s">
        <v>124</v>
      </c>
      <c r="M73" s="128" t="s">
        <v>124</v>
      </c>
      <c r="N73" s="128" t="s">
        <v>124</v>
      </c>
      <c r="O73" s="128" t="s">
        <v>124</v>
      </c>
      <c r="P73" s="128" t="s">
        <v>124</v>
      </c>
      <c r="Q73" s="128" t="s">
        <v>124</v>
      </c>
      <c r="R73" s="128" t="s">
        <v>124</v>
      </c>
      <c r="S73" s="128" t="s">
        <v>124</v>
      </c>
      <c r="T73" s="128" t="s">
        <v>124</v>
      </c>
      <c r="U73" s="128" t="s">
        <v>124</v>
      </c>
      <c r="V73" s="128" t="s">
        <v>124</v>
      </c>
      <c r="W73" s="128" t="s">
        <v>124</v>
      </c>
      <c r="X73" s="128" t="s">
        <v>124</v>
      </c>
      <c r="Y73" s="128" t="s">
        <v>124</v>
      </c>
      <c r="Z73" s="128" t="s">
        <v>124</v>
      </c>
      <c r="AA73" s="638"/>
      <c r="AB73" s="339" t="s">
        <v>421</v>
      </c>
      <c r="AC73" s="640" t="s">
        <v>138</v>
      </c>
    </row>
    <row r="74">
      <c r="A74" s="71"/>
      <c r="B74" s="72"/>
      <c r="C74" s="72"/>
      <c r="D74" s="72"/>
      <c r="E74" s="641" t="s">
        <v>422</v>
      </c>
      <c r="F74" s="224" t="s">
        <v>103</v>
      </c>
      <c r="G74" s="225" t="s">
        <v>110</v>
      </c>
      <c r="H74" s="637">
        <v>73.1914</v>
      </c>
      <c r="I74" s="128" t="s">
        <v>124</v>
      </c>
      <c r="J74" s="128" t="s">
        <v>124</v>
      </c>
      <c r="K74" s="128" t="s">
        <v>124</v>
      </c>
      <c r="L74" s="128" t="s">
        <v>124</v>
      </c>
      <c r="M74" s="128" t="s">
        <v>124</v>
      </c>
      <c r="N74" s="128" t="s">
        <v>124</v>
      </c>
      <c r="O74" s="128" t="s">
        <v>124</v>
      </c>
      <c r="P74" s="128" t="s">
        <v>124</v>
      </c>
      <c r="Q74" s="128" t="s">
        <v>124</v>
      </c>
      <c r="R74" s="128" t="s">
        <v>124</v>
      </c>
      <c r="S74" s="128" t="s">
        <v>124</v>
      </c>
      <c r="T74" s="128" t="s">
        <v>124</v>
      </c>
      <c r="U74" s="128" t="s">
        <v>124</v>
      </c>
      <c r="V74" s="128" t="s">
        <v>124</v>
      </c>
      <c r="W74" s="128" t="s">
        <v>124</v>
      </c>
      <c r="X74" s="128" t="s">
        <v>124</v>
      </c>
      <c r="Y74" s="128" t="s">
        <v>124</v>
      </c>
      <c r="Z74" s="128" t="s">
        <v>124</v>
      </c>
      <c r="AA74" s="638"/>
      <c r="AB74" s="339" t="s">
        <v>421</v>
      </c>
      <c r="AC74" s="640" t="s">
        <v>138</v>
      </c>
    </row>
    <row r="75">
      <c r="A75" s="71"/>
      <c r="B75" s="72"/>
      <c r="C75" s="72"/>
      <c r="D75" s="72"/>
      <c r="E75" s="508" t="s">
        <v>425</v>
      </c>
      <c r="F75" s="139" t="s">
        <v>103</v>
      </c>
      <c r="G75" s="377" t="s">
        <v>110</v>
      </c>
      <c r="H75" s="642">
        <v>1.0</v>
      </c>
      <c r="I75" s="128" t="s">
        <v>124</v>
      </c>
      <c r="J75" s="128" t="s">
        <v>124</v>
      </c>
      <c r="K75" s="128" t="s">
        <v>124</v>
      </c>
      <c r="L75" s="128" t="s">
        <v>124</v>
      </c>
      <c r="M75" s="128" t="s">
        <v>124</v>
      </c>
      <c r="N75" s="128" t="s">
        <v>124</v>
      </c>
      <c r="O75" s="128" t="s">
        <v>124</v>
      </c>
      <c r="P75" s="128" t="s">
        <v>124</v>
      </c>
      <c r="Q75" s="128" t="s">
        <v>124</v>
      </c>
      <c r="R75" s="128" t="s">
        <v>124</v>
      </c>
      <c r="S75" s="128" t="s">
        <v>124</v>
      </c>
      <c r="T75" s="128" t="s">
        <v>124</v>
      </c>
      <c r="U75" s="128" t="s">
        <v>124</v>
      </c>
      <c r="V75" s="128" t="s">
        <v>124</v>
      </c>
      <c r="W75" s="128" t="s">
        <v>124</v>
      </c>
      <c r="X75" s="128" t="s">
        <v>124</v>
      </c>
      <c r="Y75" s="128" t="s">
        <v>124</v>
      </c>
      <c r="Z75" s="128" t="s">
        <v>124</v>
      </c>
      <c r="AA75" s="638"/>
      <c r="AB75" s="339" t="s">
        <v>421</v>
      </c>
      <c r="AC75" s="640" t="s">
        <v>138</v>
      </c>
    </row>
    <row r="76">
      <c r="A76" s="71"/>
      <c r="B76" s="72"/>
      <c r="C76" s="72"/>
      <c r="D76" s="72"/>
      <c r="E76" s="429" t="s">
        <v>428</v>
      </c>
      <c r="F76" s="204" t="s">
        <v>103</v>
      </c>
      <c r="G76" s="303" t="s">
        <v>110</v>
      </c>
      <c r="H76" s="644">
        <f>H75/ln(2)</f>
        <v>1.442695041</v>
      </c>
      <c r="I76" s="157" t="s">
        <v>124</v>
      </c>
      <c r="J76" s="157" t="s">
        <v>124</v>
      </c>
      <c r="K76" s="157" t="s">
        <v>124</v>
      </c>
      <c r="L76" s="157" t="s">
        <v>124</v>
      </c>
      <c r="M76" s="157" t="s">
        <v>124</v>
      </c>
      <c r="N76" s="157" t="s">
        <v>124</v>
      </c>
      <c r="O76" s="157" t="s">
        <v>124</v>
      </c>
      <c r="P76" s="157" t="s">
        <v>124</v>
      </c>
      <c r="Q76" s="157" t="s">
        <v>124</v>
      </c>
      <c r="R76" s="157" t="s">
        <v>124</v>
      </c>
      <c r="S76" s="157" t="s">
        <v>124</v>
      </c>
      <c r="T76" s="157" t="s">
        <v>124</v>
      </c>
      <c r="U76" s="157" t="s">
        <v>124</v>
      </c>
      <c r="V76" s="157" t="s">
        <v>124</v>
      </c>
      <c r="W76" s="157" t="s">
        <v>124</v>
      </c>
      <c r="X76" s="157" t="s">
        <v>124</v>
      </c>
      <c r="Y76" s="157" t="s">
        <v>124</v>
      </c>
      <c r="Z76" s="157" t="s">
        <v>124</v>
      </c>
      <c r="AA76" s="328"/>
      <c r="AB76" s="300" t="s">
        <v>421</v>
      </c>
      <c r="AC76" s="645" t="s">
        <v>138</v>
      </c>
    </row>
    <row r="77">
      <c r="A77" s="71"/>
      <c r="B77" s="72"/>
      <c r="C77" s="72"/>
      <c r="D77" s="72"/>
      <c r="E77" s="599"/>
      <c r="F77" s="120"/>
      <c r="G77" s="168"/>
      <c r="H77" s="646"/>
      <c r="I77" s="647"/>
      <c r="J77" s="647"/>
      <c r="K77" s="647"/>
      <c r="L77" s="647"/>
      <c r="M77" s="647"/>
      <c r="N77" s="647"/>
      <c r="O77" s="647"/>
      <c r="P77" s="647"/>
      <c r="Q77" s="647"/>
      <c r="R77" s="647"/>
      <c r="S77" s="647"/>
      <c r="T77" s="647"/>
      <c r="U77" s="647"/>
      <c r="V77" s="647"/>
      <c r="W77" s="647"/>
      <c r="X77" s="647"/>
      <c r="Y77" s="647"/>
      <c r="Z77" s="647"/>
      <c r="AA77" s="185"/>
      <c r="AB77" s="602"/>
      <c r="AC77" s="648"/>
    </row>
    <row r="78">
      <c r="A78" s="66" t="s">
        <v>433</v>
      </c>
      <c r="B78" s="17"/>
      <c r="C78" s="17"/>
      <c r="D78" s="17"/>
      <c r="E78" s="17"/>
      <c r="F78" s="17"/>
      <c r="G78" s="87"/>
      <c r="H78" s="284"/>
      <c r="I78" s="285"/>
      <c r="J78" s="285"/>
      <c r="K78" s="285"/>
      <c r="L78" s="285"/>
      <c r="M78" s="285"/>
      <c r="N78" s="285"/>
      <c r="O78" s="285"/>
      <c r="P78" s="285"/>
      <c r="Q78" s="285"/>
      <c r="R78" s="285"/>
      <c r="S78" s="285"/>
      <c r="T78" s="285"/>
      <c r="U78" s="285"/>
      <c r="V78" s="285"/>
      <c r="W78" s="285"/>
      <c r="X78" s="285"/>
      <c r="Y78" s="285"/>
      <c r="Z78" s="285"/>
      <c r="AA78" s="634"/>
      <c r="AB78" s="635"/>
      <c r="AC78" s="288"/>
    </row>
    <row r="79">
      <c r="A79" s="71"/>
      <c r="B79" s="72"/>
      <c r="C79" s="474"/>
      <c r="D79" s="72"/>
      <c r="E79" s="599"/>
      <c r="F79" s="120"/>
      <c r="G79" s="168"/>
      <c r="H79" s="651"/>
      <c r="I79" s="647"/>
      <c r="J79" s="647"/>
      <c r="K79" s="647"/>
      <c r="L79" s="647"/>
      <c r="M79" s="647"/>
      <c r="N79" s="647"/>
      <c r="O79" s="647"/>
      <c r="P79" s="647"/>
      <c r="Q79" s="647"/>
      <c r="R79" s="647"/>
      <c r="S79" s="647"/>
      <c r="T79" s="647"/>
      <c r="U79" s="647"/>
      <c r="V79" s="647"/>
      <c r="W79" s="647"/>
      <c r="X79" s="647"/>
      <c r="Y79" s="647"/>
      <c r="Z79" s="647"/>
      <c r="AA79" s="185"/>
      <c r="AB79" s="602"/>
      <c r="AC79" s="648"/>
    </row>
    <row r="80">
      <c r="A80" s="71"/>
      <c r="B80" s="72"/>
      <c r="C80" s="188" t="s">
        <v>437</v>
      </c>
      <c r="D80" s="188"/>
      <c r="E80" s="188"/>
      <c r="F80" s="120"/>
      <c r="G80" s="168"/>
      <c r="H80" s="646"/>
      <c r="I80" s="647"/>
      <c r="J80" s="647"/>
      <c r="K80" s="647"/>
      <c r="L80" s="647"/>
      <c r="M80" s="647"/>
      <c r="N80" s="647"/>
      <c r="O80" s="647"/>
      <c r="P80" s="647"/>
      <c r="Q80" s="647"/>
      <c r="R80" s="647"/>
      <c r="S80" s="647"/>
      <c r="T80" s="647"/>
      <c r="U80" s="647"/>
      <c r="V80" s="647"/>
      <c r="W80" s="647"/>
      <c r="X80" s="647"/>
      <c r="Y80" s="647"/>
      <c r="Z80" s="647"/>
      <c r="AA80" s="185"/>
      <c r="AB80" s="602"/>
      <c r="AC80" s="648"/>
    </row>
    <row r="81">
      <c r="A81" s="71"/>
      <c r="B81" s="72"/>
      <c r="C81" s="72"/>
      <c r="D81" s="72"/>
      <c r="E81" s="340" t="s">
        <v>438</v>
      </c>
      <c r="F81" s="96" t="s">
        <v>103</v>
      </c>
      <c r="G81" s="176" t="s">
        <v>110</v>
      </c>
      <c r="H81" s="654">
        <v>0.00333</v>
      </c>
      <c r="I81" s="656" t="s">
        <v>124</v>
      </c>
      <c r="J81" s="656" t="s">
        <v>124</v>
      </c>
      <c r="K81" s="656" t="s">
        <v>124</v>
      </c>
      <c r="L81" s="656" t="s">
        <v>124</v>
      </c>
      <c r="M81" s="656" t="s">
        <v>124</v>
      </c>
      <c r="N81" s="656" t="s">
        <v>124</v>
      </c>
      <c r="O81" s="656" t="s">
        <v>124</v>
      </c>
      <c r="P81" s="656" t="s">
        <v>124</v>
      </c>
      <c r="Q81" s="656" t="s">
        <v>124</v>
      </c>
      <c r="R81" s="656" t="s">
        <v>124</v>
      </c>
      <c r="S81" s="656" t="s">
        <v>124</v>
      </c>
      <c r="T81" s="656" t="s">
        <v>124</v>
      </c>
      <c r="U81" s="656" t="s">
        <v>124</v>
      </c>
      <c r="V81" s="656" t="s">
        <v>124</v>
      </c>
      <c r="W81" s="656" t="s">
        <v>124</v>
      </c>
      <c r="X81" s="656" t="s">
        <v>124</v>
      </c>
      <c r="Y81" s="656" t="s">
        <v>124</v>
      </c>
      <c r="Z81" s="656" t="s">
        <v>124</v>
      </c>
      <c r="AA81" s="235"/>
      <c r="AB81" s="300" t="s">
        <v>181</v>
      </c>
      <c r="AC81" s="45" t="s">
        <v>145</v>
      </c>
    </row>
    <row r="82">
      <c r="A82" s="71"/>
      <c r="B82" s="72"/>
      <c r="C82" s="72"/>
      <c r="D82" s="72"/>
      <c r="E82" s="289"/>
      <c r="F82" s="75"/>
      <c r="G82" s="77"/>
      <c r="H82" s="291"/>
      <c r="I82" s="293"/>
      <c r="J82" s="293"/>
      <c r="K82" s="293"/>
      <c r="L82" s="293"/>
      <c r="M82" s="293"/>
      <c r="N82" s="293"/>
      <c r="O82" s="293"/>
      <c r="P82" s="293"/>
      <c r="Q82" s="293"/>
      <c r="R82" s="293"/>
      <c r="S82" s="293"/>
      <c r="T82" s="293"/>
      <c r="U82" s="293"/>
      <c r="V82" s="293"/>
      <c r="W82" s="293"/>
      <c r="X82" s="293"/>
      <c r="Y82" s="293"/>
      <c r="Z82" s="293"/>
      <c r="AA82" s="185"/>
      <c r="AB82" s="294"/>
      <c r="AC82" s="295"/>
    </row>
    <row r="83">
      <c r="A83" s="66" t="s">
        <v>446</v>
      </c>
      <c r="B83" s="17"/>
      <c r="C83" s="17"/>
      <c r="D83" s="17"/>
      <c r="E83" s="17"/>
      <c r="F83" s="17"/>
      <c r="G83" s="87"/>
      <c r="H83" s="284"/>
      <c r="I83" s="285"/>
      <c r="J83" s="285"/>
      <c r="K83" s="285"/>
      <c r="L83" s="285"/>
      <c r="M83" s="285"/>
      <c r="N83" s="285"/>
      <c r="O83" s="285"/>
      <c r="P83" s="285"/>
      <c r="Q83" s="285"/>
      <c r="R83" s="285"/>
      <c r="S83" s="285"/>
      <c r="T83" s="285"/>
      <c r="U83" s="285"/>
      <c r="V83" s="285"/>
      <c r="W83" s="285"/>
      <c r="X83" s="285"/>
      <c r="Y83" s="285"/>
      <c r="Z83" s="285"/>
      <c r="AA83" s="634"/>
      <c r="AB83" s="635"/>
      <c r="AC83" s="288"/>
    </row>
    <row r="84">
      <c r="A84" s="71"/>
      <c r="B84" s="72"/>
      <c r="C84" s="72"/>
      <c r="D84" s="72"/>
      <c r="E84" s="289"/>
      <c r="F84" s="75"/>
      <c r="G84" s="77"/>
      <c r="H84" s="291"/>
      <c r="I84" s="293"/>
      <c r="J84" s="293"/>
      <c r="K84" s="293"/>
      <c r="L84" s="293"/>
      <c r="M84" s="293"/>
      <c r="N84" s="293"/>
      <c r="O84" s="293"/>
      <c r="P84" s="293"/>
      <c r="Q84" s="293"/>
      <c r="R84" s="293"/>
      <c r="S84" s="293"/>
      <c r="T84" s="293"/>
      <c r="U84" s="293"/>
      <c r="V84" s="293"/>
      <c r="W84" s="293"/>
      <c r="X84" s="293"/>
      <c r="Y84" s="293"/>
      <c r="Z84" s="293"/>
      <c r="AA84" s="185"/>
      <c r="AB84" s="294"/>
      <c r="AC84" s="295"/>
    </row>
    <row r="85">
      <c r="A85" s="71"/>
      <c r="B85" s="72"/>
      <c r="C85" s="188" t="s">
        <v>449</v>
      </c>
      <c r="F85" s="75"/>
      <c r="G85" s="77"/>
      <c r="H85" s="291"/>
      <c r="I85" s="293"/>
      <c r="J85" s="293"/>
      <c r="K85" s="293"/>
      <c r="L85" s="293"/>
      <c r="M85" s="293"/>
      <c r="N85" s="293"/>
      <c r="O85" s="293"/>
      <c r="P85" s="293"/>
      <c r="Q85" s="293"/>
      <c r="R85" s="293"/>
      <c r="S85" s="293"/>
      <c r="T85" s="293"/>
      <c r="U85" s="293"/>
      <c r="V85" s="293"/>
      <c r="W85" s="293"/>
      <c r="X85" s="293"/>
      <c r="Y85" s="293"/>
      <c r="Z85" s="293"/>
      <c r="AA85" s="185"/>
      <c r="AB85" s="294"/>
      <c r="AC85" s="295"/>
    </row>
    <row r="86">
      <c r="A86" s="71"/>
      <c r="B86" s="72"/>
      <c r="C86" s="72"/>
      <c r="D86" s="663" t="s">
        <v>452</v>
      </c>
      <c r="E86" s="100"/>
      <c r="F86" s="664"/>
      <c r="G86" s="376"/>
      <c r="H86" s="495"/>
      <c r="I86" s="309"/>
      <c r="J86" s="309"/>
      <c r="K86" s="309"/>
      <c r="L86" s="309"/>
      <c r="M86" s="309"/>
      <c r="N86" s="309"/>
      <c r="O86" s="309"/>
      <c r="P86" s="309"/>
      <c r="Q86" s="309"/>
      <c r="R86" s="309"/>
      <c r="S86" s="309"/>
      <c r="T86" s="309"/>
      <c r="U86" s="309"/>
      <c r="V86" s="309"/>
      <c r="W86" s="309"/>
      <c r="X86" s="309"/>
      <c r="Y86" s="309"/>
      <c r="Z86" s="309"/>
      <c r="AA86" s="311"/>
      <c r="AB86" s="665"/>
      <c r="AC86" s="563"/>
    </row>
    <row r="87">
      <c r="A87" s="71"/>
      <c r="B87" s="72"/>
      <c r="C87" s="72"/>
      <c r="D87" s="72"/>
      <c r="E87" s="334" t="s">
        <v>456</v>
      </c>
      <c r="F87" s="115" t="s">
        <v>99</v>
      </c>
      <c r="G87" s="231" t="s">
        <v>110</v>
      </c>
      <c r="H87" s="495">
        <v>0.0</v>
      </c>
      <c r="I87" s="128" t="s">
        <v>124</v>
      </c>
      <c r="J87" s="128" t="s">
        <v>124</v>
      </c>
      <c r="K87" s="128" t="s">
        <v>124</v>
      </c>
      <c r="L87" s="128" t="s">
        <v>124</v>
      </c>
      <c r="M87" s="128" t="s">
        <v>124</v>
      </c>
      <c r="N87" s="128" t="s">
        <v>124</v>
      </c>
      <c r="O87" s="128" t="s">
        <v>124</v>
      </c>
      <c r="P87" s="128" t="s">
        <v>124</v>
      </c>
      <c r="Q87" s="128" t="s">
        <v>124</v>
      </c>
      <c r="R87" s="128" t="s">
        <v>124</v>
      </c>
      <c r="S87" s="128" t="s">
        <v>124</v>
      </c>
      <c r="T87" s="128" t="s">
        <v>124</v>
      </c>
      <c r="U87" s="128" t="s">
        <v>124</v>
      </c>
      <c r="V87" s="128" t="s">
        <v>124</v>
      </c>
      <c r="W87" s="128" t="s">
        <v>124</v>
      </c>
      <c r="X87" s="128" t="s">
        <v>124</v>
      </c>
      <c r="Y87" s="128" t="s">
        <v>124</v>
      </c>
      <c r="Z87" s="128" t="s">
        <v>124</v>
      </c>
      <c r="AA87" s="311"/>
      <c r="AB87" s="339" t="s">
        <v>232</v>
      </c>
      <c r="AC87" s="666"/>
    </row>
    <row r="88">
      <c r="A88" s="71"/>
      <c r="B88" s="72"/>
      <c r="C88" s="72"/>
      <c r="D88" s="72"/>
      <c r="E88" s="508" t="s">
        <v>459</v>
      </c>
      <c r="F88" s="139" t="s">
        <v>99</v>
      </c>
      <c r="G88" s="231" t="s">
        <v>110</v>
      </c>
      <c r="H88" s="511">
        <v>0.0</v>
      </c>
      <c r="I88" s="319" t="s">
        <v>124</v>
      </c>
      <c r="J88" s="319" t="s">
        <v>124</v>
      </c>
      <c r="K88" s="319" t="s">
        <v>124</v>
      </c>
      <c r="L88" s="319" t="s">
        <v>124</v>
      </c>
      <c r="M88" s="319" t="s">
        <v>124</v>
      </c>
      <c r="N88" s="319" t="s">
        <v>124</v>
      </c>
      <c r="O88" s="319" t="s">
        <v>124</v>
      </c>
      <c r="P88" s="319" t="s">
        <v>124</v>
      </c>
      <c r="Q88" s="319" t="s">
        <v>124</v>
      </c>
      <c r="R88" s="319" t="s">
        <v>124</v>
      </c>
      <c r="S88" s="319" t="s">
        <v>124</v>
      </c>
      <c r="T88" s="319" t="s">
        <v>124</v>
      </c>
      <c r="U88" s="319" t="s">
        <v>124</v>
      </c>
      <c r="V88" s="319" t="s">
        <v>124</v>
      </c>
      <c r="W88" s="319" t="s">
        <v>124</v>
      </c>
      <c r="X88" s="319" t="s">
        <v>124</v>
      </c>
      <c r="Y88" s="319" t="s">
        <v>124</v>
      </c>
      <c r="Z88" s="319" t="s">
        <v>124</v>
      </c>
      <c r="AA88" s="320"/>
      <c r="AB88" s="339" t="s">
        <v>232</v>
      </c>
      <c r="AC88" s="668"/>
    </row>
    <row r="89">
      <c r="A89" s="71"/>
      <c r="B89" s="72"/>
      <c r="C89" s="72"/>
      <c r="D89" s="72"/>
      <c r="E89" s="508" t="s">
        <v>462</v>
      </c>
      <c r="F89" s="139" t="s">
        <v>99</v>
      </c>
      <c r="G89" s="231" t="s">
        <v>110</v>
      </c>
      <c r="H89" s="511">
        <v>0.0</v>
      </c>
      <c r="I89" s="319" t="s">
        <v>124</v>
      </c>
      <c r="J89" s="319" t="s">
        <v>124</v>
      </c>
      <c r="K89" s="319" t="s">
        <v>124</v>
      </c>
      <c r="L89" s="319" t="s">
        <v>124</v>
      </c>
      <c r="M89" s="319" t="s">
        <v>124</v>
      </c>
      <c r="N89" s="319" t="s">
        <v>124</v>
      </c>
      <c r="O89" s="319" t="s">
        <v>124</v>
      </c>
      <c r="P89" s="319" t="s">
        <v>124</v>
      </c>
      <c r="Q89" s="319" t="s">
        <v>124</v>
      </c>
      <c r="R89" s="319" t="s">
        <v>124</v>
      </c>
      <c r="S89" s="319" t="s">
        <v>124</v>
      </c>
      <c r="T89" s="319" t="s">
        <v>124</v>
      </c>
      <c r="U89" s="319" t="s">
        <v>124</v>
      </c>
      <c r="V89" s="319" t="s">
        <v>124</v>
      </c>
      <c r="W89" s="319" t="s">
        <v>124</v>
      </c>
      <c r="X89" s="319" t="s">
        <v>124</v>
      </c>
      <c r="Y89" s="319" t="s">
        <v>124</v>
      </c>
      <c r="Z89" s="319" t="s">
        <v>124</v>
      </c>
      <c r="AA89" s="320"/>
      <c r="AB89" s="339" t="s">
        <v>232</v>
      </c>
      <c r="AC89" s="668"/>
    </row>
    <row r="90">
      <c r="A90" s="71"/>
      <c r="B90" s="72"/>
      <c r="C90" s="72"/>
      <c r="D90" s="663" t="s">
        <v>464</v>
      </c>
      <c r="E90" s="100"/>
      <c r="F90" s="115"/>
      <c r="G90" s="376"/>
      <c r="H90" s="669"/>
      <c r="I90" s="670"/>
      <c r="J90" s="670"/>
      <c r="K90" s="670"/>
      <c r="L90" s="670"/>
      <c r="M90" s="670"/>
      <c r="N90" s="670"/>
      <c r="O90" s="670"/>
      <c r="P90" s="670"/>
      <c r="Q90" s="670"/>
      <c r="R90" s="670"/>
      <c r="S90" s="670"/>
      <c r="T90" s="670"/>
      <c r="U90" s="670"/>
      <c r="V90" s="670"/>
      <c r="W90" s="670"/>
      <c r="X90" s="670"/>
      <c r="Y90" s="670"/>
      <c r="Z90" s="670"/>
      <c r="AA90" s="320"/>
      <c r="AB90" s="672"/>
      <c r="AC90" s="567"/>
    </row>
    <row r="91">
      <c r="A91" s="71"/>
      <c r="B91" s="72"/>
      <c r="C91" s="72"/>
      <c r="D91" s="72"/>
      <c r="E91" s="334" t="s">
        <v>466</v>
      </c>
      <c r="F91" s="115" t="s">
        <v>99</v>
      </c>
      <c r="G91" s="231" t="s">
        <v>110</v>
      </c>
      <c r="H91" s="511">
        <v>0.0</v>
      </c>
      <c r="I91" s="146" t="s">
        <v>124</v>
      </c>
      <c r="J91" s="146" t="s">
        <v>124</v>
      </c>
      <c r="K91" s="146" t="s">
        <v>124</v>
      </c>
      <c r="L91" s="146" t="s">
        <v>124</v>
      </c>
      <c r="M91" s="146" t="s">
        <v>124</v>
      </c>
      <c r="N91" s="146" t="s">
        <v>124</v>
      </c>
      <c r="O91" s="146" t="s">
        <v>124</v>
      </c>
      <c r="P91" s="146" t="s">
        <v>124</v>
      </c>
      <c r="Q91" s="146" t="s">
        <v>124</v>
      </c>
      <c r="R91" s="146" t="s">
        <v>124</v>
      </c>
      <c r="S91" s="146" t="s">
        <v>124</v>
      </c>
      <c r="T91" s="146" t="s">
        <v>124</v>
      </c>
      <c r="U91" s="146" t="s">
        <v>124</v>
      </c>
      <c r="V91" s="146" t="s">
        <v>124</v>
      </c>
      <c r="W91" s="146" t="s">
        <v>124</v>
      </c>
      <c r="X91" s="146" t="s">
        <v>124</v>
      </c>
      <c r="Y91" s="146" t="s">
        <v>124</v>
      </c>
      <c r="Z91" s="146" t="s">
        <v>124</v>
      </c>
      <c r="AA91" s="320"/>
      <c r="AB91" s="339" t="s">
        <v>232</v>
      </c>
      <c r="AC91" s="668"/>
    </row>
    <row r="92">
      <c r="A92" s="71"/>
      <c r="B92" s="72"/>
      <c r="C92" s="72"/>
      <c r="D92" s="72"/>
      <c r="E92" s="508" t="s">
        <v>470</v>
      </c>
      <c r="F92" s="139" t="s">
        <v>99</v>
      </c>
      <c r="G92" s="231" t="s">
        <v>110</v>
      </c>
      <c r="H92" s="511">
        <v>-0.02</v>
      </c>
      <c r="I92" s="146" t="s">
        <v>124</v>
      </c>
      <c r="J92" s="146" t="s">
        <v>124</v>
      </c>
      <c r="K92" s="146" t="s">
        <v>124</v>
      </c>
      <c r="L92" s="146" t="s">
        <v>124</v>
      </c>
      <c r="M92" s="146" t="s">
        <v>124</v>
      </c>
      <c r="N92" s="146" t="s">
        <v>124</v>
      </c>
      <c r="O92" s="146" t="s">
        <v>124</v>
      </c>
      <c r="P92" s="146" t="s">
        <v>124</v>
      </c>
      <c r="Q92" s="146" t="s">
        <v>124</v>
      </c>
      <c r="R92" s="146" t="s">
        <v>124</v>
      </c>
      <c r="S92" s="146" t="s">
        <v>124</v>
      </c>
      <c r="T92" s="146" t="s">
        <v>124</v>
      </c>
      <c r="U92" s="146" t="s">
        <v>124</v>
      </c>
      <c r="V92" s="146" t="s">
        <v>124</v>
      </c>
      <c r="W92" s="146" t="s">
        <v>124</v>
      </c>
      <c r="X92" s="146" t="s">
        <v>124</v>
      </c>
      <c r="Y92" s="146" t="s">
        <v>124</v>
      </c>
      <c r="Z92" s="146" t="s">
        <v>124</v>
      </c>
      <c r="AA92" s="320"/>
      <c r="AB92" s="339" t="s">
        <v>232</v>
      </c>
      <c r="AC92" s="668"/>
    </row>
    <row r="93">
      <c r="A93" s="71"/>
      <c r="B93" s="72"/>
      <c r="C93" s="72"/>
      <c r="D93" s="663" t="s">
        <v>472</v>
      </c>
      <c r="E93" s="100"/>
      <c r="F93" s="115"/>
      <c r="G93" s="376"/>
      <c r="H93" s="669"/>
      <c r="I93" s="670"/>
      <c r="J93" s="670"/>
      <c r="K93" s="670"/>
      <c r="L93" s="670"/>
      <c r="M93" s="670"/>
      <c r="N93" s="670"/>
      <c r="O93" s="670"/>
      <c r="P93" s="670"/>
      <c r="Q93" s="670"/>
      <c r="R93" s="670"/>
      <c r="S93" s="670"/>
      <c r="T93" s="670"/>
      <c r="U93" s="670"/>
      <c r="V93" s="670"/>
      <c r="W93" s="670"/>
      <c r="X93" s="670"/>
      <c r="Y93" s="670"/>
      <c r="Z93" s="670"/>
      <c r="AA93" s="320"/>
      <c r="AB93" s="339"/>
      <c r="AC93" s="567"/>
    </row>
    <row r="94">
      <c r="A94" s="71"/>
      <c r="B94" s="72"/>
      <c r="C94" s="72"/>
      <c r="D94" s="72"/>
      <c r="E94" s="334" t="s">
        <v>475</v>
      </c>
      <c r="F94" s="115" t="s">
        <v>99</v>
      </c>
      <c r="G94" s="231" t="s">
        <v>110</v>
      </c>
      <c r="H94" s="511">
        <v>-0.01</v>
      </c>
      <c r="I94" s="146" t="s">
        <v>124</v>
      </c>
      <c r="J94" s="146" t="s">
        <v>124</v>
      </c>
      <c r="K94" s="146" t="s">
        <v>124</v>
      </c>
      <c r="L94" s="146" t="s">
        <v>124</v>
      </c>
      <c r="M94" s="146" t="s">
        <v>124</v>
      </c>
      <c r="N94" s="146" t="s">
        <v>124</v>
      </c>
      <c r="O94" s="146" t="s">
        <v>124</v>
      </c>
      <c r="P94" s="146" t="s">
        <v>124</v>
      </c>
      <c r="Q94" s="146" t="s">
        <v>124</v>
      </c>
      <c r="R94" s="146" t="s">
        <v>124</v>
      </c>
      <c r="S94" s="146" t="s">
        <v>124</v>
      </c>
      <c r="T94" s="146" t="s">
        <v>124</v>
      </c>
      <c r="U94" s="146" t="s">
        <v>124</v>
      </c>
      <c r="V94" s="146" t="s">
        <v>124</v>
      </c>
      <c r="W94" s="146" t="s">
        <v>124</v>
      </c>
      <c r="X94" s="146" t="s">
        <v>124</v>
      </c>
      <c r="Y94" s="146" t="s">
        <v>124</v>
      </c>
      <c r="Z94" s="146" t="s">
        <v>124</v>
      </c>
      <c r="AA94" s="320"/>
      <c r="AB94" s="339" t="s">
        <v>232</v>
      </c>
      <c r="AC94" s="668"/>
    </row>
    <row r="95">
      <c r="A95" s="71"/>
      <c r="B95" s="72"/>
      <c r="C95" s="72"/>
      <c r="D95" s="72"/>
      <c r="E95" s="508" t="s">
        <v>476</v>
      </c>
      <c r="F95" s="139" t="s">
        <v>99</v>
      </c>
      <c r="G95" s="231" t="s">
        <v>110</v>
      </c>
      <c r="H95" s="511">
        <v>0.0</v>
      </c>
      <c r="I95" s="146" t="s">
        <v>124</v>
      </c>
      <c r="J95" s="146" t="s">
        <v>124</v>
      </c>
      <c r="K95" s="146" t="s">
        <v>124</v>
      </c>
      <c r="L95" s="146" t="s">
        <v>124</v>
      </c>
      <c r="M95" s="146" t="s">
        <v>124</v>
      </c>
      <c r="N95" s="146" t="s">
        <v>124</v>
      </c>
      <c r="O95" s="146" t="s">
        <v>124</v>
      </c>
      <c r="P95" s="146" t="s">
        <v>124</v>
      </c>
      <c r="Q95" s="146" t="s">
        <v>124</v>
      </c>
      <c r="R95" s="146" t="s">
        <v>124</v>
      </c>
      <c r="S95" s="146" t="s">
        <v>124</v>
      </c>
      <c r="T95" s="146" t="s">
        <v>124</v>
      </c>
      <c r="U95" s="146" t="s">
        <v>124</v>
      </c>
      <c r="V95" s="146" t="s">
        <v>124</v>
      </c>
      <c r="W95" s="146" t="s">
        <v>124</v>
      </c>
      <c r="X95" s="146" t="s">
        <v>124</v>
      </c>
      <c r="Y95" s="146" t="s">
        <v>124</v>
      </c>
      <c r="Z95" s="146" t="s">
        <v>124</v>
      </c>
      <c r="AA95" s="320"/>
      <c r="AB95" s="339" t="s">
        <v>232</v>
      </c>
      <c r="AC95" s="668"/>
    </row>
    <row r="96">
      <c r="A96" s="71"/>
      <c r="B96" s="72"/>
      <c r="C96" s="72"/>
      <c r="D96" s="72"/>
      <c r="E96" s="429" t="s">
        <v>481</v>
      </c>
      <c r="F96" s="204" t="s">
        <v>99</v>
      </c>
      <c r="G96" s="303" t="s">
        <v>110</v>
      </c>
      <c r="H96" s="569">
        <v>-0.05</v>
      </c>
      <c r="I96" s="157" t="s">
        <v>124</v>
      </c>
      <c r="J96" s="157" t="s">
        <v>124</v>
      </c>
      <c r="K96" s="157" t="s">
        <v>124</v>
      </c>
      <c r="L96" s="157" t="s">
        <v>124</v>
      </c>
      <c r="M96" s="157" t="s">
        <v>124</v>
      </c>
      <c r="N96" s="157" t="s">
        <v>124</v>
      </c>
      <c r="O96" s="157" t="s">
        <v>124</v>
      </c>
      <c r="P96" s="157" t="s">
        <v>124</v>
      </c>
      <c r="Q96" s="157" t="s">
        <v>124</v>
      </c>
      <c r="R96" s="157" t="s">
        <v>124</v>
      </c>
      <c r="S96" s="157" t="s">
        <v>124</v>
      </c>
      <c r="T96" s="157" t="s">
        <v>124</v>
      </c>
      <c r="U96" s="157" t="s">
        <v>124</v>
      </c>
      <c r="V96" s="157" t="s">
        <v>124</v>
      </c>
      <c r="W96" s="157" t="s">
        <v>124</v>
      </c>
      <c r="X96" s="157" t="s">
        <v>124</v>
      </c>
      <c r="Y96" s="157" t="s">
        <v>124</v>
      </c>
      <c r="Z96" s="157" t="s">
        <v>124</v>
      </c>
      <c r="AA96" s="328"/>
      <c r="AB96" s="435" t="s">
        <v>232</v>
      </c>
      <c r="AC96" s="678"/>
    </row>
    <row r="97">
      <c r="A97" s="71"/>
      <c r="B97" s="72"/>
      <c r="C97" s="107"/>
      <c r="D97" s="72"/>
      <c r="E97" s="289"/>
      <c r="F97" s="75"/>
      <c r="G97" s="77"/>
      <c r="H97" s="291"/>
      <c r="I97" s="293"/>
      <c r="J97" s="293"/>
      <c r="K97" s="293"/>
      <c r="L97" s="293"/>
      <c r="M97" s="293"/>
      <c r="N97" s="293"/>
      <c r="O97" s="293"/>
      <c r="P97" s="293"/>
      <c r="Q97" s="293"/>
      <c r="R97" s="293"/>
      <c r="S97" s="293"/>
      <c r="T97" s="293"/>
      <c r="U97" s="293"/>
      <c r="V97" s="293"/>
      <c r="W97" s="293"/>
      <c r="X97" s="293"/>
      <c r="Y97" s="293"/>
      <c r="Z97" s="293"/>
      <c r="AA97" s="185"/>
      <c r="AB97" s="294"/>
      <c r="AC97" s="295"/>
    </row>
    <row r="98">
      <c r="A98" s="71"/>
      <c r="B98" s="72"/>
      <c r="C98" s="107" t="s">
        <v>485</v>
      </c>
      <c r="F98" s="75"/>
      <c r="G98" s="77"/>
      <c r="H98" s="291"/>
      <c r="I98" s="679"/>
      <c r="J98" s="293"/>
      <c r="K98" s="293"/>
      <c r="L98" s="293"/>
      <c r="M98" s="293"/>
      <c r="N98" s="293"/>
      <c r="O98" s="293"/>
      <c r="P98" s="293"/>
      <c r="Q98" s="293"/>
      <c r="R98" s="293"/>
      <c r="S98" s="293"/>
      <c r="T98" s="293"/>
      <c r="U98" s="293"/>
      <c r="V98" s="293"/>
      <c r="W98" s="293"/>
      <c r="X98" s="293"/>
      <c r="Y98" s="293"/>
      <c r="Z98" s="293"/>
      <c r="AA98" s="185"/>
      <c r="AB98" s="294"/>
      <c r="AC98" s="295"/>
    </row>
    <row r="99">
      <c r="A99" s="71"/>
      <c r="B99" s="72"/>
      <c r="C99" s="72"/>
      <c r="D99" s="680"/>
      <c r="E99" s="334" t="s">
        <v>488</v>
      </c>
      <c r="F99" s="115" t="s">
        <v>99</v>
      </c>
      <c r="G99" s="231" t="s">
        <v>110</v>
      </c>
      <c r="H99" s="495">
        <v>0.09</v>
      </c>
      <c r="I99" s="309" t="s">
        <v>124</v>
      </c>
      <c r="J99" s="309" t="s">
        <v>124</v>
      </c>
      <c r="K99" s="309" t="s">
        <v>124</v>
      </c>
      <c r="L99" s="309" t="s">
        <v>124</v>
      </c>
      <c r="M99" s="309" t="s">
        <v>124</v>
      </c>
      <c r="N99" s="309" t="s">
        <v>124</v>
      </c>
      <c r="O99" s="309" t="s">
        <v>124</v>
      </c>
      <c r="P99" s="309" t="s">
        <v>124</v>
      </c>
      <c r="Q99" s="309" t="s">
        <v>124</v>
      </c>
      <c r="R99" s="309" t="s">
        <v>124</v>
      </c>
      <c r="S99" s="309" t="s">
        <v>124</v>
      </c>
      <c r="T99" s="309" t="s">
        <v>124</v>
      </c>
      <c r="U99" s="309" t="s">
        <v>124</v>
      </c>
      <c r="V99" s="309" t="s">
        <v>124</v>
      </c>
      <c r="W99" s="309" t="s">
        <v>124</v>
      </c>
      <c r="X99" s="309" t="s">
        <v>124</v>
      </c>
      <c r="Y99" s="309" t="s">
        <v>124</v>
      </c>
      <c r="Z99" s="309" t="s">
        <v>124</v>
      </c>
      <c r="AA99" s="311"/>
      <c r="AB99" s="339" t="s">
        <v>232</v>
      </c>
      <c r="AC99" s="192" t="s">
        <v>143</v>
      </c>
    </row>
    <row r="100">
      <c r="A100" s="71"/>
      <c r="B100" s="72"/>
      <c r="C100" s="72"/>
      <c r="D100" s="72"/>
      <c r="E100" s="334" t="s">
        <v>490</v>
      </c>
      <c r="F100" s="115" t="s">
        <v>99</v>
      </c>
      <c r="G100" s="231" t="s">
        <v>110</v>
      </c>
      <c r="H100" s="495">
        <v>0.09</v>
      </c>
      <c r="I100" s="309" t="s">
        <v>124</v>
      </c>
      <c r="J100" s="309" t="s">
        <v>124</v>
      </c>
      <c r="K100" s="309" t="s">
        <v>124</v>
      </c>
      <c r="L100" s="309" t="s">
        <v>124</v>
      </c>
      <c r="M100" s="309" t="s">
        <v>124</v>
      </c>
      <c r="N100" s="309" t="s">
        <v>124</v>
      </c>
      <c r="O100" s="309" t="s">
        <v>124</v>
      </c>
      <c r="P100" s="309" t="s">
        <v>124</v>
      </c>
      <c r="Q100" s="309" t="s">
        <v>124</v>
      </c>
      <c r="R100" s="309" t="s">
        <v>124</v>
      </c>
      <c r="S100" s="309" t="s">
        <v>124</v>
      </c>
      <c r="T100" s="309" t="s">
        <v>124</v>
      </c>
      <c r="U100" s="309" t="s">
        <v>124</v>
      </c>
      <c r="V100" s="309" t="s">
        <v>124</v>
      </c>
      <c r="W100" s="309" t="s">
        <v>124</v>
      </c>
      <c r="X100" s="309" t="s">
        <v>124</v>
      </c>
      <c r="Y100" s="309" t="s">
        <v>124</v>
      </c>
      <c r="Z100" s="309" t="s">
        <v>124</v>
      </c>
      <c r="AA100" s="311"/>
      <c r="AB100" s="339" t="s">
        <v>232</v>
      </c>
      <c r="AC100" s="192" t="s">
        <v>143</v>
      </c>
    </row>
    <row r="101">
      <c r="A101" s="71"/>
      <c r="B101" s="72"/>
      <c r="C101" s="72"/>
      <c r="D101" s="72"/>
      <c r="E101" s="334" t="s">
        <v>492</v>
      </c>
      <c r="F101" s="115" t="s">
        <v>99</v>
      </c>
      <c r="G101" s="231" t="s">
        <v>110</v>
      </c>
      <c r="H101" s="495">
        <v>0.05</v>
      </c>
      <c r="I101" s="309" t="s">
        <v>124</v>
      </c>
      <c r="J101" s="309" t="s">
        <v>124</v>
      </c>
      <c r="K101" s="309" t="s">
        <v>124</v>
      </c>
      <c r="L101" s="309" t="s">
        <v>124</v>
      </c>
      <c r="M101" s="309" t="s">
        <v>124</v>
      </c>
      <c r="N101" s="309" t="s">
        <v>124</v>
      </c>
      <c r="O101" s="309" t="s">
        <v>124</v>
      </c>
      <c r="P101" s="309" t="s">
        <v>124</v>
      </c>
      <c r="Q101" s="309" t="s">
        <v>124</v>
      </c>
      <c r="R101" s="309" t="s">
        <v>124</v>
      </c>
      <c r="S101" s="309" t="s">
        <v>124</v>
      </c>
      <c r="T101" s="309" t="s">
        <v>124</v>
      </c>
      <c r="U101" s="309" t="s">
        <v>124</v>
      </c>
      <c r="V101" s="309" t="s">
        <v>124</v>
      </c>
      <c r="W101" s="309" t="s">
        <v>124</v>
      </c>
      <c r="X101" s="309" t="s">
        <v>124</v>
      </c>
      <c r="Y101" s="309" t="s">
        <v>124</v>
      </c>
      <c r="Z101" s="309" t="s">
        <v>124</v>
      </c>
      <c r="AA101" s="311"/>
      <c r="AB101" s="339" t="s">
        <v>232</v>
      </c>
      <c r="AC101" s="192" t="s">
        <v>143</v>
      </c>
    </row>
    <row r="102">
      <c r="A102" s="71"/>
      <c r="B102" s="72"/>
      <c r="C102" s="72"/>
      <c r="D102" s="72"/>
      <c r="E102" s="334" t="s">
        <v>494</v>
      </c>
      <c r="F102" s="115" t="s">
        <v>99</v>
      </c>
      <c r="G102" s="231" t="s">
        <v>110</v>
      </c>
      <c r="H102" s="495">
        <v>0.2</v>
      </c>
      <c r="I102" s="309" t="s">
        <v>124</v>
      </c>
      <c r="J102" s="309" t="s">
        <v>124</v>
      </c>
      <c r="K102" s="309" t="s">
        <v>124</v>
      </c>
      <c r="L102" s="309" t="s">
        <v>124</v>
      </c>
      <c r="M102" s="309" t="s">
        <v>124</v>
      </c>
      <c r="N102" s="309" t="s">
        <v>124</v>
      </c>
      <c r="O102" s="309" t="s">
        <v>124</v>
      </c>
      <c r="P102" s="309" t="s">
        <v>124</v>
      </c>
      <c r="Q102" s="309" t="s">
        <v>124</v>
      </c>
      <c r="R102" s="309" t="s">
        <v>124</v>
      </c>
      <c r="S102" s="309" t="s">
        <v>124</v>
      </c>
      <c r="T102" s="309" t="s">
        <v>124</v>
      </c>
      <c r="U102" s="309" t="s">
        <v>124</v>
      </c>
      <c r="V102" s="309" t="s">
        <v>124</v>
      </c>
      <c r="W102" s="309" t="s">
        <v>124</v>
      </c>
      <c r="X102" s="309" t="s">
        <v>124</v>
      </c>
      <c r="Y102" s="309" t="s">
        <v>124</v>
      </c>
      <c r="Z102" s="309" t="s">
        <v>124</v>
      </c>
      <c r="AA102" s="311"/>
      <c r="AB102" s="339" t="s">
        <v>232</v>
      </c>
      <c r="AC102" s="192" t="s">
        <v>143</v>
      </c>
    </row>
    <row r="103">
      <c r="A103" s="71"/>
      <c r="B103" s="72"/>
      <c r="C103" s="72"/>
      <c r="D103" s="72"/>
      <c r="E103" s="334" t="s">
        <v>495</v>
      </c>
      <c r="F103" s="115" t="s">
        <v>99</v>
      </c>
      <c r="G103" s="231" t="s">
        <v>110</v>
      </c>
      <c r="H103" s="495">
        <v>-0.006</v>
      </c>
      <c r="I103" s="309" t="s">
        <v>124</v>
      </c>
      <c r="J103" s="309" t="s">
        <v>124</v>
      </c>
      <c r="K103" s="309" t="s">
        <v>124</v>
      </c>
      <c r="L103" s="309" t="s">
        <v>124</v>
      </c>
      <c r="M103" s="309" t="s">
        <v>124</v>
      </c>
      <c r="N103" s="309" t="s">
        <v>124</v>
      </c>
      <c r="O103" s="309" t="s">
        <v>124</v>
      </c>
      <c r="P103" s="309" t="s">
        <v>124</v>
      </c>
      <c r="Q103" s="309" t="s">
        <v>124</v>
      </c>
      <c r="R103" s="309" t="s">
        <v>124</v>
      </c>
      <c r="S103" s="309" t="s">
        <v>124</v>
      </c>
      <c r="T103" s="309" t="s">
        <v>124</v>
      </c>
      <c r="U103" s="309" t="s">
        <v>124</v>
      </c>
      <c r="V103" s="309" t="s">
        <v>124</v>
      </c>
      <c r="W103" s="309" t="s">
        <v>124</v>
      </c>
      <c r="X103" s="309" t="s">
        <v>124</v>
      </c>
      <c r="Y103" s="309" t="s">
        <v>124</v>
      </c>
      <c r="Z103" s="309" t="s">
        <v>124</v>
      </c>
      <c r="AA103" s="311"/>
      <c r="AB103" s="339" t="s">
        <v>232</v>
      </c>
      <c r="AC103" s="192" t="s">
        <v>143</v>
      </c>
    </row>
    <row r="104">
      <c r="A104" s="71"/>
      <c r="B104" s="72"/>
      <c r="C104" s="72"/>
      <c r="D104" s="72"/>
      <c r="E104" s="334" t="s">
        <v>499</v>
      </c>
      <c r="F104" s="115" t="s">
        <v>99</v>
      </c>
      <c r="G104" s="231" t="s">
        <v>110</v>
      </c>
      <c r="H104" s="495">
        <v>-0.035</v>
      </c>
      <c r="I104" s="309" t="s">
        <v>124</v>
      </c>
      <c r="J104" s="309" t="s">
        <v>124</v>
      </c>
      <c r="K104" s="309" t="s">
        <v>124</v>
      </c>
      <c r="L104" s="309" t="s">
        <v>124</v>
      </c>
      <c r="M104" s="309" t="s">
        <v>124</v>
      </c>
      <c r="N104" s="309" t="s">
        <v>124</v>
      </c>
      <c r="O104" s="309" t="s">
        <v>124</v>
      </c>
      <c r="P104" s="309" t="s">
        <v>124</v>
      </c>
      <c r="Q104" s="309" t="s">
        <v>124</v>
      </c>
      <c r="R104" s="309" t="s">
        <v>124</v>
      </c>
      <c r="S104" s="309" t="s">
        <v>124</v>
      </c>
      <c r="T104" s="309" t="s">
        <v>124</v>
      </c>
      <c r="U104" s="309" t="s">
        <v>124</v>
      </c>
      <c r="V104" s="309" t="s">
        <v>124</v>
      </c>
      <c r="W104" s="309" t="s">
        <v>124</v>
      </c>
      <c r="X104" s="309" t="s">
        <v>124</v>
      </c>
      <c r="Y104" s="309" t="s">
        <v>124</v>
      </c>
      <c r="Z104" s="309" t="s">
        <v>124</v>
      </c>
      <c r="AA104" s="311"/>
      <c r="AB104" s="339" t="s">
        <v>232</v>
      </c>
      <c r="AC104" s="192" t="s">
        <v>143</v>
      </c>
    </row>
    <row r="105">
      <c r="A105" s="71"/>
      <c r="B105" s="72"/>
      <c r="C105" s="72"/>
      <c r="D105" s="72"/>
      <c r="E105" s="334" t="s">
        <v>501</v>
      </c>
      <c r="F105" s="115" t="s">
        <v>99</v>
      </c>
      <c r="G105" s="231" t="s">
        <v>110</v>
      </c>
      <c r="H105" s="495">
        <v>-0.04</v>
      </c>
      <c r="I105" s="309" t="s">
        <v>124</v>
      </c>
      <c r="J105" s="309" t="s">
        <v>124</v>
      </c>
      <c r="K105" s="309" t="s">
        <v>124</v>
      </c>
      <c r="L105" s="309" t="s">
        <v>124</v>
      </c>
      <c r="M105" s="309" t="s">
        <v>124</v>
      </c>
      <c r="N105" s="309" t="s">
        <v>124</v>
      </c>
      <c r="O105" s="309" t="s">
        <v>124</v>
      </c>
      <c r="P105" s="309" t="s">
        <v>124</v>
      </c>
      <c r="Q105" s="309" t="s">
        <v>124</v>
      </c>
      <c r="R105" s="309" t="s">
        <v>124</v>
      </c>
      <c r="S105" s="309" t="s">
        <v>124</v>
      </c>
      <c r="T105" s="309" t="s">
        <v>124</v>
      </c>
      <c r="U105" s="309" t="s">
        <v>124</v>
      </c>
      <c r="V105" s="309" t="s">
        <v>124</v>
      </c>
      <c r="W105" s="309" t="s">
        <v>124</v>
      </c>
      <c r="X105" s="309" t="s">
        <v>124</v>
      </c>
      <c r="Y105" s="309" t="s">
        <v>124</v>
      </c>
      <c r="Z105" s="309" t="s">
        <v>124</v>
      </c>
      <c r="AA105" s="311"/>
      <c r="AB105" s="339" t="s">
        <v>232</v>
      </c>
      <c r="AC105" s="192" t="s">
        <v>143</v>
      </c>
    </row>
    <row r="106">
      <c r="A106" s="71"/>
      <c r="B106" s="72"/>
      <c r="C106" s="72"/>
      <c r="D106" s="72"/>
      <c r="E106" s="334" t="s">
        <v>503</v>
      </c>
      <c r="F106" s="115" t="s">
        <v>99</v>
      </c>
      <c r="G106" s="231" t="s">
        <v>110</v>
      </c>
      <c r="H106" s="495" t="s">
        <v>124</v>
      </c>
      <c r="I106" s="309">
        <v>-0.04</v>
      </c>
      <c r="J106" s="309">
        <v>-0.04</v>
      </c>
      <c r="K106" s="309">
        <v>-0.1</v>
      </c>
      <c r="L106" s="309">
        <v>-0.1</v>
      </c>
      <c r="M106" s="309">
        <v>-0.1</v>
      </c>
      <c r="N106" s="309">
        <v>-0.1</v>
      </c>
      <c r="O106" s="309">
        <v>-0.1</v>
      </c>
      <c r="P106" s="309">
        <v>-0.04</v>
      </c>
      <c r="Q106" s="309">
        <v>-0.04</v>
      </c>
      <c r="R106" s="309">
        <v>-0.04</v>
      </c>
      <c r="S106" s="309">
        <v>-0.04</v>
      </c>
      <c r="T106" s="309">
        <v>-0.04</v>
      </c>
      <c r="U106" s="309">
        <v>-0.04</v>
      </c>
      <c r="V106" s="309">
        <v>-0.04</v>
      </c>
      <c r="W106" s="309">
        <v>-0.04</v>
      </c>
      <c r="X106" s="309">
        <v>-0.04</v>
      </c>
      <c r="Y106" s="309">
        <v>-0.04</v>
      </c>
      <c r="Z106" s="309">
        <v>-0.1</v>
      </c>
      <c r="AA106" s="311"/>
      <c r="AB106" s="339" t="s">
        <v>232</v>
      </c>
      <c r="AC106" s="192" t="s">
        <v>143</v>
      </c>
    </row>
    <row r="107">
      <c r="A107" s="71"/>
      <c r="B107" s="72"/>
      <c r="C107" s="72"/>
      <c r="D107" s="72"/>
      <c r="E107" s="334" t="s">
        <v>507</v>
      </c>
      <c r="F107" s="115" t="s">
        <v>99</v>
      </c>
      <c r="G107" s="231" t="s">
        <v>110</v>
      </c>
      <c r="H107" s="495">
        <v>0.032</v>
      </c>
      <c r="I107" s="309" t="s">
        <v>124</v>
      </c>
      <c r="J107" s="309" t="s">
        <v>124</v>
      </c>
      <c r="K107" s="309" t="s">
        <v>124</v>
      </c>
      <c r="L107" s="309" t="s">
        <v>124</v>
      </c>
      <c r="M107" s="309" t="s">
        <v>124</v>
      </c>
      <c r="N107" s="309" t="s">
        <v>124</v>
      </c>
      <c r="O107" s="309" t="s">
        <v>124</v>
      </c>
      <c r="P107" s="309" t="s">
        <v>124</v>
      </c>
      <c r="Q107" s="309" t="s">
        <v>124</v>
      </c>
      <c r="R107" s="309" t="s">
        <v>124</v>
      </c>
      <c r="S107" s="309" t="s">
        <v>124</v>
      </c>
      <c r="T107" s="309" t="s">
        <v>124</v>
      </c>
      <c r="U107" s="309" t="s">
        <v>124</v>
      </c>
      <c r="V107" s="309" t="s">
        <v>124</v>
      </c>
      <c r="W107" s="309" t="s">
        <v>124</v>
      </c>
      <c r="X107" s="309" t="s">
        <v>124</v>
      </c>
      <c r="Y107" s="309" t="s">
        <v>124</v>
      </c>
      <c r="Z107" s="309" t="s">
        <v>124</v>
      </c>
      <c r="AA107" s="311"/>
      <c r="AB107" s="339" t="s">
        <v>232</v>
      </c>
      <c r="AC107" s="192" t="s">
        <v>143</v>
      </c>
    </row>
    <row r="108">
      <c r="A108" s="71"/>
      <c r="B108" s="72"/>
      <c r="C108" s="72"/>
      <c r="D108" s="72"/>
      <c r="E108" s="340" t="s">
        <v>509</v>
      </c>
      <c r="F108" s="96" t="s">
        <v>99</v>
      </c>
      <c r="G108" s="176" t="s">
        <v>110</v>
      </c>
      <c r="H108" s="695" t="s">
        <v>124</v>
      </c>
      <c r="I108" s="696">
        <v>-0.15</v>
      </c>
      <c r="J108" s="696">
        <v>-0.1</v>
      </c>
      <c r="K108" s="696">
        <v>0.0</v>
      </c>
      <c r="L108" s="696">
        <v>0.0</v>
      </c>
      <c r="M108" s="696">
        <v>0.0</v>
      </c>
      <c r="N108" s="696">
        <v>0.0</v>
      </c>
      <c r="O108" s="696">
        <v>0.0</v>
      </c>
      <c r="P108" s="696">
        <v>0.0</v>
      </c>
      <c r="Q108" s="696">
        <v>0.0</v>
      </c>
      <c r="R108" s="696">
        <v>0.0</v>
      </c>
      <c r="S108" s="696">
        <v>0.0</v>
      </c>
      <c r="T108" s="696">
        <v>0.0</v>
      </c>
      <c r="U108" s="696">
        <v>0.0</v>
      </c>
      <c r="V108" s="696">
        <v>0.0</v>
      </c>
      <c r="W108" s="696">
        <v>0.0</v>
      </c>
      <c r="X108" s="696">
        <v>0.0</v>
      </c>
      <c r="Y108" s="696">
        <v>-0.05</v>
      </c>
      <c r="Z108" s="696">
        <v>0.0</v>
      </c>
      <c r="AA108" s="235"/>
      <c r="AB108" s="300" t="s">
        <v>232</v>
      </c>
      <c r="AC108" s="201" t="s">
        <v>143</v>
      </c>
    </row>
    <row r="109">
      <c r="A109" s="700"/>
      <c r="E109" s="701"/>
      <c r="H109" s="702"/>
      <c r="AA109" s="700"/>
      <c r="AC109" s="525"/>
    </row>
    <row r="110">
      <c r="A110" s="66" t="s">
        <v>516</v>
      </c>
      <c r="B110" s="17"/>
      <c r="C110" s="17"/>
      <c r="D110" s="17"/>
      <c r="E110" s="17"/>
      <c r="F110" s="17"/>
      <c r="G110" s="87"/>
      <c r="H110" s="284"/>
      <c r="I110" s="285"/>
      <c r="J110" s="285"/>
      <c r="K110" s="285"/>
      <c r="L110" s="285"/>
      <c r="M110" s="285"/>
      <c r="N110" s="285"/>
      <c r="O110" s="285"/>
      <c r="P110" s="285"/>
      <c r="Q110" s="285"/>
      <c r="R110" s="285"/>
      <c r="S110" s="285"/>
      <c r="T110" s="285"/>
      <c r="U110" s="285"/>
      <c r="V110" s="285"/>
      <c r="W110" s="285"/>
      <c r="X110" s="285"/>
      <c r="Y110" s="285"/>
      <c r="Z110" s="285"/>
      <c r="AA110" s="634"/>
      <c r="AB110" s="635"/>
      <c r="AC110" s="288"/>
    </row>
    <row r="111">
      <c r="A111" s="71"/>
      <c r="B111" s="72"/>
      <c r="C111" s="72"/>
      <c r="D111" s="72"/>
      <c r="E111" s="289"/>
      <c r="F111" s="75"/>
      <c r="G111" s="77"/>
      <c r="H111" s="291"/>
      <c r="I111" s="293"/>
      <c r="J111" s="293"/>
      <c r="K111" s="293"/>
      <c r="L111" s="293"/>
      <c r="M111" s="293"/>
      <c r="N111" s="293"/>
      <c r="O111" s="293"/>
      <c r="P111" s="293"/>
      <c r="Q111" s="293"/>
      <c r="R111" s="293"/>
      <c r="S111" s="293"/>
      <c r="T111" s="293"/>
      <c r="U111" s="293"/>
      <c r="V111" s="293"/>
      <c r="W111" s="293"/>
      <c r="X111" s="293"/>
      <c r="Y111" s="293"/>
      <c r="Z111" s="293"/>
      <c r="AA111" s="185"/>
      <c r="AB111" s="294"/>
      <c r="AC111" s="295"/>
    </row>
    <row r="112">
      <c r="A112" s="71"/>
      <c r="B112" s="72"/>
      <c r="C112" s="188" t="s">
        <v>163</v>
      </c>
      <c r="F112" s="75"/>
      <c r="G112" s="77"/>
      <c r="H112" s="291"/>
      <c r="I112" s="293"/>
      <c r="J112" s="293"/>
      <c r="K112" s="293"/>
      <c r="L112" s="293"/>
      <c r="M112" s="293"/>
      <c r="N112" s="293"/>
      <c r="O112" s="293"/>
      <c r="P112" s="293"/>
      <c r="Q112" s="293"/>
      <c r="R112" s="293"/>
      <c r="S112" s="293"/>
      <c r="T112" s="293"/>
      <c r="U112" s="293"/>
      <c r="V112" s="293"/>
      <c r="W112" s="293"/>
      <c r="X112" s="293"/>
      <c r="Y112" s="293"/>
      <c r="Z112" s="293"/>
      <c r="AA112" s="185"/>
      <c r="AB112" s="294"/>
      <c r="AC112" s="295"/>
    </row>
    <row r="113">
      <c r="A113" s="71"/>
      <c r="B113" s="72"/>
      <c r="C113" s="72"/>
      <c r="D113" s="72"/>
      <c r="E113" s="334" t="s">
        <v>165</v>
      </c>
      <c r="F113" s="115" t="s">
        <v>99</v>
      </c>
      <c r="G113" s="231" t="s">
        <v>110</v>
      </c>
      <c r="H113" s="308" t="s">
        <v>124</v>
      </c>
      <c r="I113" s="309">
        <v>0.0</v>
      </c>
      <c r="J113" s="704">
        <v>0.0</v>
      </c>
      <c r="K113" s="704">
        <v>0.0</v>
      </c>
      <c r="L113" s="704">
        <v>0.0</v>
      </c>
      <c r="M113" s="704">
        <v>0.0</v>
      </c>
      <c r="N113" s="704">
        <v>0.0</v>
      </c>
      <c r="O113" s="704">
        <v>0.0</v>
      </c>
      <c r="P113" s="704">
        <v>0.0</v>
      </c>
      <c r="Q113" s="704">
        <v>0.0</v>
      </c>
      <c r="R113" s="704">
        <v>0.0</v>
      </c>
      <c r="S113" s="704">
        <v>0.0</v>
      </c>
      <c r="T113" s="704">
        <v>0.0</v>
      </c>
      <c r="U113" s="704">
        <v>0.0</v>
      </c>
      <c r="V113" s="704">
        <v>0.0</v>
      </c>
      <c r="W113" s="704">
        <v>0.0</v>
      </c>
      <c r="X113" s="704">
        <v>0.0</v>
      </c>
      <c r="Y113" s="704">
        <v>0.0</v>
      </c>
      <c r="Z113" s="309">
        <v>0.0</v>
      </c>
      <c r="AA113" s="311"/>
      <c r="AB113" s="339" t="s">
        <v>181</v>
      </c>
      <c r="AC113" s="192" t="s">
        <v>135</v>
      </c>
    </row>
    <row r="114">
      <c r="A114" s="71"/>
      <c r="B114" s="72"/>
      <c r="C114" s="72"/>
      <c r="D114" s="72"/>
      <c r="E114" s="508" t="s">
        <v>170</v>
      </c>
      <c r="F114" s="139" t="s">
        <v>99</v>
      </c>
      <c r="G114" s="377" t="s">
        <v>110</v>
      </c>
      <c r="H114" s="317" t="s">
        <v>124</v>
      </c>
      <c r="I114" s="319">
        <v>0.5</v>
      </c>
      <c r="J114" s="319">
        <v>0.45</v>
      </c>
      <c r="K114" s="319">
        <v>0.15</v>
      </c>
      <c r="L114" s="319">
        <v>0.15</v>
      </c>
      <c r="M114" s="319">
        <v>0.15</v>
      </c>
      <c r="N114" s="319">
        <v>0.15</v>
      </c>
      <c r="O114" s="319">
        <v>0.2</v>
      </c>
      <c r="P114" s="319">
        <v>0.2</v>
      </c>
      <c r="Q114" s="319">
        <v>0.1</v>
      </c>
      <c r="R114" s="319">
        <v>0.1</v>
      </c>
      <c r="S114" s="319">
        <v>0.2</v>
      </c>
      <c r="T114" s="319">
        <v>0.1</v>
      </c>
      <c r="U114" s="319">
        <v>0.2</v>
      </c>
      <c r="V114" s="319">
        <v>0.2</v>
      </c>
      <c r="W114" s="319">
        <v>0.2</v>
      </c>
      <c r="X114" s="319">
        <v>0.2</v>
      </c>
      <c r="Y114" s="319">
        <v>0.65</v>
      </c>
      <c r="Z114" s="319">
        <v>0.3</v>
      </c>
      <c r="AA114" s="320"/>
      <c r="AB114" s="529" t="s">
        <v>181</v>
      </c>
      <c r="AC114" s="192" t="s">
        <v>135</v>
      </c>
    </row>
    <row r="115">
      <c r="A115" s="71"/>
      <c r="B115" s="72"/>
      <c r="C115" s="72"/>
      <c r="D115" s="72"/>
      <c r="E115" s="429" t="s">
        <v>173</v>
      </c>
      <c r="F115" s="204" t="s">
        <v>99</v>
      </c>
      <c r="G115" s="303" t="s">
        <v>110</v>
      </c>
      <c r="H115" s="324" t="s">
        <v>124</v>
      </c>
      <c r="I115" s="326">
        <v>0.0</v>
      </c>
      <c r="J115" s="326">
        <v>0.0</v>
      </c>
      <c r="K115" s="326">
        <v>0.0</v>
      </c>
      <c r="L115" s="326">
        <v>0.0</v>
      </c>
      <c r="M115" s="326">
        <v>0.0</v>
      </c>
      <c r="N115" s="326">
        <v>0.0</v>
      </c>
      <c r="O115" s="326">
        <v>0.0</v>
      </c>
      <c r="P115" s="326">
        <v>0.0</v>
      </c>
      <c r="Q115" s="326">
        <v>0.0</v>
      </c>
      <c r="R115" s="326">
        <v>0.0</v>
      </c>
      <c r="S115" s="326">
        <v>0.0</v>
      </c>
      <c r="T115" s="326">
        <v>0.0</v>
      </c>
      <c r="U115" s="326">
        <v>0.0</v>
      </c>
      <c r="V115" s="326">
        <v>0.0</v>
      </c>
      <c r="W115" s="326">
        <v>0.0</v>
      </c>
      <c r="X115" s="326">
        <v>0.0</v>
      </c>
      <c r="Y115" s="326">
        <v>0.0</v>
      </c>
      <c r="Z115" s="326">
        <v>0.0</v>
      </c>
      <c r="AA115" s="328"/>
      <c r="AB115" s="435" t="s">
        <v>181</v>
      </c>
      <c r="AC115" s="201" t="s">
        <v>135</v>
      </c>
    </row>
    <row r="116">
      <c r="A116" s="71"/>
      <c r="B116" s="72"/>
      <c r="C116" s="72"/>
      <c r="D116" s="72"/>
      <c r="E116" s="289"/>
      <c r="F116" s="75"/>
      <c r="G116" s="77"/>
      <c r="H116" s="291"/>
      <c r="I116" s="293"/>
      <c r="J116" s="293"/>
      <c r="K116" s="293"/>
      <c r="L116" s="293"/>
      <c r="M116" s="293"/>
      <c r="N116" s="293"/>
      <c r="O116" s="293"/>
      <c r="P116" s="293"/>
      <c r="Q116" s="293"/>
      <c r="R116" s="293"/>
      <c r="S116" s="293"/>
      <c r="T116" s="293"/>
      <c r="U116" s="293"/>
      <c r="V116" s="293"/>
      <c r="W116" s="293"/>
      <c r="X116" s="293"/>
      <c r="Y116" s="293"/>
      <c r="Z116" s="293"/>
      <c r="AA116" s="185"/>
      <c r="AB116" s="294"/>
      <c r="AC116" s="295"/>
    </row>
    <row r="117">
      <c r="A117" s="71"/>
      <c r="B117" s="72"/>
      <c r="C117" s="124" t="s">
        <v>179</v>
      </c>
      <c r="F117" s="35"/>
      <c r="G117" s="84"/>
      <c r="H117" s="291"/>
      <c r="I117" s="293"/>
      <c r="J117" s="293"/>
      <c r="K117" s="293"/>
      <c r="L117" s="293"/>
      <c r="M117" s="293"/>
      <c r="N117" s="293"/>
      <c r="O117" s="293"/>
      <c r="P117" s="293"/>
      <c r="Q117" s="293"/>
      <c r="R117" s="293"/>
      <c r="S117" s="293"/>
      <c r="T117" s="293"/>
      <c r="U117" s="293"/>
      <c r="V117" s="293"/>
      <c r="W117" s="293"/>
      <c r="X117" s="293"/>
      <c r="Y117" s="293"/>
      <c r="Z117" s="293"/>
      <c r="AA117" s="185"/>
      <c r="AB117" s="294"/>
      <c r="AC117" s="295"/>
    </row>
    <row r="118">
      <c r="A118" s="71"/>
      <c r="B118" s="72"/>
      <c r="C118" s="35"/>
      <c r="D118" s="35"/>
      <c r="E118" s="306" t="s">
        <v>165</v>
      </c>
      <c r="F118" s="314" t="s">
        <v>99</v>
      </c>
      <c r="G118" s="130" t="s">
        <v>110</v>
      </c>
      <c r="H118" s="495">
        <v>1.0</v>
      </c>
      <c r="I118" s="128" t="s">
        <v>124</v>
      </c>
      <c r="J118" s="128" t="s">
        <v>124</v>
      </c>
      <c r="K118" s="128" t="s">
        <v>124</v>
      </c>
      <c r="L118" s="128" t="s">
        <v>124</v>
      </c>
      <c r="M118" s="128" t="s">
        <v>124</v>
      </c>
      <c r="N118" s="128" t="s">
        <v>124</v>
      </c>
      <c r="O118" s="128" t="s">
        <v>124</v>
      </c>
      <c r="P118" s="128" t="s">
        <v>124</v>
      </c>
      <c r="Q118" s="128" t="s">
        <v>124</v>
      </c>
      <c r="R118" s="128" t="s">
        <v>124</v>
      </c>
      <c r="S118" s="128" t="s">
        <v>124</v>
      </c>
      <c r="T118" s="128" t="s">
        <v>124</v>
      </c>
      <c r="U118" s="128" t="s">
        <v>124</v>
      </c>
      <c r="V118" s="128" t="s">
        <v>124</v>
      </c>
      <c r="W118" s="128" t="s">
        <v>124</v>
      </c>
      <c r="X118" s="128" t="s">
        <v>124</v>
      </c>
      <c r="Y118" s="128" t="s">
        <v>124</v>
      </c>
      <c r="Z118" s="128" t="s">
        <v>124</v>
      </c>
      <c r="AA118" s="311"/>
      <c r="AB118" s="312" t="s">
        <v>181</v>
      </c>
      <c r="AC118" s="563"/>
    </row>
    <row r="119">
      <c r="A119" s="71"/>
      <c r="B119" s="72"/>
      <c r="C119" s="35"/>
      <c r="D119" s="35"/>
      <c r="E119" s="316" t="s">
        <v>170</v>
      </c>
      <c r="F119" s="325" t="s">
        <v>99</v>
      </c>
      <c r="G119" s="147" t="s">
        <v>110</v>
      </c>
      <c r="H119" s="511">
        <v>1.0</v>
      </c>
      <c r="I119" s="146" t="s">
        <v>124</v>
      </c>
      <c r="J119" s="146" t="s">
        <v>124</v>
      </c>
      <c r="K119" s="146" t="s">
        <v>124</v>
      </c>
      <c r="L119" s="146" t="s">
        <v>124</v>
      </c>
      <c r="M119" s="146" t="s">
        <v>124</v>
      </c>
      <c r="N119" s="146" t="s">
        <v>124</v>
      </c>
      <c r="O119" s="146" t="s">
        <v>124</v>
      </c>
      <c r="P119" s="146" t="s">
        <v>124</v>
      </c>
      <c r="Q119" s="146" t="s">
        <v>124</v>
      </c>
      <c r="R119" s="146" t="s">
        <v>124</v>
      </c>
      <c r="S119" s="146" t="s">
        <v>124</v>
      </c>
      <c r="T119" s="146" t="s">
        <v>124</v>
      </c>
      <c r="U119" s="146" t="s">
        <v>124</v>
      </c>
      <c r="V119" s="146" t="s">
        <v>124</v>
      </c>
      <c r="W119" s="146" t="s">
        <v>124</v>
      </c>
      <c r="X119" s="146" t="s">
        <v>124</v>
      </c>
      <c r="Y119" s="146" t="s">
        <v>124</v>
      </c>
      <c r="Z119" s="146" t="s">
        <v>124</v>
      </c>
      <c r="AA119" s="320"/>
      <c r="AB119" s="321" t="s">
        <v>181</v>
      </c>
      <c r="AC119" s="567"/>
    </row>
    <row r="120">
      <c r="A120" s="71"/>
      <c r="B120" s="72"/>
      <c r="C120" s="35"/>
      <c r="D120" s="35"/>
      <c r="E120" s="706" t="s">
        <v>178</v>
      </c>
      <c r="F120" s="344" t="s">
        <v>99</v>
      </c>
      <c r="G120" s="161" t="s">
        <v>110</v>
      </c>
      <c r="H120" s="569">
        <v>0.0</v>
      </c>
      <c r="I120" s="157" t="s">
        <v>124</v>
      </c>
      <c r="J120" s="157" t="s">
        <v>124</v>
      </c>
      <c r="K120" s="157" t="s">
        <v>124</v>
      </c>
      <c r="L120" s="157" t="s">
        <v>124</v>
      </c>
      <c r="M120" s="157" t="s">
        <v>124</v>
      </c>
      <c r="N120" s="157" t="s">
        <v>124</v>
      </c>
      <c r="O120" s="157" t="s">
        <v>124</v>
      </c>
      <c r="P120" s="157" t="s">
        <v>124</v>
      </c>
      <c r="Q120" s="157" t="s">
        <v>124</v>
      </c>
      <c r="R120" s="157" t="s">
        <v>124</v>
      </c>
      <c r="S120" s="157" t="s">
        <v>124</v>
      </c>
      <c r="T120" s="157" t="s">
        <v>124</v>
      </c>
      <c r="U120" s="157" t="s">
        <v>124</v>
      </c>
      <c r="V120" s="157" t="s">
        <v>124</v>
      </c>
      <c r="W120" s="157" t="s">
        <v>124</v>
      </c>
      <c r="X120" s="157" t="s">
        <v>124</v>
      </c>
      <c r="Y120" s="157" t="s">
        <v>124</v>
      </c>
      <c r="Z120" s="157" t="s">
        <v>124</v>
      </c>
      <c r="AA120" s="328"/>
      <c r="AB120" s="435" t="s">
        <v>181</v>
      </c>
      <c r="AC120" s="707"/>
    </row>
    <row r="121">
      <c r="A121" s="71"/>
      <c r="B121" s="72"/>
      <c r="C121" s="72"/>
      <c r="D121" s="72"/>
      <c r="E121" s="289"/>
      <c r="F121" s="75"/>
      <c r="G121" s="77"/>
      <c r="H121" s="291"/>
      <c r="I121" s="293"/>
      <c r="J121" s="293"/>
      <c r="K121" s="293"/>
      <c r="L121" s="293"/>
      <c r="M121" s="293"/>
      <c r="N121" s="293"/>
      <c r="O121" s="293"/>
      <c r="P121" s="293"/>
      <c r="Q121" s="293"/>
      <c r="R121" s="293"/>
      <c r="S121" s="293"/>
      <c r="T121" s="293"/>
      <c r="U121" s="293"/>
      <c r="V121" s="293"/>
      <c r="W121" s="293"/>
      <c r="X121" s="293"/>
      <c r="Y121" s="293"/>
      <c r="Z121" s="293"/>
      <c r="AA121" s="185"/>
      <c r="AB121" s="294"/>
      <c r="AC121" s="295"/>
    </row>
    <row r="122">
      <c r="A122" s="71"/>
      <c r="B122" s="72"/>
      <c r="C122" s="188" t="s">
        <v>223</v>
      </c>
      <c r="F122" s="120"/>
      <c r="G122" s="77"/>
      <c r="H122" s="291"/>
      <c r="I122" s="293"/>
      <c r="J122" s="293"/>
      <c r="K122" s="293"/>
      <c r="L122" s="293"/>
      <c r="M122" s="293"/>
      <c r="N122" s="293"/>
      <c r="O122" s="293"/>
      <c r="P122" s="293"/>
      <c r="Q122" s="293"/>
      <c r="R122" s="293"/>
      <c r="S122" s="293"/>
      <c r="T122" s="293"/>
      <c r="U122" s="293"/>
      <c r="V122" s="293"/>
      <c r="W122" s="293"/>
      <c r="X122" s="293"/>
      <c r="Y122" s="293"/>
      <c r="Z122" s="293"/>
      <c r="AA122" s="185"/>
      <c r="AB122" s="294"/>
      <c r="AC122" s="295"/>
    </row>
    <row r="123">
      <c r="A123" s="71"/>
      <c r="B123" s="72"/>
      <c r="C123" s="72"/>
      <c r="D123" s="72"/>
      <c r="E123" s="334" t="s">
        <v>225</v>
      </c>
      <c r="F123" s="115" t="s">
        <v>103</v>
      </c>
      <c r="G123" s="231" t="s">
        <v>110</v>
      </c>
      <c r="H123" s="708">
        <v>0.005057</v>
      </c>
      <c r="I123" s="314" t="s">
        <v>124</v>
      </c>
      <c r="J123" s="314" t="s">
        <v>124</v>
      </c>
      <c r="K123" s="314" t="s">
        <v>124</v>
      </c>
      <c r="L123" s="314" t="s">
        <v>124</v>
      </c>
      <c r="M123" s="314" t="s">
        <v>124</v>
      </c>
      <c r="N123" s="314" t="s">
        <v>124</v>
      </c>
      <c r="O123" s="314" t="s">
        <v>124</v>
      </c>
      <c r="P123" s="314" t="s">
        <v>124</v>
      </c>
      <c r="Q123" s="314" t="s">
        <v>124</v>
      </c>
      <c r="R123" s="314" t="s">
        <v>124</v>
      </c>
      <c r="S123" s="314" t="s">
        <v>124</v>
      </c>
      <c r="T123" s="314" t="s">
        <v>124</v>
      </c>
      <c r="U123" s="314" t="s">
        <v>124</v>
      </c>
      <c r="V123" s="314" t="s">
        <v>124</v>
      </c>
      <c r="W123" s="314" t="s">
        <v>124</v>
      </c>
      <c r="X123" s="314" t="s">
        <v>124</v>
      </c>
      <c r="Y123" s="314" t="s">
        <v>124</v>
      </c>
      <c r="Z123" s="314" t="s">
        <v>124</v>
      </c>
      <c r="AA123" s="311"/>
      <c r="AB123" s="339" t="s">
        <v>181</v>
      </c>
      <c r="AC123" s="229" t="s">
        <v>147</v>
      </c>
    </row>
    <row r="124">
      <c r="A124" s="71"/>
      <c r="B124" s="72"/>
      <c r="C124" s="72"/>
      <c r="D124" s="72"/>
      <c r="E124" s="340" t="s">
        <v>229</v>
      </c>
      <c r="F124" s="96" t="s">
        <v>103</v>
      </c>
      <c r="G124" s="176" t="s">
        <v>110</v>
      </c>
      <c r="H124" s="654">
        <v>0.015433</v>
      </c>
      <c r="I124" s="709" t="s">
        <v>124</v>
      </c>
      <c r="J124" s="709" t="s">
        <v>124</v>
      </c>
      <c r="K124" s="709" t="s">
        <v>124</v>
      </c>
      <c r="L124" s="709" t="s">
        <v>124</v>
      </c>
      <c r="M124" s="709" t="s">
        <v>124</v>
      </c>
      <c r="N124" s="709" t="s">
        <v>124</v>
      </c>
      <c r="O124" s="709" t="s">
        <v>124</v>
      </c>
      <c r="P124" s="709" t="s">
        <v>124</v>
      </c>
      <c r="Q124" s="709" t="s">
        <v>124</v>
      </c>
      <c r="R124" s="709" t="s">
        <v>124</v>
      </c>
      <c r="S124" s="709" t="s">
        <v>124</v>
      </c>
      <c r="T124" s="709" t="s">
        <v>124</v>
      </c>
      <c r="U124" s="709" t="s">
        <v>124</v>
      </c>
      <c r="V124" s="709" t="s">
        <v>124</v>
      </c>
      <c r="W124" s="709" t="s">
        <v>124</v>
      </c>
      <c r="X124" s="709" t="s">
        <v>124</v>
      </c>
      <c r="Y124" s="709" t="s">
        <v>124</v>
      </c>
      <c r="Z124" s="709" t="s">
        <v>124</v>
      </c>
      <c r="AA124" s="235"/>
      <c r="AB124" s="300" t="s">
        <v>181</v>
      </c>
      <c r="AC124" s="201" t="s">
        <v>150</v>
      </c>
    </row>
    <row r="125">
      <c r="A125" s="713"/>
      <c r="B125" s="714"/>
      <c r="C125" s="714"/>
      <c r="D125" s="714"/>
      <c r="E125" s="715"/>
      <c r="F125" s="716"/>
      <c r="G125" s="438"/>
      <c r="H125" s="717"/>
      <c r="I125" s="718"/>
      <c r="J125" s="718"/>
      <c r="K125" s="718"/>
      <c r="L125" s="718"/>
      <c r="M125" s="718"/>
      <c r="N125" s="718"/>
      <c r="O125" s="718"/>
      <c r="P125" s="718"/>
      <c r="Q125" s="718"/>
      <c r="R125" s="718"/>
      <c r="S125" s="718"/>
      <c r="T125" s="718"/>
      <c r="U125" s="718"/>
      <c r="V125" s="718"/>
      <c r="W125" s="718"/>
      <c r="X125" s="718"/>
      <c r="Y125" s="718"/>
      <c r="Z125" s="718"/>
      <c r="AA125" s="235"/>
      <c r="AB125" s="719"/>
      <c r="AC125" s="598"/>
    </row>
  </sheetData>
  <mergeCells count="30">
    <mergeCell ref="I1:Q1"/>
    <mergeCell ref="R1:Z1"/>
    <mergeCell ref="A3:E3"/>
    <mergeCell ref="A5:G5"/>
    <mergeCell ref="C7:E7"/>
    <mergeCell ref="C10:E10"/>
    <mergeCell ref="C15:E15"/>
    <mergeCell ref="A19:G19"/>
    <mergeCell ref="C21:E21"/>
    <mergeCell ref="C29:E29"/>
    <mergeCell ref="C35:E35"/>
    <mergeCell ref="C38:E38"/>
    <mergeCell ref="A42:G42"/>
    <mergeCell ref="C44:E44"/>
    <mergeCell ref="C54:E54"/>
    <mergeCell ref="C59:E59"/>
    <mergeCell ref="C63:E63"/>
    <mergeCell ref="A70:G70"/>
    <mergeCell ref="C72:E72"/>
    <mergeCell ref="A78:G78"/>
    <mergeCell ref="A83:G83"/>
    <mergeCell ref="C117:E117"/>
    <mergeCell ref="C122:E122"/>
    <mergeCell ref="C85:E85"/>
    <mergeCell ref="D86:E86"/>
    <mergeCell ref="D90:E90"/>
    <mergeCell ref="D93:E93"/>
    <mergeCell ref="C98:E98"/>
    <mergeCell ref="A110:G110"/>
    <mergeCell ref="C112:E112"/>
  </mergeCells>
  <hyperlinks>
    <hyperlink r:id="rId2" ref="AC11"/>
    <hyperlink r:id="rId3" ref="AC12"/>
    <hyperlink r:id="rId4" ref="AC13"/>
    <hyperlink r:id="rId5" ref="AC16"/>
    <hyperlink r:id="rId6" ref="AC17"/>
    <hyperlink r:id="rId7" location="What_is_the_impact_of_SMC_on_malaria" ref="AC45"/>
    <hyperlink r:id="rId8" ref="AC46"/>
    <hyperlink r:id="rId9" ref="AB55"/>
    <hyperlink r:id="rId10" ref="AB56"/>
    <hyperlink r:id="rId11" ref="AC57"/>
    <hyperlink r:id="rId12" ref="AC64"/>
    <hyperlink r:id="rId13" location="gid=1087538420" ref="AC66"/>
    <hyperlink r:id="rId14" location="gid=0" ref="AC68"/>
    <hyperlink r:id="rId15" location="gid=1087538420" ref="AC73"/>
    <hyperlink r:id="rId16" location="gid=1087538420" ref="AC74"/>
    <hyperlink r:id="rId17" location="gid=1087538420" ref="AC75"/>
    <hyperlink r:id="rId18" location="gid=1087538420" ref="AC76"/>
    <hyperlink r:id="rId19" location="gid=1110574950" ref="AC81"/>
    <hyperlink r:id="rId20" ref="AC99"/>
    <hyperlink r:id="rId21" ref="AC100"/>
    <hyperlink r:id="rId22" ref="AC101"/>
    <hyperlink r:id="rId23" ref="AC102"/>
    <hyperlink r:id="rId24" ref="AC103"/>
    <hyperlink r:id="rId25" ref="AC104"/>
    <hyperlink r:id="rId26" ref="AC105"/>
    <hyperlink r:id="rId27" ref="AC106"/>
    <hyperlink r:id="rId28" ref="AC107"/>
    <hyperlink r:id="rId29" ref="AC108"/>
    <hyperlink r:id="rId30" location="gid=0" ref="AC113"/>
    <hyperlink r:id="rId31" location="gid=0" ref="AC114"/>
    <hyperlink r:id="rId32" location="gid=0" ref="AC115"/>
    <hyperlink r:id="rId33" ref="AC123"/>
    <hyperlink r:id="rId34" ref="AC124"/>
  </hyperlinks>
  <drawing r:id="rId35"/>
  <legacyDrawing r:id="rId3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63"/>
    <col customWidth="1" min="2" max="2" width="20.13"/>
    <col customWidth="1" min="3" max="3" width="6.5"/>
    <col customWidth="1" min="4" max="4" width="9.88"/>
    <col customWidth="1" min="5" max="5" width="6.75"/>
    <col customWidth="1" min="6" max="6" width="9.5"/>
    <col customWidth="1" min="7" max="7" width="8.0"/>
    <col customWidth="1" min="8" max="10" width="10.88"/>
    <col customWidth="1" min="11" max="11" width="2.88"/>
    <col customWidth="1" min="12" max="12" width="8.38"/>
    <col customWidth="1" min="13" max="13" width="19.5"/>
    <col customWidth="1" min="14" max="14" width="5.75"/>
    <col customWidth="1" min="15" max="15" width="10.13"/>
    <col customWidth="1" min="16" max="16" width="8.5"/>
    <col customWidth="1" min="17" max="17" width="8.25"/>
    <col customWidth="1" min="18" max="18" width="6.13"/>
    <col customWidth="1" min="19" max="21" width="7.75"/>
    <col customWidth="1" min="22" max="22" width="2.88"/>
    <col customWidth="1" min="23" max="23" width="8.38"/>
    <col customWidth="1" min="24" max="24" width="19.5"/>
    <col customWidth="1" min="25" max="25" width="5.75"/>
    <col customWidth="1" min="26" max="26" width="10.13"/>
    <col customWidth="1" min="27" max="27" width="8.25"/>
    <col customWidth="1" min="28" max="28" width="6.75"/>
    <col customWidth="1" min="29" max="29" width="6.13"/>
    <col customWidth="1" min="30" max="32" width="7.75"/>
    <col customWidth="1" min="33" max="33" width="2.63"/>
    <col customWidth="1" min="34" max="34" width="11.38"/>
    <col customWidth="1" min="35" max="35" width="19.5"/>
    <col customWidth="1" min="36" max="36" width="6.88"/>
    <col customWidth="1" min="37" max="37" width="10.88"/>
    <col customWidth="1" min="38" max="38" width="8.0"/>
    <col customWidth="1" min="39" max="39" width="7.63"/>
    <col customWidth="1" min="40" max="43" width="8.0"/>
    <col customWidth="1" min="44" max="44" width="2.63"/>
    <col customWidth="1" min="45" max="45" width="10.0"/>
    <col customWidth="1" min="46" max="46" width="6.38"/>
    <col customWidth="1" min="47" max="47" width="24.13"/>
    <col customWidth="1" min="48" max="48" width="10.88"/>
    <col customWidth="1" min="49" max="49" width="8.0"/>
    <col customWidth="1" min="50" max="50" width="7.63"/>
    <col customWidth="1" min="51" max="51" width="11.63"/>
    <col customWidth="1" min="52" max="55" width="7.25"/>
    <col customWidth="1" min="56" max="56" width="9.25"/>
    <col customWidth="1" min="57" max="57" width="2.63"/>
    <col customWidth="1" min="58" max="58" width="8.5"/>
    <col customWidth="1" min="59" max="59" width="6.38"/>
    <col customWidth="1" min="60" max="60" width="7.25"/>
    <col customWidth="1" min="61" max="61" width="10.88"/>
    <col customWidth="1" min="62" max="62" width="8.0"/>
    <col customWidth="1" min="63" max="63" width="15.38"/>
    <col customWidth="1" min="64" max="64" width="15.63"/>
    <col customWidth="1" min="65" max="68" width="7.25"/>
    <col customWidth="1" min="69" max="69" width="9.25"/>
    <col customWidth="1" min="70" max="70" width="2.63"/>
    <col customWidth="1" min="71" max="71" width="8.5"/>
    <col customWidth="1" min="72" max="72" width="6.38"/>
    <col customWidth="1" min="73" max="73" width="7.25"/>
    <col customWidth="1" min="74" max="74" width="10.88"/>
    <col customWidth="1" min="75" max="75" width="10.38"/>
    <col customWidth="1" min="76" max="76" width="15.38"/>
    <col customWidth="1" min="77" max="77" width="15.63"/>
    <col customWidth="1" min="78" max="81" width="7.25"/>
    <col customWidth="1" min="82" max="82" width="9.25"/>
    <col customWidth="1" min="83" max="83" width="2.63"/>
  </cols>
  <sheetData>
    <row r="1">
      <c r="A1" s="469"/>
      <c r="B1" s="471"/>
      <c r="C1" s="471"/>
      <c r="D1" s="471"/>
      <c r="E1" s="471"/>
      <c r="F1" s="471"/>
      <c r="G1" s="471"/>
      <c r="H1" s="472"/>
      <c r="I1" s="472"/>
      <c r="J1" s="472"/>
      <c r="K1" s="473"/>
      <c r="L1" s="471"/>
      <c r="M1" s="471"/>
      <c r="N1" s="471"/>
      <c r="O1" s="471"/>
      <c r="P1" s="471"/>
      <c r="Q1" s="471"/>
      <c r="R1" s="472"/>
      <c r="S1" s="472"/>
      <c r="T1" s="472"/>
      <c r="U1" s="472"/>
      <c r="V1" s="475"/>
      <c r="W1" s="471"/>
      <c r="X1" s="471"/>
      <c r="Y1" s="471"/>
      <c r="Z1" s="471"/>
      <c r="AA1" s="471"/>
      <c r="AB1" s="471"/>
      <c r="AC1" s="472"/>
      <c r="AD1" s="472"/>
      <c r="AE1" s="472"/>
      <c r="AF1" s="472"/>
      <c r="AG1" s="475"/>
      <c r="AH1" s="471"/>
      <c r="AI1" s="471"/>
      <c r="AJ1" s="471"/>
      <c r="AK1" s="471"/>
      <c r="AL1" s="471"/>
      <c r="AM1" s="471"/>
      <c r="AN1" s="472"/>
      <c r="AO1" s="472"/>
      <c r="AP1" s="472"/>
      <c r="AQ1" s="472"/>
      <c r="AR1" s="475"/>
      <c r="AS1" s="471"/>
      <c r="AT1" s="471"/>
      <c r="AU1" s="471"/>
      <c r="AV1" s="471"/>
      <c r="AW1" s="471"/>
      <c r="AX1" s="471"/>
      <c r="AY1" s="472"/>
      <c r="AZ1" s="478"/>
      <c r="BA1" s="472"/>
      <c r="BB1" s="472"/>
      <c r="BC1" s="472"/>
      <c r="BD1" s="472"/>
      <c r="BE1" s="475"/>
      <c r="BF1" s="471"/>
      <c r="BG1" s="471"/>
      <c r="BH1" s="471"/>
      <c r="BI1" s="471"/>
      <c r="BJ1" s="471"/>
      <c r="BK1" s="471"/>
      <c r="BL1" s="472"/>
      <c r="BM1" s="478"/>
      <c r="BN1" s="472"/>
      <c r="BO1" s="472"/>
      <c r="BP1" s="472"/>
      <c r="BQ1" s="472"/>
      <c r="BR1" s="475"/>
      <c r="BS1" s="471"/>
      <c r="BT1" s="471"/>
      <c r="BU1" s="471"/>
      <c r="BV1" s="471"/>
      <c r="BW1" s="471"/>
      <c r="BX1" s="471"/>
      <c r="BY1" s="472"/>
      <c r="BZ1" s="478"/>
      <c r="CA1" s="472"/>
      <c r="CB1" s="472"/>
      <c r="CC1" s="472"/>
      <c r="CD1" s="472"/>
      <c r="CE1" s="483"/>
    </row>
    <row r="2">
      <c r="A2" s="484"/>
      <c r="B2" s="487" t="s">
        <v>246</v>
      </c>
      <c r="C2" s="15"/>
      <c r="D2" s="15"/>
      <c r="E2" s="15"/>
      <c r="F2" s="15"/>
      <c r="G2" s="15"/>
      <c r="H2" s="15"/>
      <c r="I2" s="15"/>
      <c r="J2" s="488"/>
      <c r="K2" s="489"/>
      <c r="L2" s="492" t="s">
        <v>249</v>
      </c>
      <c r="M2" s="15"/>
      <c r="N2" s="15"/>
      <c r="O2" s="15"/>
      <c r="P2" s="15"/>
      <c r="Q2" s="15"/>
      <c r="R2" s="15"/>
      <c r="S2" s="15"/>
      <c r="T2" s="15"/>
      <c r="U2" s="488"/>
      <c r="V2" s="493"/>
      <c r="W2" s="492" t="s">
        <v>252</v>
      </c>
      <c r="X2" s="15"/>
      <c r="Y2" s="15"/>
      <c r="Z2" s="15"/>
      <c r="AA2" s="15"/>
      <c r="AB2" s="15"/>
      <c r="AC2" s="15"/>
      <c r="AD2" s="15"/>
      <c r="AE2" s="15"/>
      <c r="AF2" s="488"/>
      <c r="AG2" s="493"/>
      <c r="AH2" s="500" t="s">
        <v>254</v>
      </c>
      <c r="AI2" s="502"/>
      <c r="AJ2" s="502"/>
      <c r="AK2" s="502"/>
      <c r="AL2" s="502"/>
      <c r="AM2" s="502"/>
      <c r="AN2" s="502"/>
      <c r="AO2" s="502"/>
      <c r="AP2" s="502"/>
      <c r="AQ2" s="504"/>
      <c r="AR2" s="493"/>
      <c r="AS2" s="505" t="s">
        <v>259</v>
      </c>
      <c r="AT2" s="502"/>
      <c r="AU2" s="502"/>
      <c r="AV2" s="502"/>
      <c r="AW2" s="502"/>
      <c r="AX2" s="502"/>
      <c r="AY2" s="502"/>
      <c r="AZ2" s="502"/>
      <c r="BA2" s="502"/>
      <c r="BB2" s="502"/>
      <c r="BC2" s="502"/>
      <c r="BD2" s="504"/>
      <c r="BE2" s="493"/>
      <c r="BF2" s="505" t="s">
        <v>260</v>
      </c>
      <c r="BG2" s="502"/>
      <c r="BH2" s="502"/>
      <c r="BI2" s="502"/>
      <c r="BJ2" s="502"/>
      <c r="BK2" s="502"/>
      <c r="BL2" s="502"/>
      <c r="BM2" s="502"/>
      <c r="BN2" s="502"/>
      <c r="BO2" s="502"/>
      <c r="BP2" s="502"/>
      <c r="BQ2" s="504"/>
      <c r="BR2" s="493"/>
      <c r="BS2" s="505" t="s">
        <v>261</v>
      </c>
      <c r="BT2" s="502"/>
      <c r="BU2" s="502"/>
      <c r="BV2" s="502"/>
      <c r="BW2" s="502"/>
      <c r="BX2" s="502"/>
      <c r="BY2" s="502"/>
      <c r="BZ2" s="502"/>
      <c r="CA2" s="502"/>
      <c r="CB2" s="502"/>
      <c r="CC2" s="502"/>
      <c r="CD2" s="504"/>
      <c r="CE2" s="506"/>
    </row>
    <row r="3">
      <c r="A3" s="509"/>
      <c r="B3" s="512" t="s">
        <v>263</v>
      </c>
      <c r="C3" s="513" t="s">
        <v>264</v>
      </c>
      <c r="D3" s="513" t="s">
        <v>265</v>
      </c>
      <c r="E3" s="513" t="s">
        <v>266</v>
      </c>
      <c r="F3" s="513" t="s">
        <v>267</v>
      </c>
      <c r="G3" s="513" t="s">
        <v>268</v>
      </c>
      <c r="H3" s="514" t="s">
        <v>269</v>
      </c>
      <c r="I3" s="514" t="s">
        <v>270</v>
      </c>
      <c r="J3" s="515" t="s">
        <v>271</v>
      </c>
      <c r="K3" s="516"/>
      <c r="L3" s="518" t="s">
        <v>272</v>
      </c>
      <c r="M3" s="519" t="s">
        <v>273</v>
      </c>
      <c r="N3" s="519" t="s">
        <v>274</v>
      </c>
      <c r="O3" s="519" t="s">
        <v>275</v>
      </c>
      <c r="P3" s="519" t="s">
        <v>276</v>
      </c>
      <c r="Q3" s="519" t="s">
        <v>277</v>
      </c>
      <c r="R3" s="519" t="s">
        <v>278</v>
      </c>
      <c r="S3" s="520" t="s">
        <v>269</v>
      </c>
      <c r="T3" s="520" t="s">
        <v>270</v>
      </c>
      <c r="U3" s="521" t="s">
        <v>271</v>
      </c>
      <c r="W3" s="518" t="s">
        <v>272</v>
      </c>
      <c r="X3" s="519" t="s">
        <v>273</v>
      </c>
      <c r="Y3" s="519" t="s">
        <v>274</v>
      </c>
      <c r="Z3" s="519" t="s">
        <v>275</v>
      </c>
      <c r="AA3" s="519" t="s">
        <v>276</v>
      </c>
      <c r="AB3" s="519" t="s">
        <v>277</v>
      </c>
      <c r="AC3" s="519" t="s">
        <v>278</v>
      </c>
      <c r="AD3" s="520" t="s">
        <v>269</v>
      </c>
      <c r="AE3" s="520" t="s">
        <v>270</v>
      </c>
      <c r="AF3" s="521" t="s">
        <v>271</v>
      </c>
      <c r="AH3" s="512" t="s">
        <v>272</v>
      </c>
      <c r="AI3" s="513" t="s">
        <v>273</v>
      </c>
      <c r="AJ3" s="513" t="s">
        <v>274</v>
      </c>
      <c r="AK3" s="513" t="s">
        <v>275</v>
      </c>
      <c r="AL3" s="513" t="s">
        <v>276</v>
      </c>
      <c r="AM3" s="513" t="s">
        <v>277</v>
      </c>
      <c r="AN3" s="514" t="s">
        <v>278</v>
      </c>
      <c r="AO3" s="514" t="s">
        <v>269</v>
      </c>
      <c r="AP3" s="514" t="s">
        <v>270</v>
      </c>
      <c r="AQ3" s="515" t="s">
        <v>271</v>
      </c>
      <c r="AS3" s="518" t="s">
        <v>279</v>
      </c>
      <c r="AT3" s="519" t="s">
        <v>264</v>
      </c>
      <c r="AU3" s="519" t="s">
        <v>281</v>
      </c>
      <c r="AV3" s="519" t="s">
        <v>263</v>
      </c>
      <c r="AW3" s="519" t="s">
        <v>267</v>
      </c>
      <c r="AX3" s="519" t="s">
        <v>282</v>
      </c>
      <c r="AY3" s="520" t="s">
        <v>283</v>
      </c>
      <c r="AZ3" s="522" t="s">
        <v>266</v>
      </c>
      <c r="BA3" s="520" t="s">
        <v>284</v>
      </c>
      <c r="BB3" s="520" t="s">
        <v>285</v>
      </c>
      <c r="BC3" s="520" t="s">
        <v>286</v>
      </c>
      <c r="BD3" s="521" t="s">
        <v>287</v>
      </c>
      <c r="BF3" s="518" t="s">
        <v>279</v>
      </c>
      <c r="BG3" s="519" t="s">
        <v>264</v>
      </c>
      <c r="BH3" s="519" t="s">
        <v>281</v>
      </c>
      <c r="BI3" s="519" t="s">
        <v>263</v>
      </c>
      <c r="BJ3" s="519" t="s">
        <v>267</v>
      </c>
      <c r="BK3" s="519" t="s">
        <v>282</v>
      </c>
      <c r="BL3" s="520" t="s">
        <v>283</v>
      </c>
      <c r="BM3" s="522" t="s">
        <v>266</v>
      </c>
      <c r="BN3" s="520" t="s">
        <v>284</v>
      </c>
      <c r="BO3" s="520" t="s">
        <v>285</v>
      </c>
      <c r="BP3" s="520" t="s">
        <v>286</v>
      </c>
      <c r="BQ3" s="521" t="s">
        <v>287</v>
      </c>
      <c r="BS3" s="518" t="s">
        <v>279</v>
      </c>
      <c r="BT3" s="519" t="s">
        <v>264</v>
      </c>
      <c r="BU3" s="519" t="s">
        <v>281</v>
      </c>
      <c r="BV3" s="519" t="s">
        <v>263</v>
      </c>
      <c r="BW3" s="519" t="s">
        <v>267</v>
      </c>
      <c r="BX3" s="519" t="s">
        <v>282</v>
      </c>
      <c r="BY3" s="520" t="s">
        <v>283</v>
      </c>
      <c r="BZ3" s="522" t="s">
        <v>266</v>
      </c>
      <c r="CA3" s="520" t="s">
        <v>284</v>
      </c>
      <c r="CB3" s="520" t="s">
        <v>285</v>
      </c>
      <c r="CC3" s="520" t="s">
        <v>286</v>
      </c>
      <c r="CD3" s="521" t="s">
        <v>287</v>
      </c>
      <c r="CE3" s="525"/>
    </row>
    <row r="4">
      <c r="A4" s="509"/>
      <c r="B4" s="526" t="s">
        <v>288</v>
      </c>
      <c r="C4" s="527" t="s">
        <v>289</v>
      </c>
      <c r="D4" s="527" t="s">
        <v>290</v>
      </c>
      <c r="E4" s="530">
        <v>2019.0</v>
      </c>
      <c r="F4" s="527" t="s">
        <v>291</v>
      </c>
      <c r="G4" s="527" t="s">
        <v>89</v>
      </c>
      <c r="H4" s="532">
        <v>1060897.523</v>
      </c>
      <c r="I4" s="532">
        <v>1165729.459</v>
      </c>
      <c r="J4" s="533">
        <v>952349.7177</v>
      </c>
      <c r="K4" s="516"/>
      <c r="L4" s="534" t="s">
        <v>292</v>
      </c>
      <c r="M4" s="535" t="s">
        <v>293</v>
      </c>
      <c r="N4" s="535" t="s">
        <v>294</v>
      </c>
      <c r="O4" s="535" t="s">
        <v>295</v>
      </c>
      <c r="P4" s="535" t="s">
        <v>296</v>
      </c>
      <c r="Q4" s="535" t="s">
        <v>89</v>
      </c>
      <c r="R4" s="535">
        <v>2019.0</v>
      </c>
      <c r="S4" s="536">
        <v>138.285640315371</v>
      </c>
      <c r="T4" s="536">
        <v>449.297430261989</v>
      </c>
      <c r="U4" s="537">
        <v>35.2592507541836</v>
      </c>
      <c r="W4" s="534" t="s">
        <v>292</v>
      </c>
      <c r="X4" s="535" t="s">
        <v>288</v>
      </c>
      <c r="Y4" s="535" t="s">
        <v>294</v>
      </c>
      <c r="Z4" s="535" t="s">
        <v>295</v>
      </c>
      <c r="AA4" s="535" t="s">
        <v>296</v>
      </c>
      <c r="AB4" s="535" t="s">
        <v>297</v>
      </c>
      <c r="AC4" s="535">
        <v>2019.0</v>
      </c>
      <c r="AD4" s="536">
        <v>117.4514096</v>
      </c>
      <c r="AE4" s="536">
        <v>219.3066409</v>
      </c>
      <c r="AF4" s="537">
        <v>50.30094285</v>
      </c>
      <c r="AH4" s="538" t="s">
        <v>298</v>
      </c>
      <c r="AI4" s="539" t="s">
        <v>299</v>
      </c>
      <c r="AJ4" s="539" t="s">
        <v>294</v>
      </c>
      <c r="AK4" s="539" t="s">
        <v>300</v>
      </c>
      <c r="AL4" s="539" t="s">
        <v>296</v>
      </c>
      <c r="AM4" s="539" t="s">
        <v>297</v>
      </c>
      <c r="AN4" s="540">
        <v>2019.0</v>
      </c>
      <c r="AO4" s="541">
        <v>490.3860643</v>
      </c>
      <c r="AP4" s="541">
        <v>1009.685042</v>
      </c>
      <c r="AQ4" s="542">
        <v>226.7319983</v>
      </c>
      <c r="AS4" s="534" t="s">
        <v>296</v>
      </c>
      <c r="AT4" s="535" t="s">
        <v>294</v>
      </c>
      <c r="AU4" s="535" t="s">
        <v>302</v>
      </c>
      <c r="AV4" s="535" t="s">
        <v>303</v>
      </c>
      <c r="AW4" s="535" t="s">
        <v>292</v>
      </c>
      <c r="AX4" s="535" t="s">
        <v>89</v>
      </c>
      <c r="AY4" s="535" t="s">
        <v>304</v>
      </c>
      <c r="AZ4" s="543" t="s">
        <v>305</v>
      </c>
      <c r="BA4" s="536">
        <v>2025.444501</v>
      </c>
      <c r="BB4" s="536">
        <v>1200.205974</v>
      </c>
      <c r="BC4" s="536">
        <v>3034.500435</v>
      </c>
      <c r="BD4" s="537" t="s">
        <v>202</v>
      </c>
      <c r="BF4" s="534" t="s">
        <v>296</v>
      </c>
      <c r="BG4" s="535" t="s">
        <v>294</v>
      </c>
      <c r="BH4" s="535" t="s">
        <v>302</v>
      </c>
      <c r="BI4" s="535" t="s">
        <v>303</v>
      </c>
      <c r="BJ4" s="535" t="s">
        <v>292</v>
      </c>
      <c r="BK4" s="535" t="s">
        <v>307</v>
      </c>
      <c r="BL4" s="535" t="s">
        <v>304</v>
      </c>
      <c r="BM4" s="543" t="s">
        <v>305</v>
      </c>
      <c r="BN4" s="536">
        <v>402.3159933</v>
      </c>
      <c r="BO4" s="536">
        <v>238.3980692</v>
      </c>
      <c r="BP4" s="536">
        <v>602.7457457</v>
      </c>
      <c r="BQ4" s="537" t="s">
        <v>202</v>
      </c>
      <c r="BS4" s="534" t="s">
        <v>296</v>
      </c>
      <c r="BT4" s="535" t="s">
        <v>294</v>
      </c>
      <c r="BU4" s="535" t="s">
        <v>309</v>
      </c>
      <c r="BV4" s="535" t="s">
        <v>303</v>
      </c>
      <c r="BW4" s="535" t="s">
        <v>298</v>
      </c>
      <c r="BX4" s="535" t="s">
        <v>307</v>
      </c>
      <c r="BY4" s="535" t="s">
        <v>304</v>
      </c>
      <c r="BZ4" s="543" t="s">
        <v>305</v>
      </c>
      <c r="CA4" s="536">
        <v>126179.7132</v>
      </c>
      <c r="CB4" s="536">
        <v>34732.68089</v>
      </c>
      <c r="CC4" s="536">
        <v>184925.8113</v>
      </c>
      <c r="CD4" s="537" t="s">
        <v>202</v>
      </c>
      <c r="CE4" s="525"/>
    </row>
    <row r="5">
      <c r="A5" s="509"/>
      <c r="B5" s="544" t="s">
        <v>288</v>
      </c>
      <c r="C5" s="545" t="s">
        <v>289</v>
      </c>
      <c r="D5" s="545" t="s">
        <v>310</v>
      </c>
      <c r="E5" s="546">
        <v>2019.0</v>
      </c>
      <c r="F5" s="545" t="s">
        <v>291</v>
      </c>
      <c r="G5" s="545" t="s">
        <v>89</v>
      </c>
      <c r="H5" s="547">
        <v>1.705587011E7</v>
      </c>
      <c r="I5" s="547">
        <v>1.874123543E7</v>
      </c>
      <c r="J5" s="548">
        <v>1.53107654E7</v>
      </c>
      <c r="K5" s="516"/>
      <c r="L5" s="534" t="s">
        <v>292</v>
      </c>
      <c r="M5" s="535" t="s">
        <v>293</v>
      </c>
      <c r="N5" s="535" t="s">
        <v>294</v>
      </c>
      <c r="O5" s="535" t="s">
        <v>311</v>
      </c>
      <c r="P5" s="535" t="s">
        <v>296</v>
      </c>
      <c r="Q5" s="535" t="s">
        <v>89</v>
      </c>
      <c r="R5" s="535">
        <v>2019.0</v>
      </c>
      <c r="S5" s="536">
        <v>0.0</v>
      </c>
      <c r="T5" s="536">
        <v>0.0</v>
      </c>
      <c r="U5" s="537">
        <v>0.0</v>
      </c>
      <c r="W5" s="534" t="s">
        <v>292</v>
      </c>
      <c r="X5" s="535" t="s">
        <v>312</v>
      </c>
      <c r="Y5" s="535" t="s">
        <v>294</v>
      </c>
      <c r="Z5" s="535" t="s">
        <v>295</v>
      </c>
      <c r="AA5" s="535" t="s">
        <v>296</v>
      </c>
      <c r="AB5" s="535" t="s">
        <v>297</v>
      </c>
      <c r="AC5" s="535">
        <v>2019.0</v>
      </c>
      <c r="AD5" s="536">
        <v>2.124327404E-4</v>
      </c>
      <c r="AE5" s="536">
        <v>0.001275308577</v>
      </c>
      <c r="AF5" s="537">
        <v>4.52E-6</v>
      </c>
      <c r="AH5" s="549" t="s">
        <v>298</v>
      </c>
      <c r="AI5" s="550" t="s">
        <v>314</v>
      </c>
      <c r="AJ5" s="550" t="s">
        <v>294</v>
      </c>
      <c r="AK5" s="550" t="s">
        <v>300</v>
      </c>
      <c r="AL5" s="550" t="s">
        <v>296</v>
      </c>
      <c r="AM5" s="550" t="s">
        <v>297</v>
      </c>
      <c r="AN5" s="551">
        <v>2019.0</v>
      </c>
      <c r="AO5" s="552">
        <v>11422.29724</v>
      </c>
      <c r="AP5" s="552">
        <v>19989.44364</v>
      </c>
      <c r="AQ5" s="553">
        <v>5341.921043</v>
      </c>
      <c r="AS5" s="534" t="s">
        <v>296</v>
      </c>
      <c r="AT5" s="535" t="s">
        <v>294</v>
      </c>
      <c r="AU5" s="535" t="s">
        <v>315</v>
      </c>
      <c r="AV5" s="535" t="s">
        <v>303</v>
      </c>
      <c r="AW5" s="535" t="s">
        <v>292</v>
      </c>
      <c r="AX5" s="535" t="s">
        <v>89</v>
      </c>
      <c r="AY5" s="535" t="s">
        <v>304</v>
      </c>
      <c r="AZ5" s="543" t="s">
        <v>305</v>
      </c>
      <c r="BA5" s="536">
        <v>146.9111606</v>
      </c>
      <c r="BB5" s="536">
        <v>69.04557986</v>
      </c>
      <c r="BC5" s="536">
        <v>258.8705471</v>
      </c>
      <c r="BD5" s="537" t="s">
        <v>202</v>
      </c>
      <c r="BF5" s="534" t="s">
        <v>296</v>
      </c>
      <c r="BG5" s="535" t="s">
        <v>294</v>
      </c>
      <c r="BH5" s="535" t="s">
        <v>302</v>
      </c>
      <c r="BI5" s="535" t="s">
        <v>316</v>
      </c>
      <c r="BJ5" s="535" t="s">
        <v>292</v>
      </c>
      <c r="BK5" s="535" t="s">
        <v>307</v>
      </c>
      <c r="BL5" s="535" t="s">
        <v>304</v>
      </c>
      <c r="BM5" s="543" t="s">
        <v>305</v>
      </c>
      <c r="BN5" s="536">
        <v>461.8810671</v>
      </c>
      <c r="BO5" s="536">
        <v>138.5177128</v>
      </c>
      <c r="BP5" s="536">
        <v>898.3582385</v>
      </c>
      <c r="BQ5" s="537" t="s">
        <v>202</v>
      </c>
      <c r="BS5" s="534" t="s">
        <v>296</v>
      </c>
      <c r="BT5" s="535" t="s">
        <v>294</v>
      </c>
      <c r="BU5" s="535" t="s">
        <v>317</v>
      </c>
      <c r="BV5" s="535" t="s">
        <v>303</v>
      </c>
      <c r="BW5" s="535" t="s">
        <v>298</v>
      </c>
      <c r="BX5" s="535" t="s">
        <v>307</v>
      </c>
      <c r="BY5" s="535" t="s">
        <v>304</v>
      </c>
      <c r="BZ5" s="543" t="s">
        <v>305</v>
      </c>
      <c r="CA5" s="536">
        <v>48591.68701</v>
      </c>
      <c r="CB5" s="536">
        <v>18313.4548</v>
      </c>
      <c r="CC5" s="536">
        <v>96630.52656</v>
      </c>
      <c r="CD5" s="537" t="s">
        <v>202</v>
      </c>
      <c r="CE5" s="525"/>
    </row>
    <row r="6">
      <c r="A6" s="509"/>
      <c r="B6" s="526" t="s">
        <v>288</v>
      </c>
      <c r="C6" s="527" t="s">
        <v>289</v>
      </c>
      <c r="D6" s="527" t="s">
        <v>318</v>
      </c>
      <c r="E6" s="530">
        <v>2019.0</v>
      </c>
      <c r="F6" s="527" t="s">
        <v>291</v>
      </c>
      <c r="G6" s="527" t="s">
        <v>89</v>
      </c>
      <c r="H6" s="532">
        <v>1.398733597E7</v>
      </c>
      <c r="I6" s="532">
        <v>1.536948598E7</v>
      </c>
      <c r="J6" s="533">
        <v>1.255619434E7</v>
      </c>
      <c r="K6" s="516"/>
      <c r="L6" s="534" t="s">
        <v>292</v>
      </c>
      <c r="M6" s="535" t="s">
        <v>293</v>
      </c>
      <c r="N6" s="535" t="s">
        <v>294</v>
      </c>
      <c r="O6" s="535" t="s">
        <v>319</v>
      </c>
      <c r="P6" s="535" t="s">
        <v>296</v>
      </c>
      <c r="Q6" s="535" t="s">
        <v>89</v>
      </c>
      <c r="R6" s="535">
        <v>2019.0</v>
      </c>
      <c r="S6" s="536">
        <v>6.42961884519343</v>
      </c>
      <c r="T6" s="536">
        <v>25.0899595762699</v>
      </c>
      <c r="U6" s="537">
        <v>1.35857619012346</v>
      </c>
      <c r="W6" s="534" t="s">
        <v>292</v>
      </c>
      <c r="X6" s="535" t="s">
        <v>321</v>
      </c>
      <c r="Y6" s="535" t="s">
        <v>294</v>
      </c>
      <c r="Z6" s="535" t="s">
        <v>295</v>
      </c>
      <c r="AA6" s="535" t="s">
        <v>296</v>
      </c>
      <c r="AB6" s="535" t="s">
        <v>297</v>
      </c>
      <c r="AC6" s="535">
        <v>2019.0</v>
      </c>
      <c r="AD6" s="536">
        <v>343.8221489</v>
      </c>
      <c r="AE6" s="536">
        <v>584.3358978</v>
      </c>
      <c r="AF6" s="537">
        <v>156.6706066</v>
      </c>
      <c r="AH6" s="538" t="s">
        <v>298</v>
      </c>
      <c r="AI6" s="539" t="s">
        <v>314</v>
      </c>
      <c r="AJ6" s="539" t="s">
        <v>294</v>
      </c>
      <c r="AK6" s="539" t="s">
        <v>323</v>
      </c>
      <c r="AL6" s="539" t="s">
        <v>296</v>
      </c>
      <c r="AM6" s="539" t="s">
        <v>297</v>
      </c>
      <c r="AN6" s="540">
        <v>2019.0</v>
      </c>
      <c r="AO6" s="541">
        <v>25864.91775</v>
      </c>
      <c r="AP6" s="541">
        <v>59794.72542</v>
      </c>
      <c r="AQ6" s="542">
        <v>7199.771052</v>
      </c>
      <c r="AS6" s="534" t="s">
        <v>296</v>
      </c>
      <c r="AT6" s="535" t="s">
        <v>294</v>
      </c>
      <c r="AU6" s="535" t="s">
        <v>325</v>
      </c>
      <c r="AV6" s="535" t="s">
        <v>303</v>
      </c>
      <c r="AW6" s="535" t="s">
        <v>292</v>
      </c>
      <c r="AX6" s="535" t="s">
        <v>89</v>
      </c>
      <c r="AY6" s="535" t="s">
        <v>304</v>
      </c>
      <c r="AZ6" s="543" t="s">
        <v>305</v>
      </c>
      <c r="BA6" s="536">
        <v>736.3531773</v>
      </c>
      <c r="BB6" s="536">
        <v>376.4104441</v>
      </c>
      <c r="BC6" s="536">
        <v>1223.06045</v>
      </c>
      <c r="BD6" s="537" t="s">
        <v>202</v>
      </c>
      <c r="BF6" s="534" t="s">
        <v>296</v>
      </c>
      <c r="BG6" s="535" t="s">
        <v>294</v>
      </c>
      <c r="BH6" s="535" t="s">
        <v>302</v>
      </c>
      <c r="BI6" s="535" t="s">
        <v>326</v>
      </c>
      <c r="BJ6" s="535" t="s">
        <v>292</v>
      </c>
      <c r="BK6" s="535" t="s">
        <v>307</v>
      </c>
      <c r="BL6" s="535" t="s">
        <v>304</v>
      </c>
      <c r="BM6" s="543" t="s">
        <v>305</v>
      </c>
      <c r="BN6" s="536">
        <v>368.6487063</v>
      </c>
      <c r="BO6" s="536">
        <v>207.2086501</v>
      </c>
      <c r="BP6" s="536">
        <v>555.2544203</v>
      </c>
      <c r="BQ6" s="537" t="s">
        <v>202</v>
      </c>
      <c r="BS6" s="534" t="s">
        <v>296</v>
      </c>
      <c r="BT6" s="535" t="s">
        <v>294</v>
      </c>
      <c r="BU6" s="535" t="s">
        <v>309</v>
      </c>
      <c r="BV6" s="535" t="s">
        <v>316</v>
      </c>
      <c r="BW6" s="535" t="s">
        <v>298</v>
      </c>
      <c r="BX6" s="535" t="s">
        <v>307</v>
      </c>
      <c r="BY6" s="535" t="s">
        <v>304</v>
      </c>
      <c r="BZ6" s="543" t="s">
        <v>305</v>
      </c>
      <c r="CA6" s="536">
        <v>91183.87666</v>
      </c>
      <c r="CB6" s="536">
        <v>22383.68762</v>
      </c>
      <c r="CC6" s="536">
        <v>171798.0029</v>
      </c>
      <c r="CD6" s="537" t="s">
        <v>202</v>
      </c>
      <c r="CE6" s="525"/>
    </row>
    <row r="7">
      <c r="A7" s="509"/>
      <c r="B7" s="544" t="s">
        <v>288</v>
      </c>
      <c r="C7" s="545" t="s">
        <v>289</v>
      </c>
      <c r="D7" s="545" t="s">
        <v>309</v>
      </c>
      <c r="E7" s="546">
        <v>2019.0</v>
      </c>
      <c r="F7" s="545" t="s">
        <v>291</v>
      </c>
      <c r="G7" s="545" t="s">
        <v>89</v>
      </c>
      <c r="H7" s="547">
        <v>4086252.737</v>
      </c>
      <c r="I7" s="547">
        <v>4490033.288</v>
      </c>
      <c r="J7" s="548">
        <v>3668159.796</v>
      </c>
      <c r="K7" s="516"/>
      <c r="L7" s="534" t="s">
        <v>292</v>
      </c>
      <c r="M7" s="535" t="s">
        <v>293</v>
      </c>
      <c r="N7" s="535" t="s">
        <v>294</v>
      </c>
      <c r="O7" s="535" t="s">
        <v>327</v>
      </c>
      <c r="P7" s="535" t="s">
        <v>296</v>
      </c>
      <c r="Q7" s="535" t="s">
        <v>89</v>
      </c>
      <c r="R7" s="535">
        <v>2019.0</v>
      </c>
      <c r="S7" s="536">
        <v>46.6531341499292</v>
      </c>
      <c r="T7" s="536">
        <v>159.22005056816</v>
      </c>
      <c r="U7" s="537">
        <v>11.329490010242</v>
      </c>
      <c r="W7" s="534" t="s">
        <v>292</v>
      </c>
      <c r="X7" s="535" t="s">
        <v>328</v>
      </c>
      <c r="Y7" s="535" t="s">
        <v>294</v>
      </c>
      <c r="Z7" s="535" t="s">
        <v>295</v>
      </c>
      <c r="AA7" s="535" t="s">
        <v>296</v>
      </c>
      <c r="AB7" s="535" t="s">
        <v>297</v>
      </c>
      <c r="AC7" s="535">
        <v>2019.0</v>
      </c>
      <c r="AD7" s="536">
        <v>0.0</v>
      </c>
      <c r="AE7" s="536">
        <v>0.0</v>
      </c>
      <c r="AF7" s="537">
        <v>0.0</v>
      </c>
      <c r="AH7" s="549" t="s">
        <v>298</v>
      </c>
      <c r="AI7" s="550" t="s">
        <v>330</v>
      </c>
      <c r="AJ7" s="550" t="s">
        <v>294</v>
      </c>
      <c r="AK7" s="550" t="s">
        <v>323</v>
      </c>
      <c r="AL7" s="550" t="s">
        <v>296</v>
      </c>
      <c r="AM7" s="550" t="s">
        <v>297</v>
      </c>
      <c r="AN7" s="551">
        <v>2019.0</v>
      </c>
      <c r="AO7" s="552">
        <v>38967.73748</v>
      </c>
      <c r="AP7" s="552">
        <v>70692.62081</v>
      </c>
      <c r="AQ7" s="553">
        <v>20503.82806</v>
      </c>
      <c r="AS7" s="534" t="s">
        <v>296</v>
      </c>
      <c r="AT7" s="535" t="s">
        <v>294</v>
      </c>
      <c r="AU7" s="535" t="s">
        <v>332</v>
      </c>
      <c r="AV7" s="535" t="s">
        <v>303</v>
      </c>
      <c r="AW7" s="535" t="s">
        <v>292</v>
      </c>
      <c r="AX7" s="535" t="s">
        <v>89</v>
      </c>
      <c r="AY7" s="535" t="s">
        <v>304</v>
      </c>
      <c r="AZ7" s="543" t="s">
        <v>305</v>
      </c>
      <c r="BA7" s="536">
        <v>5644.072209</v>
      </c>
      <c r="BB7" s="536">
        <v>2969.679029</v>
      </c>
      <c r="BC7" s="536">
        <v>9507.475704</v>
      </c>
      <c r="BD7" s="537" t="s">
        <v>202</v>
      </c>
      <c r="BF7" s="534" t="s">
        <v>296</v>
      </c>
      <c r="BG7" s="535" t="s">
        <v>294</v>
      </c>
      <c r="BH7" s="535" t="s">
        <v>302</v>
      </c>
      <c r="BI7" s="535" t="s">
        <v>333</v>
      </c>
      <c r="BJ7" s="535" t="s">
        <v>292</v>
      </c>
      <c r="BK7" s="535" t="s">
        <v>307</v>
      </c>
      <c r="BL7" s="535" t="s">
        <v>304</v>
      </c>
      <c r="BM7" s="543" t="s">
        <v>305</v>
      </c>
      <c r="BN7" s="536">
        <v>253.2800782</v>
      </c>
      <c r="BO7" s="536">
        <v>115.2570221</v>
      </c>
      <c r="BP7" s="536">
        <v>432.5452614</v>
      </c>
      <c r="BQ7" s="537" t="s">
        <v>202</v>
      </c>
      <c r="BS7" s="534" t="s">
        <v>296</v>
      </c>
      <c r="BT7" s="535" t="s">
        <v>294</v>
      </c>
      <c r="BU7" s="535" t="s">
        <v>317</v>
      </c>
      <c r="BV7" s="535" t="s">
        <v>316</v>
      </c>
      <c r="BW7" s="535" t="s">
        <v>298</v>
      </c>
      <c r="BX7" s="535" t="s">
        <v>307</v>
      </c>
      <c r="BY7" s="535" t="s">
        <v>304</v>
      </c>
      <c r="BZ7" s="543" t="s">
        <v>305</v>
      </c>
      <c r="CA7" s="536">
        <v>34976.67296</v>
      </c>
      <c r="CB7" s="536">
        <v>11125.46327</v>
      </c>
      <c r="CC7" s="536">
        <v>65890.52855</v>
      </c>
      <c r="CD7" s="537" t="s">
        <v>202</v>
      </c>
      <c r="CE7" s="525"/>
    </row>
    <row r="8">
      <c r="A8" s="509"/>
      <c r="B8" s="526" t="s">
        <v>288</v>
      </c>
      <c r="C8" s="527" t="s">
        <v>289</v>
      </c>
      <c r="D8" s="527" t="s">
        <v>334</v>
      </c>
      <c r="E8" s="530">
        <v>2019.0</v>
      </c>
      <c r="F8" s="527" t="s">
        <v>291</v>
      </c>
      <c r="G8" s="527" t="s">
        <v>89</v>
      </c>
      <c r="H8" s="532">
        <v>3998471.929</v>
      </c>
      <c r="I8" s="532">
        <v>4393578.474</v>
      </c>
      <c r="J8" s="533">
        <v>3589360.454</v>
      </c>
      <c r="K8" s="516"/>
      <c r="L8" s="534" t="s">
        <v>292</v>
      </c>
      <c r="M8" s="535" t="s">
        <v>293</v>
      </c>
      <c r="N8" s="535" t="s">
        <v>294</v>
      </c>
      <c r="O8" s="535" t="s">
        <v>335</v>
      </c>
      <c r="P8" s="535" t="s">
        <v>296</v>
      </c>
      <c r="Q8" s="535" t="s">
        <v>89</v>
      </c>
      <c r="R8" s="535">
        <v>2019.0</v>
      </c>
      <c r="S8" s="536">
        <v>637.470696206353</v>
      </c>
      <c r="T8" s="536">
        <v>2219.54408238123</v>
      </c>
      <c r="U8" s="537">
        <v>166.531011416782</v>
      </c>
      <c r="W8" s="534" t="s">
        <v>292</v>
      </c>
      <c r="X8" s="535" t="s">
        <v>336</v>
      </c>
      <c r="Y8" s="535" t="s">
        <v>294</v>
      </c>
      <c r="Z8" s="535" t="s">
        <v>295</v>
      </c>
      <c r="AA8" s="535" t="s">
        <v>296</v>
      </c>
      <c r="AB8" s="535" t="s">
        <v>297</v>
      </c>
      <c r="AC8" s="535">
        <v>2019.0</v>
      </c>
      <c r="AD8" s="536">
        <v>2.398531814</v>
      </c>
      <c r="AE8" s="536">
        <v>6.875680301</v>
      </c>
      <c r="AF8" s="537">
        <v>0.4272972582</v>
      </c>
      <c r="AH8" s="538" t="s">
        <v>298</v>
      </c>
      <c r="AI8" s="539" t="s">
        <v>3</v>
      </c>
      <c r="AJ8" s="539" t="s">
        <v>294</v>
      </c>
      <c r="AK8" s="539" t="s">
        <v>323</v>
      </c>
      <c r="AL8" s="539" t="s">
        <v>296</v>
      </c>
      <c r="AM8" s="539" t="s">
        <v>297</v>
      </c>
      <c r="AN8" s="540">
        <v>2019.0</v>
      </c>
      <c r="AO8" s="541">
        <v>60060.98378</v>
      </c>
      <c r="AP8" s="541">
        <v>93833.72081</v>
      </c>
      <c r="AQ8" s="542">
        <v>34224.5766</v>
      </c>
      <c r="AS8" s="534" t="s">
        <v>296</v>
      </c>
      <c r="AT8" s="535" t="s">
        <v>294</v>
      </c>
      <c r="AU8" s="535" t="s">
        <v>302</v>
      </c>
      <c r="AV8" s="535" t="s">
        <v>316</v>
      </c>
      <c r="AW8" s="535" t="s">
        <v>292</v>
      </c>
      <c r="AX8" s="535" t="s">
        <v>89</v>
      </c>
      <c r="AY8" s="535" t="s">
        <v>304</v>
      </c>
      <c r="AZ8" s="543" t="s">
        <v>305</v>
      </c>
      <c r="BA8" s="536">
        <v>2613.71804</v>
      </c>
      <c r="BB8" s="536">
        <v>783.8516676</v>
      </c>
      <c r="BC8" s="536">
        <v>5083.679114</v>
      </c>
      <c r="BD8" s="537" t="s">
        <v>202</v>
      </c>
      <c r="BF8" s="534" t="s">
        <v>296</v>
      </c>
      <c r="BG8" s="535" t="s">
        <v>294</v>
      </c>
      <c r="BH8" s="535" t="s">
        <v>302</v>
      </c>
      <c r="BI8" s="535" t="s">
        <v>22</v>
      </c>
      <c r="BJ8" s="535" t="s">
        <v>292</v>
      </c>
      <c r="BK8" s="535" t="s">
        <v>307</v>
      </c>
      <c r="BL8" s="535" t="s">
        <v>304</v>
      </c>
      <c r="BM8" s="543" t="s">
        <v>305</v>
      </c>
      <c r="BN8" s="536">
        <v>255.6551987</v>
      </c>
      <c r="BO8" s="536">
        <v>66.24141997</v>
      </c>
      <c r="BP8" s="536">
        <v>626.8852282</v>
      </c>
      <c r="BQ8" s="537" t="s">
        <v>202</v>
      </c>
      <c r="BS8" s="534" t="s">
        <v>296</v>
      </c>
      <c r="BT8" s="535" t="s">
        <v>294</v>
      </c>
      <c r="BU8" s="535" t="s">
        <v>309</v>
      </c>
      <c r="BV8" s="535" t="s">
        <v>326</v>
      </c>
      <c r="BW8" s="535" t="s">
        <v>298</v>
      </c>
      <c r="BX8" s="535" t="s">
        <v>307</v>
      </c>
      <c r="BY8" s="535" t="s">
        <v>304</v>
      </c>
      <c r="BZ8" s="543" t="s">
        <v>305</v>
      </c>
      <c r="CA8" s="536">
        <v>132397.762</v>
      </c>
      <c r="CB8" s="536">
        <v>43126.14255</v>
      </c>
      <c r="CC8" s="536">
        <v>196081.885</v>
      </c>
      <c r="CD8" s="537" t="s">
        <v>202</v>
      </c>
      <c r="CE8" s="525"/>
    </row>
    <row r="9">
      <c r="A9" s="509"/>
      <c r="B9" s="544" t="s">
        <v>288</v>
      </c>
      <c r="C9" s="545" t="s">
        <v>289</v>
      </c>
      <c r="D9" s="545" t="s">
        <v>339</v>
      </c>
      <c r="E9" s="546">
        <v>2019.0</v>
      </c>
      <c r="F9" s="545" t="s">
        <v>291</v>
      </c>
      <c r="G9" s="545" t="s">
        <v>89</v>
      </c>
      <c r="H9" s="547">
        <v>7067006.068</v>
      </c>
      <c r="I9" s="547">
        <v>7765327.927</v>
      </c>
      <c r="J9" s="548">
        <v>6343931.521</v>
      </c>
      <c r="K9" s="516"/>
      <c r="L9" s="534" t="s">
        <v>292</v>
      </c>
      <c r="M9" s="535" t="s">
        <v>293</v>
      </c>
      <c r="N9" s="535" t="s">
        <v>294</v>
      </c>
      <c r="O9" s="535" t="s">
        <v>300</v>
      </c>
      <c r="P9" s="535" t="s">
        <v>296</v>
      </c>
      <c r="Q9" s="535" t="s">
        <v>89</v>
      </c>
      <c r="R9" s="535">
        <v>2019.0</v>
      </c>
      <c r="S9" s="536">
        <v>24.5072820423256</v>
      </c>
      <c r="T9" s="536">
        <v>86.14949134</v>
      </c>
      <c r="U9" s="537">
        <v>6.04511318685841</v>
      </c>
      <c r="W9" s="534" t="s">
        <v>292</v>
      </c>
      <c r="X9" s="535" t="s">
        <v>3</v>
      </c>
      <c r="Y9" s="535" t="s">
        <v>294</v>
      </c>
      <c r="Z9" s="535" t="s">
        <v>295</v>
      </c>
      <c r="AA9" s="535" t="s">
        <v>296</v>
      </c>
      <c r="AB9" s="535" t="s">
        <v>297</v>
      </c>
      <c r="AC9" s="535">
        <v>2019.0</v>
      </c>
      <c r="AD9" s="536">
        <v>405.3286161</v>
      </c>
      <c r="AE9" s="536">
        <v>740.4158993</v>
      </c>
      <c r="AF9" s="537">
        <v>169.8445042</v>
      </c>
      <c r="AH9" s="549" t="s">
        <v>298</v>
      </c>
      <c r="AI9" s="550" t="s">
        <v>341</v>
      </c>
      <c r="AJ9" s="550" t="s">
        <v>294</v>
      </c>
      <c r="AK9" s="550" t="s">
        <v>323</v>
      </c>
      <c r="AL9" s="550" t="s">
        <v>296</v>
      </c>
      <c r="AM9" s="550" t="s">
        <v>297</v>
      </c>
      <c r="AN9" s="551">
        <v>2019.0</v>
      </c>
      <c r="AO9" s="552">
        <v>29398.84712</v>
      </c>
      <c r="AP9" s="552">
        <v>57076.17572</v>
      </c>
      <c r="AQ9" s="553">
        <v>10022.62209</v>
      </c>
      <c r="AS9" s="534" t="s">
        <v>296</v>
      </c>
      <c r="AT9" s="535" t="s">
        <v>294</v>
      </c>
      <c r="AU9" s="535" t="s">
        <v>315</v>
      </c>
      <c r="AV9" s="535" t="s">
        <v>316</v>
      </c>
      <c r="AW9" s="535" t="s">
        <v>292</v>
      </c>
      <c r="AX9" s="535" t="s">
        <v>89</v>
      </c>
      <c r="AY9" s="535" t="s">
        <v>304</v>
      </c>
      <c r="AZ9" s="543" t="s">
        <v>305</v>
      </c>
      <c r="BA9" s="536">
        <v>95.10325654</v>
      </c>
      <c r="BB9" s="536">
        <v>20.2364144</v>
      </c>
      <c r="BC9" s="536">
        <v>225.4677892</v>
      </c>
      <c r="BD9" s="537" t="s">
        <v>202</v>
      </c>
      <c r="BF9" s="534" t="s">
        <v>296</v>
      </c>
      <c r="BG9" s="535" t="s">
        <v>294</v>
      </c>
      <c r="BH9" s="535" t="s">
        <v>302</v>
      </c>
      <c r="BI9" s="535" t="s">
        <v>342</v>
      </c>
      <c r="BJ9" s="535" t="s">
        <v>292</v>
      </c>
      <c r="BK9" s="535" t="s">
        <v>307</v>
      </c>
      <c r="BL9" s="535" t="s">
        <v>304</v>
      </c>
      <c r="BM9" s="543" t="s">
        <v>305</v>
      </c>
      <c r="BN9" s="536">
        <v>220.8931905</v>
      </c>
      <c r="BO9" s="536">
        <v>88.90342632</v>
      </c>
      <c r="BP9" s="536">
        <v>399.0145698</v>
      </c>
      <c r="BQ9" s="537" t="s">
        <v>202</v>
      </c>
      <c r="BS9" s="534" t="s">
        <v>296</v>
      </c>
      <c r="BT9" s="535" t="s">
        <v>294</v>
      </c>
      <c r="BU9" s="535" t="s">
        <v>317</v>
      </c>
      <c r="BV9" s="535" t="s">
        <v>326</v>
      </c>
      <c r="BW9" s="535" t="s">
        <v>298</v>
      </c>
      <c r="BX9" s="535" t="s">
        <v>307</v>
      </c>
      <c r="BY9" s="535" t="s">
        <v>304</v>
      </c>
      <c r="BZ9" s="543" t="s">
        <v>305</v>
      </c>
      <c r="CA9" s="536">
        <v>50147.68369</v>
      </c>
      <c r="CB9" s="536">
        <v>18262.42069</v>
      </c>
      <c r="CC9" s="536">
        <v>106089.3423</v>
      </c>
      <c r="CD9" s="537" t="s">
        <v>202</v>
      </c>
      <c r="CE9" s="525"/>
    </row>
    <row r="10">
      <c r="A10" s="509"/>
      <c r="B10" s="526" t="s">
        <v>288</v>
      </c>
      <c r="C10" s="527" t="s">
        <v>289</v>
      </c>
      <c r="D10" s="527" t="s">
        <v>344</v>
      </c>
      <c r="E10" s="530">
        <v>2019.0</v>
      </c>
      <c r="F10" s="527" t="s">
        <v>291</v>
      </c>
      <c r="G10" s="527" t="s">
        <v>89</v>
      </c>
      <c r="H10" s="532">
        <v>9628365.605</v>
      </c>
      <c r="I10" s="532">
        <v>1.057978663E7</v>
      </c>
      <c r="J10" s="533">
        <v>8643220.547</v>
      </c>
      <c r="K10" s="516"/>
      <c r="L10" s="534" t="s">
        <v>292</v>
      </c>
      <c r="M10" s="535" t="s">
        <v>346</v>
      </c>
      <c r="N10" s="535" t="s">
        <v>294</v>
      </c>
      <c r="O10" s="535" t="s">
        <v>295</v>
      </c>
      <c r="P10" s="535" t="s">
        <v>296</v>
      </c>
      <c r="Q10" s="535" t="s">
        <v>89</v>
      </c>
      <c r="R10" s="535">
        <v>2019.0</v>
      </c>
      <c r="S10" s="536">
        <v>14.7046952535332</v>
      </c>
      <c r="T10" s="536">
        <v>72.6821684341096</v>
      </c>
      <c r="U10" s="537">
        <v>0.297076129168958</v>
      </c>
      <c r="W10" s="534" t="s">
        <v>292</v>
      </c>
      <c r="X10" s="535" t="s">
        <v>347</v>
      </c>
      <c r="Y10" s="535" t="s">
        <v>294</v>
      </c>
      <c r="Z10" s="535" t="s">
        <v>295</v>
      </c>
      <c r="AA10" s="535" t="s">
        <v>296</v>
      </c>
      <c r="AB10" s="535" t="s">
        <v>297</v>
      </c>
      <c r="AC10" s="535">
        <v>2019.0</v>
      </c>
      <c r="AD10" s="536">
        <v>277.8205543</v>
      </c>
      <c r="AE10" s="536">
        <v>550.3714278</v>
      </c>
      <c r="AF10" s="537">
        <v>104.116688</v>
      </c>
      <c r="AH10" s="538" t="s">
        <v>298</v>
      </c>
      <c r="AI10" s="539" t="s">
        <v>3</v>
      </c>
      <c r="AJ10" s="539" t="s">
        <v>294</v>
      </c>
      <c r="AK10" s="539" t="s">
        <v>300</v>
      </c>
      <c r="AL10" s="539" t="s">
        <v>296</v>
      </c>
      <c r="AM10" s="539" t="s">
        <v>297</v>
      </c>
      <c r="AN10" s="540">
        <v>2019.0</v>
      </c>
      <c r="AO10" s="541">
        <v>24693.60871</v>
      </c>
      <c r="AP10" s="541">
        <v>38635.95811</v>
      </c>
      <c r="AQ10" s="542">
        <v>16809.51626</v>
      </c>
      <c r="AS10" s="534" t="s">
        <v>296</v>
      </c>
      <c r="AT10" s="535" t="s">
        <v>294</v>
      </c>
      <c r="AU10" s="535" t="s">
        <v>325</v>
      </c>
      <c r="AV10" s="535" t="s">
        <v>316</v>
      </c>
      <c r="AW10" s="535" t="s">
        <v>292</v>
      </c>
      <c r="AX10" s="535" t="s">
        <v>89</v>
      </c>
      <c r="AY10" s="535" t="s">
        <v>304</v>
      </c>
      <c r="AZ10" s="543" t="s">
        <v>305</v>
      </c>
      <c r="BA10" s="536">
        <v>564.3121916</v>
      </c>
      <c r="BB10" s="536">
        <v>133.6525047</v>
      </c>
      <c r="BC10" s="536">
        <v>1270.264948</v>
      </c>
      <c r="BD10" s="537" t="s">
        <v>202</v>
      </c>
      <c r="BF10" s="534" t="s">
        <v>296</v>
      </c>
      <c r="BG10" s="535" t="s">
        <v>294</v>
      </c>
      <c r="BH10" s="535" t="s">
        <v>302</v>
      </c>
      <c r="BI10" s="535" t="s">
        <v>348</v>
      </c>
      <c r="BJ10" s="535" t="s">
        <v>292</v>
      </c>
      <c r="BK10" s="535" t="s">
        <v>307</v>
      </c>
      <c r="BL10" s="535" t="s">
        <v>304</v>
      </c>
      <c r="BM10" s="543" t="s">
        <v>305</v>
      </c>
      <c r="BN10" s="536">
        <v>306.5195946</v>
      </c>
      <c r="BO10" s="536">
        <v>116.7582661</v>
      </c>
      <c r="BP10" s="536">
        <v>569.1594973</v>
      </c>
      <c r="BQ10" s="537" t="s">
        <v>202</v>
      </c>
      <c r="BS10" s="534" t="s">
        <v>296</v>
      </c>
      <c r="BT10" s="535" t="s">
        <v>294</v>
      </c>
      <c r="BU10" s="535" t="s">
        <v>309</v>
      </c>
      <c r="BV10" s="535" t="s">
        <v>333</v>
      </c>
      <c r="BW10" s="535" t="s">
        <v>298</v>
      </c>
      <c r="BX10" s="535" t="s">
        <v>307</v>
      </c>
      <c r="BY10" s="535" t="s">
        <v>304</v>
      </c>
      <c r="BZ10" s="543" t="s">
        <v>305</v>
      </c>
      <c r="CA10" s="536">
        <v>71493.62086</v>
      </c>
      <c r="CB10" s="536">
        <v>10334.13118</v>
      </c>
      <c r="CC10" s="536">
        <v>167559.6725</v>
      </c>
      <c r="CD10" s="537" t="s">
        <v>202</v>
      </c>
      <c r="CE10" s="525"/>
    </row>
    <row r="11">
      <c r="A11" s="509"/>
      <c r="B11" s="544" t="s">
        <v>288</v>
      </c>
      <c r="C11" s="545" t="s">
        <v>289</v>
      </c>
      <c r="D11" s="545" t="s">
        <v>349</v>
      </c>
      <c r="E11" s="546">
        <v>2019.0</v>
      </c>
      <c r="F11" s="545" t="s">
        <v>291</v>
      </c>
      <c r="G11" s="545" t="s">
        <v>89</v>
      </c>
      <c r="H11" s="547">
        <v>3068534.139</v>
      </c>
      <c r="I11" s="547">
        <v>3371749.453</v>
      </c>
      <c r="J11" s="548">
        <v>2754571.067</v>
      </c>
      <c r="K11" s="516"/>
      <c r="L11" s="534" t="s">
        <v>292</v>
      </c>
      <c r="M11" s="535" t="s">
        <v>346</v>
      </c>
      <c r="N11" s="535" t="s">
        <v>294</v>
      </c>
      <c r="O11" s="535" t="s">
        <v>311</v>
      </c>
      <c r="P11" s="535" t="s">
        <v>296</v>
      </c>
      <c r="Q11" s="535" t="s">
        <v>89</v>
      </c>
      <c r="R11" s="535">
        <v>2019.0</v>
      </c>
      <c r="S11" s="536">
        <v>0.0</v>
      </c>
      <c r="T11" s="536">
        <v>0.0</v>
      </c>
      <c r="U11" s="537">
        <v>0.0</v>
      </c>
      <c r="W11" s="573" t="s">
        <v>292</v>
      </c>
      <c r="X11" s="574" t="s">
        <v>351</v>
      </c>
      <c r="Y11" s="574" t="s">
        <v>294</v>
      </c>
      <c r="Z11" s="574" t="s">
        <v>295</v>
      </c>
      <c r="AA11" s="574" t="s">
        <v>296</v>
      </c>
      <c r="AB11" s="574" t="s">
        <v>297</v>
      </c>
      <c r="AC11" s="575">
        <v>2019.0</v>
      </c>
      <c r="AD11" s="576">
        <v>9.929558626</v>
      </c>
      <c r="AE11" s="576">
        <v>69.14634108</v>
      </c>
      <c r="AF11" s="578">
        <v>0.02660331771</v>
      </c>
      <c r="AH11" s="549" t="s">
        <v>298</v>
      </c>
      <c r="AI11" s="550" t="s">
        <v>330</v>
      </c>
      <c r="AJ11" s="550" t="s">
        <v>294</v>
      </c>
      <c r="AK11" s="550" t="s">
        <v>300</v>
      </c>
      <c r="AL11" s="550" t="s">
        <v>296</v>
      </c>
      <c r="AM11" s="550" t="s">
        <v>297</v>
      </c>
      <c r="AN11" s="551">
        <v>2019.0</v>
      </c>
      <c r="AO11" s="552">
        <v>16566.73211</v>
      </c>
      <c r="AP11" s="552">
        <v>25701.20601</v>
      </c>
      <c r="AQ11" s="553">
        <v>8401.618232</v>
      </c>
      <c r="AS11" s="534" t="s">
        <v>296</v>
      </c>
      <c r="AT11" s="535" t="s">
        <v>294</v>
      </c>
      <c r="AU11" s="535" t="s">
        <v>332</v>
      </c>
      <c r="AV11" s="535" t="s">
        <v>316</v>
      </c>
      <c r="AW11" s="535" t="s">
        <v>292</v>
      </c>
      <c r="AX11" s="535" t="s">
        <v>89</v>
      </c>
      <c r="AY11" s="535" t="s">
        <v>304</v>
      </c>
      <c r="AZ11" s="543" t="s">
        <v>305</v>
      </c>
      <c r="BA11" s="536">
        <v>4208.302666</v>
      </c>
      <c r="BB11" s="536">
        <v>1125.597258</v>
      </c>
      <c r="BC11" s="536">
        <v>8279.044338</v>
      </c>
      <c r="BD11" s="537" t="s">
        <v>202</v>
      </c>
      <c r="BF11" s="534" t="s">
        <v>296</v>
      </c>
      <c r="BG11" s="535" t="s">
        <v>294</v>
      </c>
      <c r="BH11" s="535" t="s">
        <v>302</v>
      </c>
      <c r="BI11" s="535" t="s">
        <v>23</v>
      </c>
      <c r="BJ11" s="535" t="s">
        <v>292</v>
      </c>
      <c r="BK11" s="535" t="s">
        <v>307</v>
      </c>
      <c r="BL11" s="535" t="s">
        <v>304</v>
      </c>
      <c r="BM11" s="543" t="s">
        <v>305</v>
      </c>
      <c r="BN11" s="536">
        <v>178.1742523</v>
      </c>
      <c r="BO11" s="536">
        <v>32.45151856</v>
      </c>
      <c r="BP11" s="536">
        <v>404.3584826</v>
      </c>
      <c r="BQ11" s="537" t="s">
        <v>202</v>
      </c>
      <c r="BS11" s="534" t="s">
        <v>296</v>
      </c>
      <c r="BT11" s="535" t="s">
        <v>294</v>
      </c>
      <c r="BU11" s="535" t="s">
        <v>317</v>
      </c>
      <c r="BV11" s="535" t="s">
        <v>333</v>
      </c>
      <c r="BW11" s="535" t="s">
        <v>298</v>
      </c>
      <c r="BX11" s="535" t="s">
        <v>307</v>
      </c>
      <c r="BY11" s="535" t="s">
        <v>304</v>
      </c>
      <c r="BZ11" s="543" t="s">
        <v>305</v>
      </c>
      <c r="CA11" s="536">
        <v>28807.45136</v>
      </c>
      <c r="CB11" s="536">
        <v>6762.822719</v>
      </c>
      <c r="CC11" s="536">
        <v>77456.07377</v>
      </c>
      <c r="CD11" s="537" t="s">
        <v>202</v>
      </c>
      <c r="CE11" s="525"/>
    </row>
    <row r="12">
      <c r="A12" s="509"/>
      <c r="B12" s="526" t="s">
        <v>288</v>
      </c>
      <c r="C12" s="527" t="s">
        <v>289</v>
      </c>
      <c r="D12" s="527" t="s">
        <v>355</v>
      </c>
      <c r="E12" s="530">
        <v>2019.0</v>
      </c>
      <c r="F12" s="527" t="s">
        <v>291</v>
      </c>
      <c r="G12" s="527" t="s">
        <v>89</v>
      </c>
      <c r="H12" s="532">
        <v>1.120369025E7</v>
      </c>
      <c r="I12" s="532">
        <v>1.23115283E7</v>
      </c>
      <c r="J12" s="533">
        <v>1.005758495E7</v>
      </c>
      <c r="K12" s="516"/>
      <c r="L12" s="534" t="s">
        <v>292</v>
      </c>
      <c r="M12" s="535" t="s">
        <v>346</v>
      </c>
      <c r="N12" s="535" t="s">
        <v>294</v>
      </c>
      <c r="O12" s="535" t="s">
        <v>319</v>
      </c>
      <c r="P12" s="535" t="s">
        <v>296</v>
      </c>
      <c r="Q12" s="535" t="s">
        <v>89</v>
      </c>
      <c r="R12" s="535">
        <v>2019.0</v>
      </c>
      <c r="S12" s="536">
        <v>0.346435449072902</v>
      </c>
      <c r="T12" s="536">
        <v>1.89960106892641</v>
      </c>
      <c r="U12" s="537">
        <v>0.00632715</v>
      </c>
      <c r="W12" s="534" t="s">
        <v>292</v>
      </c>
      <c r="X12" s="535" t="s">
        <v>356</v>
      </c>
      <c r="Y12" s="535" t="s">
        <v>294</v>
      </c>
      <c r="Z12" s="535" t="s">
        <v>295</v>
      </c>
      <c r="AA12" s="535" t="s">
        <v>296</v>
      </c>
      <c r="AB12" s="535" t="s">
        <v>297</v>
      </c>
      <c r="AC12" s="535">
        <v>2019.0</v>
      </c>
      <c r="AD12" s="536">
        <v>232.2191917</v>
      </c>
      <c r="AE12" s="536">
        <v>435.0862708</v>
      </c>
      <c r="AF12" s="537">
        <v>87.66351968</v>
      </c>
      <c r="AH12" s="538" t="s">
        <v>298</v>
      </c>
      <c r="AI12" s="539" t="s">
        <v>4</v>
      </c>
      <c r="AJ12" s="539" t="s">
        <v>294</v>
      </c>
      <c r="AK12" s="539" t="s">
        <v>300</v>
      </c>
      <c r="AL12" s="539" t="s">
        <v>296</v>
      </c>
      <c r="AM12" s="539" t="s">
        <v>297</v>
      </c>
      <c r="AN12" s="540">
        <v>2019.0</v>
      </c>
      <c r="AO12" s="541">
        <v>16222.6214</v>
      </c>
      <c r="AP12" s="541">
        <v>38103.80788</v>
      </c>
      <c r="AQ12" s="542">
        <v>7414.998591</v>
      </c>
      <c r="AS12" s="534" t="s">
        <v>296</v>
      </c>
      <c r="AT12" s="535" t="s">
        <v>294</v>
      </c>
      <c r="AU12" s="535" t="s">
        <v>302</v>
      </c>
      <c r="AV12" s="535" t="s">
        <v>326</v>
      </c>
      <c r="AW12" s="535" t="s">
        <v>292</v>
      </c>
      <c r="AX12" s="535" t="s">
        <v>89</v>
      </c>
      <c r="AY12" s="535" t="s">
        <v>304</v>
      </c>
      <c r="AZ12" s="543" t="s">
        <v>305</v>
      </c>
      <c r="BA12" s="536">
        <v>1042.767799</v>
      </c>
      <c r="BB12" s="536">
        <v>586.1149228</v>
      </c>
      <c r="BC12" s="536">
        <v>1570.604806</v>
      </c>
      <c r="BD12" s="537" t="s">
        <v>202</v>
      </c>
      <c r="BF12" s="534" t="s">
        <v>296</v>
      </c>
      <c r="BG12" s="535" t="s">
        <v>294</v>
      </c>
      <c r="BH12" s="535" t="s">
        <v>302</v>
      </c>
      <c r="BI12" s="535" t="s">
        <v>357</v>
      </c>
      <c r="BJ12" s="535" t="s">
        <v>292</v>
      </c>
      <c r="BK12" s="535" t="s">
        <v>307</v>
      </c>
      <c r="BL12" s="535" t="s">
        <v>304</v>
      </c>
      <c r="BM12" s="543" t="s">
        <v>305</v>
      </c>
      <c r="BN12" s="536">
        <v>264.8903243</v>
      </c>
      <c r="BO12" s="536">
        <v>126.6943071</v>
      </c>
      <c r="BP12" s="536">
        <v>446.6560367</v>
      </c>
      <c r="BQ12" s="537" t="s">
        <v>202</v>
      </c>
      <c r="BS12" s="534" t="s">
        <v>296</v>
      </c>
      <c r="BT12" s="535" t="s">
        <v>294</v>
      </c>
      <c r="BU12" s="535" t="s">
        <v>309</v>
      </c>
      <c r="BV12" s="535" t="s">
        <v>22</v>
      </c>
      <c r="BW12" s="535" t="s">
        <v>298</v>
      </c>
      <c r="BX12" s="535" t="s">
        <v>307</v>
      </c>
      <c r="BY12" s="535" t="s">
        <v>304</v>
      </c>
      <c r="BZ12" s="543" t="s">
        <v>305</v>
      </c>
      <c r="CA12" s="536">
        <v>47661.90624</v>
      </c>
      <c r="CB12" s="536">
        <v>10878.52903</v>
      </c>
      <c r="CC12" s="536">
        <v>114935.168</v>
      </c>
      <c r="CD12" s="537" t="s">
        <v>202</v>
      </c>
      <c r="CE12" s="525"/>
    </row>
    <row r="13">
      <c r="A13" s="509"/>
      <c r="B13" s="544" t="s">
        <v>288</v>
      </c>
      <c r="C13" s="545" t="s">
        <v>289</v>
      </c>
      <c r="D13" s="545" t="s">
        <v>358</v>
      </c>
      <c r="E13" s="546">
        <v>2019.0</v>
      </c>
      <c r="F13" s="545" t="s">
        <v>291</v>
      </c>
      <c r="G13" s="545" t="s">
        <v>89</v>
      </c>
      <c r="H13" s="547">
        <v>1.352921375E7</v>
      </c>
      <c r="I13" s="547">
        <v>1.486609469E7</v>
      </c>
      <c r="J13" s="548">
        <v>1.214494579E7</v>
      </c>
      <c r="K13" s="516"/>
      <c r="L13" s="534" t="s">
        <v>292</v>
      </c>
      <c r="M13" s="535" t="s">
        <v>346</v>
      </c>
      <c r="N13" s="535" t="s">
        <v>294</v>
      </c>
      <c r="O13" s="535" t="s">
        <v>327</v>
      </c>
      <c r="P13" s="535" t="s">
        <v>296</v>
      </c>
      <c r="Q13" s="535" t="s">
        <v>89</v>
      </c>
      <c r="R13" s="535">
        <v>2019.0</v>
      </c>
      <c r="S13" s="536">
        <v>6.08770261057823</v>
      </c>
      <c r="T13" s="536">
        <v>31.9256683120347</v>
      </c>
      <c r="U13" s="537">
        <v>0.121729816574208</v>
      </c>
      <c r="W13" s="534" t="s">
        <v>292</v>
      </c>
      <c r="X13" s="535" t="s">
        <v>359</v>
      </c>
      <c r="Y13" s="535" t="s">
        <v>294</v>
      </c>
      <c r="Z13" s="535" t="s">
        <v>295</v>
      </c>
      <c r="AA13" s="535" t="s">
        <v>296</v>
      </c>
      <c r="AB13" s="535" t="s">
        <v>297</v>
      </c>
      <c r="AC13" s="535">
        <v>2019.0</v>
      </c>
      <c r="AD13" s="536">
        <v>348.7955653</v>
      </c>
      <c r="AE13" s="536">
        <v>575.426103</v>
      </c>
      <c r="AF13" s="537">
        <v>174.5254067</v>
      </c>
      <c r="AH13" s="549" t="s">
        <v>298</v>
      </c>
      <c r="AI13" s="550" t="s">
        <v>299</v>
      </c>
      <c r="AJ13" s="550" t="s">
        <v>294</v>
      </c>
      <c r="AK13" s="550" t="s">
        <v>323</v>
      </c>
      <c r="AL13" s="550" t="s">
        <v>296</v>
      </c>
      <c r="AM13" s="550" t="s">
        <v>297</v>
      </c>
      <c r="AN13" s="551">
        <v>2019.0</v>
      </c>
      <c r="AO13" s="552">
        <v>422.9192367</v>
      </c>
      <c r="AP13" s="552">
        <v>1065.779454</v>
      </c>
      <c r="AQ13" s="553">
        <v>155.2778808</v>
      </c>
      <c r="AS13" s="534" t="s">
        <v>296</v>
      </c>
      <c r="AT13" s="535" t="s">
        <v>294</v>
      </c>
      <c r="AU13" s="535" t="s">
        <v>315</v>
      </c>
      <c r="AV13" s="535" t="s">
        <v>326</v>
      </c>
      <c r="AW13" s="535" t="s">
        <v>292</v>
      </c>
      <c r="AX13" s="535" t="s">
        <v>89</v>
      </c>
      <c r="AY13" s="535" t="s">
        <v>304</v>
      </c>
      <c r="AZ13" s="543" t="s">
        <v>305</v>
      </c>
      <c r="BA13" s="536">
        <v>80.97209388</v>
      </c>
      <c r="BB13" s="536">
        <v>35.99115435</v>
      </c>
      <c r="BC13" s="536">
        <v>144.8440154</v>
      </c>
      <c r="BD13" s="537" t="s">
        <v>202</v>
      </c>
      <c r="BF13" s="534" t="s">
        <v>296</v>
      </c>
      <c r="BG13" s="535" t="s">
        <v>294</v>
      </c>
      <c r="BH13" s="535" t="s">
        <v>302</v>
      </c>
      <c r="BI13" s="535" t="s">
        <v>361</v>
      </c>
      <c r="BJ13" s="535" t="s">
        <v>292</v>
      </c>
      <c r="BK13" s="535" t="s">
        <v>307</v>
      </c>
      <c r="BL13" s="535" t="s">
        <v>304</v>
      </c>
      <c r="BM13" s="543" t="s">
        <v>305</v>
      </c>
      <c r="BN13" s="536">
        <v>312.6760685</v>
      </c>
      <c r="BO13" s="536">
        <v>111.186977</v>
      </c>
      <c r="BP13" s="536">
        <v>582.1483134</v>
      </c>
      <c r="BQ13" s="537" t="s">
        <v>202</v>
      </c>
      <c r="BS13" s="534" t="s">
        <v>296</v>
      </c>
      <c r="BT13" s="535" t="s">
        <v>294</v>
      </c>
      <c r="BU13" s="535" t="s">
        <v>317</v>
      </c>
      <c r="BV13" s="535" t="s">
        <v>22</v>
      </c>
      <c r="BW13" s="535" t="s">
        <v>298</v>
      </c>
      <c r="BX13" s="535" t="s">
        <v>307</v>
      </c>
      <c r="BY13" s="535" t="s">
        <v>304</v>
      </c>
      <c r="BZ13" s="543" t="s">
        <v>305</v>
      </c>
      <c r="CA13" s="536">
        <v>19593.14817</v>
      </c>
      <c r="CB13" s="536">
        <v>6046.206648</v>
      </c>
      <c r="CC13" s="536">
        <v>40406.23577</v>
      </c>
      <c r="CD13" s="537" t="s">
        <v>202</v>
      </c>
      <c r="CE13" s="525"/>
    </row>
    <row r="14">
      <c r="A14" s="509"/>
      <c r="B14" s="526" t="s">
        <v>288</v>
      </c>
      <c r="C14" s="527" t="s">
        <v>289</v>
      </c>
      <c r="D14" s="527" t="s">
        <v>362</v>
      </c>
      <c r="E14" s="530">
        <v>2019.0</v>
      </c>
      <c r="F14" s="527" t="s">
        <v>291</v>
      </c>
      <c r="G14" s="527" t="s">
        <v>89</v>
      </c>
      <c r="H14" s="532">
        <v>1.308229211E7</v>
      </c>
      <c r="I14" s="532">
        <v>1.437588919E7</v>
      </c>
      <c r="J14" s="533">
        <v>1.174401124E7</v>
      </c>
      <c r="K14" s="516"/>
      <c r="L14" s="534" t="s">
        <v>292</v>
      </c>
      <c r="M14" s="535" t="s">
        <v>346</v>
      </c>
      <c r="N14" s="535" t="s">
        <v>294</v>
      </c>
      <c r="O14" s="535" t="s">
        <v>335</v>
      </c>
      <c r="P14" s="535" t="s">
        <v>296</v>
      </c>
      <c r="Q14" s="535" t="s">
        <v>89</v>
      </c>
      <c r="R14" s="535">
        <v>2019.0</v>
      </c>
      <c r="S14" s="536">
        <v>174.493182724092</v>
      </c>
      <c r="T14" s="536">
        <v>792.563745161677</v>
      </c>
      <c r="U14" s="537">
        <v>4.31361477593401</v>
      </c>
      <c r="W14" s="534" t="s">
        <v>292</v>
      </c>
      <c r="X14" s="535" t="s">
        <v>364</v>
      </c>
      <c r="Y14" s="535" t="s">
        <v>294</v>
      </c>
      <c r="Z14" s="535" t="s">
        <v>295</v>
      </c>
      <c r="AA14" s="535" t="s">
        <v>296</v>
      </c>
      <c r="AB14" s="535" t="s">
        <v>297</v>
      </c>
      <c r="AC14" s="535">
        <v>2019.0</v>
      </c>
      <c r="AD14" s="536">
        <v>274.7782206</v>
      </c>
      <c r="AE14" s="536">
        <v>561.6905918</v>
      </c>
      <c r="AF14" s="537">
        <v>107.3973795</v>
      </c>
      <c r="AH14" s="538" t="s">
        <v>298</v>
      </c>
      <c r="AI14" s="539" t="s">
        <v>4</v>
      </c>
      <c r="AJ14" s="539" t="s">
        <v>294</v>
      </c>
      <c r="AK14" s="539" t="s">
        <v>323</v>
      </c>
      <c r="AL14" s="539" t="s">
        <v>296</v>
      </c>
      <c r="AM14" s="539" t="s">
        <v>297</v>
      </c>
      <c r="AN14" s="540">
        <v>2019.0</v>
      </c>
      <c r="AO14" s="541">
        <v>37423.26557</v>
      </c>
      <c r="AP14" s="541">
        <v>81929.59535</v>
      </c>
      <c r="AQ14" s="542">
        <v>14315.44467</v>
      </c>
      <c r="AS14" s="534" t="s">
        <v>296</v>
      </c>
      <c r="AT14" s="535" t="s">
        <v>294</v>
      </c>
      <c r="AU14" s="535" t="s">
        <v>325</v>
      </c>
      <c r="AV14" s="535" t="s">
        <v>326</v>
      </c>
      <c r="AW14" s="535" t="s">
        <v>292</v>
      </c>
      <c r="AX14" s="535" t="s">
        <v>89</v>
      </c>
      <c r="AY14" s="535" t="s">
        <v>304</v>
      </c>
      <c r="AZ14" s="543" t="s">
        <v>305</v>
      </c>
      <c r="BA14" s="536">
        <v>385.1570338</v>
      </c>
      <c r="BB14" s="536">
        <v>188.1724291</v>
      </c>
      <c r="BC14" s="536">
        <v>626.6248423</v>
      </c>
      <c r="BD14" s="537" t="s">
        <v>202</v>
      </c>
      <c r="BF14" s="534" t="s">
        <v>296</v>
      </c>
      <c r="BG14" s="535" t="s">
        <v>294</v>
      </c>
      <c r="BH14" s="535" t="s">
        <v>302</v>
      </c>
      <c r="BI14" s="535" t="s">
        <v>365</v>
      </c>
      <c r="BJ14" s="535" t="s">
        <v>292</v>
      </c>
      <c r="BK14" s="535" t="s">
        <v>307</v>
      </c>
      <c r="BL14" s="535" t="s">
        <v>304</v>
      </c>
      <c r="BM14" s="543" t="s">
        <v>305</v>
      </c>
      <c r="BN14" s="536">
        <v>431.7717421</v>
      </c>
      <c r="BO14" s="536">
        <v>180.6668242</v>
      </c>
      <c r="BP14" s="536">
        <v>761.9485318</v>
      </c>
      <c r="BQ14" s="537" t="s">
        <v>202</v>
      </c>
      <c r="BS14" s="534" t="s">
        <v>296</v>
      </c>
      <c r="BT14" s="535" t="s">
        <v>294</v>
      </c>
      <c r="BU14" s="535" t="s">
        <v>309</v>
      </c>
      <c r="BV14" s="535" t="s">
        <v>342</v>
      </c>
      <c r="BW14" s="535" t="s">
        <v>298</v>
      </c>
      <c r="BX14" s="535" t="s">
        <v>307</v>
      </c>
      <c r="BY14" s="535" t="s">
        <v>304</v>
      </c>
      <c r="BZ14" s="543" t="s">
        <v>305</v>
      </c>
      <c r="CA14" s="536">
        <v>91871.02914</v>
      </c>
      <c r="CB14" s="536">
        <v>21595.33805</v>
      </c>
      <c r="CC14" s="536">
        <v>174570.9022</v>
      </c>
      <c r="CD14" s="537" t="s">
        <v>202</v>
      </c>
      <c r="CE14" s="525"/>
    </row>
    <row r="15">
      <c r="A15" s="509"/>
      <c r="B15" s="544" t="s">
        <v>288</v>
      </c>
      <c r="C15" s="545" t="s">
        <v>289</v>
      </c>
      <c r="D15" s="545" t="s">
        <v>366</v>
      </c>
      <c r="E15" s="546">
        <v>2019.0</v>
      </c>
      <c r="F15" s="545" t="s">
        <v>291</v>
      </c>
      <c r="G15" s="545" t="s">
        <v>89</v>
      </c>
      <c r="H15" s="547">
        <v>2561359.537</v>
      </c>
      <c r="I15" s="547">
        <v>2814458.704</v>
      </c>
      <c r="J15" s="548">
        <v>2299289.026</v>
      </c>
      <c r="K15" s="516"/>
      <c r="L15" s="534" t="s">
        <v>292</v>
      </c>
      <c r="M15" s="535" t="s">
        <v>346</v>
      </c>
      <c r="N15" s="535" t="s">
        <v>294</v>
      </c>
      <c r="O15" s="535" t="s">
        <v>300</v>
      </c>
      <c r="P15" s="535" t="s">
        <v>296</v>
      </c>
      <c r="Q15" s="535" t="s">
        <v>89</v>
      </c>
      <c r="R15" s="535">
        <v>2019.0</v>
      </c>
      <c r="S15" s="536">
        <v>8.39609877825047</v>
      </c>
      <c r="T15" s="536">
        <v>38.6429846445646</v>
      </c>
      <c r="U15" s="537">
        <v>0.201566333400677</v>
      </c>
      <c r="W15" s="534" t="s">
        <v>292</v>
      </c>
      <c r="X15" s="535" t="s">
        <v>4</v>
      </c>
      <c r="Y15" s="535" t="s">
        <v>294</v>
      </c>
      <c r="Z15" s="535" t="s">
        <v>295</v>
      </c>
      <c r="AA15" s="535" t="s">
        <v>296</v>
      </c>
      <c r="AB15" s="535" t="s">
        <v>297</v>
      </c>
      <c r="AC15" s="535">
        <v>2019.0</v>
      </c>
      <c r="AD15" s="536">
        <v>135.7991375</v>
      </c>
      <c r="AE15" s="536">
        <v>328.4868896</v>
      </c>
      <c r="AF15" s="537">
        <v>40.0069368</v>
      </c>
      <c r="AH15" s="549" t="s">
        <v>298</v>
      </c>
      <c r="AI15" s="550" t="s">
        <v>341</v>
      </c>
      <c r="AJ15" s="550" t="s">
        <v>294</v>
      </c>
      <c r="AK15" s="550" t="s">
        <v>300</v>
      </c>
      <c r="AL15" s="550" t="s">
        <v>296</v>
      </c>
      <c r="AM15" s="550" t="s">
        <v>297</v>
      </c>
      <c r="AN15" s="551">
        <v>2019.0</v>
      </c>
      <c r="AO15" s="552">
        <v>12152.38383</v>
      </c>
      <c r="AP15" s="552">
        <v>23117.95645</v>
      </c>
      <c r="AQ15" s="553">
        <v>5931.361162</v>
      </c>
      <c r="AS15" s="534" t="s">
        <v>296</v>
      </c>
      <c r="AT15" s="535" t="s">
        <v>294</v>
      </c>
      <c r="AU15" s="535" t="s">
        <v>332</v>
      </c>
      <c r="AV15" s="535" t="s">
        <v>326</v>
      </c>
      <c r="AW15" s="535" t="s">
        <v>292</v>
      </c>
      <c r="AX15" s="535" t="s">
        <v>89</v>
      </c>
      <c r="AY15" s="535" t="s">
        <v>304</v>
      </c>
      <c r="AZ15" s="543" t="s">
        <v>305</v>
      </c>
      <c r="BA15" s="536">
        <v>3262.495845</v>
      </c>
      <c r="BB15" s="536">
        <v>1600.007527</v>
      </c>
      <c r="BC15" s="536">
        <v>5521.098392</v>
      </c>
      <c r="BD15" s="537" t="s">
        <v>202</v>
      </c>
      <c r="BF15" s="534" t="s">
        <v>296</v>
      </c>
      <c r="BG15" s="535" t="s">
        <v>294</v>
      </c>
      <c r="BH15" s="535" t="s">
        <v>302</v>
      </c>
      <c r="BI15" s="535" t="s">
        <v>367</v>
      </c>
      <c r="BJ15" s="535" t="s">
        <v>292</v>
      </c>
      <c r="BK15" s="535" t="s">
        <v>307</v>
      </c>
      <c r="BL15" s="535" t="s">
        <v>304</v>
      </c>
      <c r="BM15" s="543" t="s">
        <v>305</v>
      </c>
      <c r="BN15" s="536">
        <v>295.8627871</v>
      </c>
      <c r="BO15" s="536">
        <v>128.7051861</v>
      </c>
      <c r="BP15" s="536">
        <v>515.8685195</v>
      </c>
      <c r="BQ15" s="537" t="s">
        <v>202</v>
      </c>
      <c r="BS15" s="534" t="s">
        <v>296</v>
      </c>
      <c r="BT15" s="535" t="s">
        <v>294</v>
      </c>
      <c r="BU15" s="535" t="s">
        <v>317</v>
      </c>
      <c r="BV15" s="535" t="s">
        <v>342</v>
      </c>
      <c r="BW15" s="535" t="s">
        <v>298</v>
      </c>
      <c r="BX15" s="535" t="s">
        <v>307</v>
      </c>
      <c r="BY15" s="535" t="s">
        <v>304</v>
      </c>
      <c r="BZ15" s="543" t="s">
        <v>305</v>
      </c>
      <c r="CA15" s="536">
        <v>36160.02848</v>
      </c>
      <c r="CB15" s="536">
        <v>12420.65536</v>
      </c>
      <c r="CC15" s="536">
        <v>81346.72159</v>
      </c>
      <c r="CD15" s="537" t="s">
        <v>202</v>
      </c>
      <c r="CE15" s="525"/>
    </row>
    <row r="16">
      <c r="A16" s="509"/>
      <c r="B16" s="526" t="s">
        <v>288</v>
      </c>
      <c r="C16" s="527" t="s">
        <v>289</v>
      </c>
      <c r="D16" s="527" t="s">
        <v>368</v>
      </c>
      <c r="E16" s="530">
        <v>2019.0</v>
      </c>
      <c r="F16" s="527" t="s">
        <v>291</v>
      </c>
      <c r="G16" s="527" t="s">
        <v>89</v>
      </c>
      <c r="H16" s="532">
        <v>1.052129173E7</v>
      </c>
      <c r="I16" s="532">
        <v>1.15609467E7</v>
      </c>
      <c r="J16" s="533">
        <v>9444785.188</v>
      </c>
      <c r="K16" s="516"/>
      <c r="L16" s="534" t="s">
        <v>292</v>
      </c>
      <c r="M16" s="535" t="s">
        <v>336</v>
      </c>
      <c r="N16" s="535" t="s">
        <v>294</v>
      </c>
      <c r="O16" s="535" t="s">
        <v>295</v>
      </c>
      <c r="P16" s="535" t="s">
        <v>296</v>
      </c>
      <c r="Q16" s="535" t="s">
        <v>89</v>
      </c>
      <c r="R16" s="535">
        <v>2019.0</v>
      </c>
      <c r="S16" s="536">
        <v>5.67273786840375</v>
      </c>
      <c r="T16" s="536">
        <v>16.2615862725058</v>
      </c>
      <c r="U16" s="537">
        <v>1.01059545009483</v>
      </c>
      <c r="W16" s="534" t="s">
        <v>292</v>
      </c>
      <c r="X16" s="535" t="s">
        <v>346</v>
      </c>
      <c r="Y16" s="535" t="s">
        <v>294</v>
      </c>
      <c r="Z16" s="535" t="s">
        <v>295</v>
      </c>
      <c r="AA16" s="535" t="s">
        <v>296</v>
      </c>
      <c r="AB16" s="535" t="s">
        <v>297</v>
      </c>
      <c r="AC16" s="535">
        <v>2019.0</v>
      </c>
      <c r="AD16" s="536">
        <v>18.82649413</v>
      </c>
      <c r="AE16" s="536">
        <v>93.05534004</v>
      </c>
      <c r="AF16" s="537">
        <v>0.3803480388</v>
      </c>
      <c r="AH16" s="538" t="s">
        <v>298</v>
      </c>
      <c r="AI16" s="539" t="s">
        <v>370</v>
      </c>
      <c r="AJ16" s="539" t="s">
        <v>294</v>
      </c>
      <c r="AK16" s="539" t="s">
        <v>323</v>
      </c>
      <c r="AL16" s="539" t="s">
        <v>296</v>
      </c>
      <c r="AM16" s="539" t="s">
        <v>297</v>
      </c>
      <c r="AN16" s="540">
        <v>2019.0</v>
      </c>
      <c r="AO16" s="541">
        <v>8320.867967</v>
      </c>
      <c r="AP16" s="541">
        <v>29904.519</v>
      </c>
      <c r="AQ16" s="542">
        <v>1530.536079</v>
      </c>
      <c r="AS16" s="534" t="s">
        <v>296</v>
      </c>
      <c r="AT16" s="535" t="s">
        <v>294</v>
      </c>
      <c r="AU16" s="535" t="s">
        <v>302</v>
      </c>
      <c r="AV16" s="535" t="s">
        <v>333</v>
      </c>
      <c r="AW16" s="535" t="s">
        <v>292</v>
      </c>
      <c r="AX16" s="535" t="s">
        <v>89</v>
      </c>
      <c r="AY16" s="535" t="s">
        <v>304</v>
      </c>
      <c r="AZ16" s="543" t="s">
        <v>305</v>
      </c>
      <c r="BA16" s="536">
        <v>1979.959836</v>
      </c>
      <c r="BB16" s="536">
        <v>900.9957524</v>
      </c>
      <c r="BC16" s="536">
        <v>3381.324939</v>
      </c>
      <c r="BD16" s="537" t="s">
        <v>202</v>
      </c>
      <c r="BF16" s="534" t="s">
        <v>296</v>
      </c>
      <c r="BG16" s="535" t="s">
        <v>294</v>
      </c>
      <c r="BH16" s="535" t="s">
        <v>302</v>
      </c>
      <c r="BI16" s="535" t="s">
        <v>372</v>
      </c>
      <c r="BJ16" s="535" t="s">
        <v>292</v>
      </c>
      <c r="BK16" s="535" t="s">
        <v>307</v>
      </c>
      <c r="BL16" s="535" t="s">
        <v>304</v>
      </c>
      <c r="BM16" s="543" t="s">
        <v>305</v>
      </c>
      <c r="BN16" s="536">
        <v>414.136568</v>
      </c>
      <c r="BO16" s="536">
        <v>227.4074395</v>
      </c>
      <c r="BP16" s="536">
        <v>660.7227411</v>
      </c>
      <c r="BQ16" s="537" t="s">
        <v>202</v>
      </c>
      <c r="BS16" s="534" t="s">
        <v>296</v>
      </c>
      <c r="BT16" s="535" t="s">
        <v>294</v>
      </c>
      <c r="BU16" s="535" t="s">
        <v>309</v>
      </c>
      <c r="BV16" s="535" t="s">
        <v>348</v>
      </c>
      <c r="BW16" s="535" t="s">
        <v>298</v>
      </c>
      <c r="BX16" s="535" t="s">
        <v>307</v>
      </c>
      <c r="BY16" s="535" t="s">
        <v>304</v>
      </c>
      <c r="BZ16" s="543" t="s">
        <v>305</v>
      </c>
      <c r="CA16" s="536">
        <v>95723.85472</v>
      </c>
      <c r="CB16" s="536">
        <v>21088.10411</v>
      </c>
      <c r="CC16" s="536">
        <v>181361.789</v>
      </c>
      <c r="CD16" s="537" t="s">
        <v>202</v>
      </c>
      <c r="CE16" s="525"/>
    </row>
    <row r="17">
      <c r="A17" s="509"/>
      <c r="B17" s="544" t="s">
        <v>288</v>
      </c>
      <c r="C17" s="545" t="s">
        <v>289</v>
      </c>
      <c r="D17" s="545" t="s">
        <v>373</v>
      </c>
      <c r="E17" s="546">
        <v>2019.0</v>
      </c>
      <c r="F17" s="545" t="s">
        <v>291</v>
      </c>
      <c r="G17" s="545" t="s">
        <v>89</v>
      </c>
      <c r="H17" s="547">
        <v>2197357.013</v>
      </c>
      <c r="I17" s="547">
        <v>2414487.495</v>
      </c>
      <c r="J17" s="548">
        <v>1972530.133</v>
      </c>
      <c r="K17" s="516"/>
      <c r="L17" s="534" t="s">
        <v>292</v>
      </c>
      <c r="M17" s="535" t="s">
        <v>336</v>
      </c>
      <c r="N17" s="535" t="s">
        <v>294</v>
      </c>
      <c r="O17" s="535" t="s">
        <v>311</v>
      </c>
      <c r="P17" s="535" t="s">
        <v>296</v>
      </c>
      <c r="Q17" s="535" t="s">
        <v>89</v>
      </c>
      <c r="R17" s="535">
        <v>2019.0</v>
      </c>
      <c r="S17" s="536">
        <v>0.0</v>
      </c>
      <c r="T17" s="536">
        <v>0.0</v>
      </c>
      <c r="U17" s="537">
        <v>0.0</v>
      </c>
      <c r="W17" s="592" t="s">
        <v>292</v>
      </c>
      <c r="X17" s="593" t="s">
        <v>374</v>
      </c>
      <c r="Y17" s="593" t="s">
        <v>294</v>
      </c>
      <c r="Z17" s="593" t="s">
        <v>295</v>
      </c>
      <c r="AA17" s="593" t="s">
        <v>296</v>
      </c>
      <c r="AB17" s="593" t="s">
        <v>297</v>
      </c>
      <c r="AC17" s="595">
        <v>2019.0</v>
      </c>
      <c r="AD17" s="596">
        <v>105.5737402</v>
      </c>
      <c r="AE17" s="596">
        <v>201.4849634</v>
      </c>
      <c r="AF17" s="597">
        <v>37.62817222</v>
      </c>
      <c r="AH17" s="549" t="s">
        <v>298</v>
      </c>
      <c r="AI17" s="550" t="s">
        <v>346</v>
      </c>
      <c r="AJ17" s="550" t="s">
        <v>294</v>
      </c>
      <c r="AK17" s="550" t="s">
        <v>323</v>
      </c>
      <c r="AL17" s="550" t="s">
        <v>296</v>
      </c>
      <c r="AM17" s="550" t="s">
        <v>297</v>
      </c>
      <c r="AN17" s="551">
        <v>2019.0</v>
      </c>
      <c r="AO17" s="552">
        <v>14914.41612</v>
      </c>
      <c r="AP17" s="552">
        <v>130804.2311</v>
      </c>
      <c r="AQ17" s="553">
        <v>75.76763403</v>
      </c>
      <c r="AS17" s="534" t="s">
        <v>296</v>
      </c>
      <c r="AT17" s="535" t="s">
        <v>294</v>
      </c>
      <c r="AU17" s="535" t="s">
        <v>315</v>
      </c>
      <c r="AV17" s="535" t="s">
        <v>333</v>
      </c>
      <c r="AW17" s="535" t="s">
        <v>292</v>
      </c>
      <c r="AX17" s="535" t="s">
        <v>89</v>
      </c>
      <c r="AY17" s="535" t="s">
        <v>304</v>
      </c>
      <c r="AZ17" s="543" t="s">
        <v>305</v>
      </c>
      <c r="BA17" s="536">
        <v>152.9688</v>
      </c>
      <c r="BB17" s="536">
        <v>49.96049195</v>
      </c>
      <c r="BC17" s="536">
        <v>330.8126939</v>
      </c>
      <c r="BD17" s="537" t="s">
        <v>202</v>
      </c>
      <c r="BF17" s="534" t="s">
        <v>296</v>
      </c>
      <c r="BG17" s="535" t="s">
        <v>294</v>
      </c>
      <c r="BH17" s="535" t="s">
        <v>302</v>
      </c>
      <c r="BI17" s="535" t="s">
        <v>377</v>
      </c>
      <c r="BJ17" s="535" t="s">
        <v>292</v>
      </c>
      <c r="BK17" s="535" t="s">
        <v>307</v>
      </c>
      <c r="BL17" s="535" t="s">
        <v>304</v>
      </c>
      <c r="BM17" s="543" t="s">
        <v>305</v>
      </c>
      <c r="BN17" s="536">
        <v>187.0758869</v>
      </c>
      <c r="BO17" s="536">
        <v>90.8631782</v>
      </c>
      <c r="BP17" s="536">
        <v>334.2525228</v>
      </c>
      <c r="BQ17" s="537" t="s">
        <v>202</v>
      </c>
      <c r="BS17" s="534" t="s">
        <v>296</v>
      </c>
      <c r="BT17" s="535" t="s">
        <v>294</v>
      </c>
      <c r="BU17" s="535" t="s">
        <v>317</v>
      </c>
      <c r="BV17" s="535" t="s">
        <v>348</v>
      </c>
      <c r="BW17" s="535" t="s">
        <v>298</v>
      </c>
      <c r="BX17" s="535" t="s">
        <v>307</v>
      </c>
      <c r="BY17" s="535" t="s">
        <v>304</v>
      </c>
      <c r="BZ17" s="543" t="s">
        <v>305</v>
      </c>
      <c r="CA17" s="536">
        <v>36206.10986</v>
      </c>
      <c r="CB17" s="536">
        <v>13851.4892</v>
      </c>
      <c r="CC17" s="536">
        <v>72799.5032</v>
      </c>
      <c r="CD17" s="537" t="s">
        <v>202</v>
      </c>
      <c r="CE17" s="525"/>
    </row>
    <row r="18">
      <c r="A18" s="509"/>
      <c r="B18" s="526" t="s">
        <v>288</v>
      </c>
      <c r="C18" s="527" t="s">
        <v>289</v>
      </c>
      <c r="D18" s="527" t="s">
        <v>379</v>
      </c>
      <c r="E18" s="530">
        <v>2019.0</v>
      </c>
      <c r="F18" s="527" t="s">
        <v>291</v>
      </c>
      <c r="G18" s="527" t="s">
        <v>89</v>
      </c>
      <c r="H18" s="532">
        <v>7899103.217</v>
      </c>
      <c r="I18" s="532">
        <v>8680178.642</v>
      </c>
      <c r="J18" s="533">
        <v>7091047.67</v>
      </c>
      <c r="K18" s="516"/>
      <c r="L18" s="534" t="s">
        <v>292</v>
      </c>
      <c r="M18" s="535" t="s">
        <v>336</v>
      </c>
      <c r="N18" s="535" t="s">
        <v>294</v>
      </c>
      <c r="O18" s="535" t="s">
        <v>319</v>
      </c>
      <c r="P18" s="535" t="s">
        <v>296</v>
      </c>
      <c r="Q18" s="535" t="s">
        <v>89</v>
      </c>
      <c r="R18" s="535">
        <v>2019.0</v>
      </c>
      <c r="S18" s="536">
        <v>0.01990188</v>
      </c>
      <c r="T18" s="536">
        <v>0.054970223</v>
      </c>
      <c r="U18" s="537">
        <v>0.003251105</v>
      </c>
      <c r="W18" s="534" t="s">
        <v>292</v>
      </c>
      <c r="X18" s="535" t="s">
        <v>5</v>
      </c>
      <c r="Y18" s="535" t="s">
        <v>294</v>
      </c>
      <c r="Z18" s="535" t="s">
        <v>295</v>
      </c>
      <c r="AA18" s="535" t="s">
        <v>296</v>
      </c>
      <c r="AB18" s="535" t="s">
        <v>297</v>
      </c>
      <c r="AC18" s="535">
        <v>2019.0</v>
      </c>
      <c r="AD18" s="536">
        <v>323.4018915</v>
      </c>
      <c r="AE18" s="536">
        <v>522.4535295</v>
      </c>
      <c r="AF18" s="537">
        <v>154.9451405</v>
      </c>
      <c r="AH18" s="538" t="s">
        <v>298</v>
      </c>
      <c r="AI18" s="539" t="s">
        <v>346</v>
      </c>
      <c r="AJ18" s="539" t="s">
        <v>294</v>
      </c>
      <c r="AK18" s="539" t="s">
        <v>300</v>
      </c>
      <c r="AL18" s="539" t="s">
        <v>296</v>
      </c>
      <c r="AM18" s="539" t="s">
        <v>297</v>
      </c>
      <c r="AN18" s="540">
        <v>2019.0</v>
      </c>
      <c r="AO18" s="541">
        <v>8855.730886</v>
      </c>
      <c r="AP18" s="541">
        <v>66790.64716</v>
      </c>
      <c r="AQ18" s="542">
        <v>127.0132482</v>
      </c>
      <c r="AS18" s="534" t="s">
        <v>296</v>
      </c>
      <c r="AT18" s="535" t="s">
        <v>294</v>
      </c>
      <c r="AU18" s="535" t="s">
        <v>325</v>
      </c>
      <c r="AV18" s="535" t="s">
        <v>333</v>
      </c>
      <c r="AW18" s="535" t="s">
        <v>292</v>
      </c>
      <c r="AX18" s="535" t="s">
        <v>89</v>
      </c>
      <c r="AY18" s="535" t="s">
        <v>304</v>
      </c>
      <c r="AZ18" s="543" t="s">
        <v>305</v>
      </c>
      <c r="BA18" s="536">
        <v>741.6365267</v>
      </c>
      <c r="BB18" s="536">
        <v>279.4803339</v>
      </c>
      <c r="BC18" s="536">
        <v>1379.98309</v>
      </c>
      <c r="BD18" s="537" t="s">
        <v>202</v>
      </c>
      <c r="BF18" s="534" t="s">
        <v>296</v>
      </c>
      <c r="BG18" s="535" t="s">
        <v>294</v>
      </c>
      <c r="BH18" s="535" t="s">
        <v>302</v>
      </c>
      <c r="BI18" s="535" t="s">
        <v>24</v>
      </c>
      <c r="BJ18" s="535" t="s">
        <v>292</v>
      </c>
      <c r="BK18" s="535" t="s">
        <v>307</v>
      </c>
      <c r="BL18" s="535" t="s">
        <v>304</v>
      </c>
      <c r="BM18" s="543" t="s">
        <v>305</v>
      </c>
      <c r="BN18" s="536">
        <v>288.3183134</v>
      </c>
      <c r="BO18" s="536">
        <v>121.7474662</v>
      </c>
      <c r="BP18" s="536">
        <v>507.6300438</v>
      </c>
      <c r="BQ18" s="537" t="s">
        <v>202</v>
      </c>
      <c r="BS18" s="534" t="s">
        <v>296</v>
      </c>
      <c r="BT18" s="535" t="s">
        <v>294</v>
      </c>
      <c r="BU18" s="535" t="s">
        <v>309</v>
      </c>
      <c r="BV18" s="535" t="s">
        <v>23</v>
      </c>
      <c r="BW18" s="535" t="s">
        <v>298</v>
      </c>
      <c r="BX18" s="535" t="s">
        <v>307</v>
      </c>
      <c r="BY18" s="535" t="s">
        <v>304</v>
      </c>
      <c r="BZ18" s="543" t="s">
        <v>305</v>
      </c>
      <c r="CA18" s="536">
        <v>49206.23234</v>
      </c>
      <c r="CB18" s="536">
        <v>9771.343176</v>
      </c>
      <c r="CC18" s="536">
        <v>107801.8927</v>
      </c>
      <c r="CD18" s="537" t="s">
        <v>202</v>
      </c>
      <c r="CE18" s="525"/>
    </row>
    <row r="19">
      <c r="A19" s="509"/>
      <c r="B19" s="544" t="s">
        <v>288</v>
      </c>
      <c r="C19" s="545" t="s">
        <v>289</v>
      </c>
      <c r="D19" s="545" t="s">
        <v>382</v>
      </c>
      <c r="E19" s="546">
        <v>2019.0</v>
      </c>
      <c r="F19" s="545" t="s">
        <v>291</v>
      </c>
      <c r="G19" s="545" t="s">
        <v>89</v>
      </c>
      <c r="H19" s="547">
        <v>1876730.396</v>
      </c>
      <c r="I19" s="547">
        <v>2062178.356</v>
      </c>
      <c r="J19" s="548">
        <v>1684709.055</v>
      </c>
      <c r="K19" s="516"/>
      <c r="L19" s="534" t="s">
        <v>292</v>
      </c>
      <c r="M19" s="535" t="s">
        <v>336</v>
      </c>
      <c r="N19" s="535" t="s">
        <v>294</v>
      </c>
      <c r="O19" s="535" t="s">
        <v>327</v>
      </c>
      <c r="P19" s="535" t="s">
        <v>296</v>
      </c>
      <c r="Q19" s="535" t="s">
        <v>89</v>
      </c>
      <c r="R19" s="535">
        <v>2019.0</v>
      </c>
      <c r="S19" s="536">
        <v>0.614439427491592</v>
      </c>
      <c r="T19" s="536">
        <v>1.75901242173889</v>
      </c>
      <c r="U19" s="537">
        <v>0.099574129</v>
      </c>
      <c r="W19" s="534" t="s">
        <v>292</v>
      </c>
      <c r="X19" s="535" t="s">
        <v>383</v>
      </c>
      <c r="Y19" s="535" t="s">
        <v>294</v>
      </c>
      <c r="Z19" s="535" t="s">
        <v>295</v>
      </c>
      <c r="AA19" s="535" t="s">
        <v>296</v>
      </c>
      <c r="AB19" s="535" t="s">
        <v>297</v>
      </c>
      <c r="AC19" s="535">
        <v>2019.0</v>
      </c>
      <c r="AD19" s="536">
        <v>8.492844246</v>
      </c>
      <c r="AE19" s="536">
        <v>63.94981206</v>
      </c>
      <c r="AF19" s="537">
        <v>0.06654296452</v>
      </c>
      <c r="AH19" s="549" t="s">
        <v>298</v>
      </c>
      <c r="AI19" s="550" t="s">
        <v>364</v>
      </c>
      <c r="AJ19" s="550" t="s">
        <v>294</v>
      </c>
      <c r="AK19" s="550" t="s">
        <v>300</v>
      </c>
      <c r="AL19" s="550" t="s">
        <v>296</v>
      </c>
      <c r="AM19" s="550" t="s">
        <v>297</v>
      </c>
      <c r="AN19" s="551">
        <v>2019.0</v>
      </c>
      <c r="AO19" s="552">
        <v>38701.09319</v>
      </c>
      <c r="AP19" s="552">
        <v>68331.53771</v>
      </c>
      <c r="AQ19" s="553">
        <v>19176.04463</v>
      </c>
      <c r="AS19" s="534" t="s">
        <v>296</v>
      </c>
      <c r="AT19" s="535" t="s">
        <v>294</v>
      </c>
      <c r="AU19" s="535" t="s">
        <v>332</v>
      </c>
      <c r="AV19" s="535" t="s">
        <v>333</v>
      </c>
      <c r="AW19" s="535" t="s">
        <v>292</v>
      </c>
      <c r="AX19" s="535" t="s">
        <v>89</v>
      </c>
      <c r="AY19" s="535" t="s">
        <v>304</v>
      </c>
      <c r="AZ19" s="543" t="s">
        <v>305</v>
      </c>
      <c r="BA19" s="536">
        <v>5953.919297</v>
      </c>
      <c r="BB19" s="536">
        <v>2305.231419</v>
      </c>
      <c r="BC19" s="536">
        <v>11625.70003</v>
      </c>
      <c r="BD19" s="537" t="s">
        <v>202</v>
      </c>
      <c r="BF19" s="534" t="s">
        <v>296</v>
      </c>
      <c r="BG19" s="535" t="s">
        <v>294</v>
      </c>
      <c r="BH19" s="535" t="s">
        <v>302</v>
      </c>
      <c r="BI19" s="535" t="s">
        <v>385</v>
      </c>
      <c r="BJ19" s="535" t="s">
        <v>292</v>
      </c>
      <c r="BK19" s="535" t="s">
        <v>307</v>
      </c>
      <c r="BL19" s="535" t="s">
        <v>304</v>
      </c>
      <c r="BM19" s="543" t="s">
        <v>305</v>
      </c>
      <c r="BN19" s="536">
        <v>368.7207888</v>
      </c>
      <c r="BO19" s="536">
        <v>110.4292833</v>
      </c>
      <c r="BP19" s="536">
        <v>807.6578332</v>
      </c>
      <c r="BQ19" s="537" t="s">
        <v>202</v>
      </c>
      <c r="BS19" s="534" t="s">
        <v>296</v>
      </c>
      <c r="BT19" s="535" t="s">
        <v>294</v>
      </c>
      <c r="BU19" s="535" t="s">
        <v>317</v>
      </c>
      <c r="BV19" s="535" t="s">
        <v>23</v>
      </c>
      <c r="BW19" s="535" t="s">
        <v>298</v>
      </c>
      <c r="BX19" s="535" t="s">
        <v>307</v>
      </c>
      <c r="BY19" s="535" t="s">
        <v>304</v>
      </c>
      <c r="BZ19" s="543" t="s">
        <v>305</v>
      </c>
      <c r="CA19" s="536">
        <v>20783.80124</v>
      </c>
      <c r="CB19" s="536">
        <v>5237.669253</v>
      </c>
      <c r="CC19" s="536">
        <v>47552.93604</v>
      </c>
      <c r="CD19" s="537" t="s">
        <v>202</v>
      </c>
      <c r="CE19" s="525"/>
    </row>
    <row r="20">
      <c r="A20" s="509"/>
      <c r="B20" s="526" t="s">
        <v>288</v>
      </c>
      <c r="C20" s="527" t="s">
        <v>289</v>
      </c>
      <c r="D20" s="527" t="s">
        <v>387</v>
      </c>
      <c r="E20" s="530">
        <v>2019.0</v>
      </c>
      <c r="F20" s="527" t="s">
        <v>291</v>
      </c>
      <c r="G20" s="527" t="s">
        <v>89</v>
      </c>
      <c r="H20" s="532">
        <v>1500016.743</v>
      </c>
      <c r="I20" s="532">
        <v>1648239.975</v>
      </c>
      <c r="J20" s="533">
        <v>1346539.596</v>
      </c>
      <c r="K20" s="516"/>
      <c r="L20" s="534" t="s">
        <v>292</v>
      </c>
      <c r="M20" s="535" t="s">
        <v>336</v>
      </c>
      <c r="N20" s="535" t="s">
        <v>294</v>
      </c>
      <c r="O20" s="535" t="s">
        <v>335</v>
      </c>
      <c r="P20" s="535" t="s">
        <v>296</v>
      </c>
      <c r="Q20" s="535" t="s">
        <v>89</v>
      </c>
      <c r="R20" s="535">
        <v>2019.0</v>
      </c>
      <c r="S20" s="536">
        <v>14.4094404620766</v>
      </c>
      <c r="T20" s="536">
        <v>40.7018558220511</v>
      </c>
      <c r="U20" s="537">
        <v>2.51779842665549</v>
      </c>
      <c r="W20" s="534" t="s">
        <v>292</v>
      </c>
      <c r="X20" s="535" t="s">
        <v>388</v>
      </c>
      <c r="Y20" s="535" t="s">
        <v>294</v>
      </c>
      <c r="Z20" s="535" t="s">
        <v>295</v>
      </c>
      <c r="AA20" s="535" t="s">
        <v>296</v>
      </c>
      <c r="AB20" s="535" t="s">
        <v>297</v>
      </c>
      <c r="AC20" s="535">
        <v>2019.0</v>
      </c>
      <c r="AD20" s="536">
        <v>185.047336</v>
      </c>
      <c r="AE20" s="536">
        <v>319.1905582</v>
      </c>
      <c r="AF20" s="537">
        <v>87.12915542</v>
      </c>
      <c r="AH20" s="538" t="s">
        <v>298</v>
      </c>
      <c r="AI20" s="539" t="s">
        <v>364</v>
      </c>
      <c r="AJ20" s="539" t="s">
        <v>294</v>
      </c>
      <c r="AK20" s="539" t="s">
        <v>323</v>
      </c>
      <c r="AL20" s="539" t="s">
        <v>296</v>
      </c>
      <c r="AM20" s="539" t="s">
        <v>297</v>
      </c>
      <c r="AN20" s="540">
        <v>2019.0</v>
      </c>
      <c r="AO20" s="541">
        <v>103407.8183</v>
      </c>
      <c r="AP20" s="541">
        <v>151826.25</v>
      </c>
      <c r="AQ20" s="542">
        <v>48968.68754</v>
      </c>
      <c r="AS20" s="534" t="s">
        <v>296</v>
      </c>
      <c r="AT20" s="535" t="s">
        <v>294</v>
      </c>
      <c r="AU20" s="535" t="s">
        <v>302</v>
      </c>
      <c r="AV20" s="535" t="s">
        <v>22</v>
      </c>
      <c r="AW20" s="535" t="s">
        <v>292</v>
      </c>
      <c r="AX20" s="535" t="s">
        <v>89</v>
      </c>
      <c r="AY20" s="535" t="s">
        <v>304</v>
      </c>
      <c r="AZ20" s="543" t="s">
        <v>305</v>
      </c>
      <c r="BA20" s="536">
        <v>3593.574945</v>
      </c>
      <c r="BB20" s="536">
        <v>931.1115452</v>
      </c>
      <c r="BC20" s="536">
        <v>8811.708351</v>
      </c>
      <c r="BD20" s="537" t="s">
        <v>202</v>
      </c>
      <c r="BF20" s="534" t="s">
        <v>296</v>
      </c>
      <c r="BG20" s="535" t="s">
        <v>294</v>
      </c>
      <c r="BH20" s="535" t="s">
        <v>302</v>
      </c>
      <c r="BI20" s="535" t="s">
        <v>390</v>
      </c>
      <c r="BJ20" s="535" t="s">
        <v>292</v>
      </c>
      <c r="BK20" s="535" t="s">
        <v>307</v>
      </c>
      <c r="BL20" s="535" t="s">
        <v>304</v>
      </c>
      <c r="BM20" s="543" t="s">
        <v>305</v>
      </c>
      <c r="BN20" s="536">
        <v>314.7592081</v>
      </c>
      <c r="BO20" s="536">
        <v>190.9894518</v>
      </c>
      <c r="BP20" s="536">
        <v>470.5117157</v>
      </c>
      <c r="BQ20" s="537" t="s">
        <v>202</v>
      </c>
      <c r="BS20" s="534" t="s">
        <v>296</v>
      </c>
      <c r="BT20" s="535" t="s">
        <v>294</v>
      </c>
      <c r="BU20" s="535" t="s">
        <v>309</v>
      </c>
      <c r="BV20" s="535" t="s">
        <v>357</v>
      </c>
      <c r="BW20" s="535" t="s">
        <v>298</v>
      </c>
      <c r="BX20" s="535" t="s">
        <v>307</v>
      </c>
      <c r="BY20" s="535" t="s">
        <v>304</v>
      </c>
      <c r="BZ20" s="543" t="s">
        <v>305</v>
      </c>
      <c r="CA20" s="536">
        <v>111885.1512</v>
      </c>
      <c r="CB20" s="536">
        <v>24025.89104</v>
      </c>
      <c r="CC20" s="536">
        <v>180373.3074</v>
      </c>
      <c r="CD20" s="537" t="s">
        <v>202</v>
      </c>
      <c r="CE20" s="525"/>
    </row>
    <row r="21">
      <c r="A21" s="509"/>
      <c r="B21" s="544" t="s">
        <v>288</v>
      </c>
      <c r="C21" s="545" t="s">
        <v>289</v>
      </c>
      <c r="D21" s="545" t="s">
        <v>392</v>
      </c>
      <c r="E21" s="546">
        <v>2019.0</v>
      </c>
      <c r="F21" s="545" t="s">
        <v>291</v>
      </c>
      <c r="G21" s="545" t="s">
        <v>89</v>
      </c>
      <c r="H21" s="547">
        <v>1319090.624</v>
      </c>
      <c r="I21" s="547">
        <v>1449435.753</v>
      </c>
      <c r="J21" s="548">
        <v>1184125.287</v>
      </c>
      <c r="K21" s="516"/>
      <c r="L21" s="534" t="s">
        <v>292</v>
      </c>
      <c r="M21" s="535" t="s">
        <v>336</v>
      </c>
      <c r="N21" s="535" t="s">
        <v>294</v>
      </c>
      <c r="O21" s="535" t="s">
        <v>300</v>
      </c>
      <c r="P21" s="535" t="s">
        <v>296</v>
      </c>
      <c r="Q21" s="535" t="s">
        <v>89</v>
      </c>
      <c r="R21" s="535">
        <v>2019.0</v>
      </c>
      <c r="S21" s="536">
        <v>1.103976259</v>
      </c>
      <c r="T21" s="536">
        <v>2.95425008900379</v>
      </c>
      <c r="U21" s="537">
        <v>0.199629952854835</v>
      </c>
      <c r="W21" s="534" t="s">
        <v>292</v>
      </c>
      <c r="X21" s="535" t="s">
        <v>393</v>
      </c>
      <c r="Y21" s="535" t="s">
        <v>294</v>
      </c>
      <c r="Z21" s="535" t="s">
        <v>295</v>
      </c>
      <c r="AA21" s="535" t="s">
        <v>296</v>
      </c>
      <c r="AB21" s="535" t="s">
        <v>297</v>
      </c>
      <c r="AC21" s="535">
        <v>2019.0</v>
      </c>
      <c r="AD21" s="536">
        <v>3.839970473</v>
      </c>
      <c r="AE21" s="536">
        <v>13.54479206</v>
      </c>
      <c r="AF21" s="537">
        <v>0.6267088503</v>
      </c>
      <c r="AH21" s="549" t="s">
        <v>298</v>
      </c>
      <c r="AI21" s="550" t="s">
        <v>394</v>
      </c>
      <c r="AJ21" s="550" t="s">
        <v>294</v>
      </c>
      <c r="AK21" s="550" t="s">
        <v>323</v>
      </c>
      <c r="AL21" s="550" t="s">
        <v>296</v>
      </c>
      <c r="AM21" s="550" t="s">
        <v>297</v>
      </c>
      <c r="AN21" s="551">
        <v>2019.0</v>
      </c>
      <c r="AO21" s="552">
        <v>48.9868263</v>
      </c>
      <c r="AP21" s="552">
        <v>119.5764182</v>
      </c>
      <c r="AQ21" s="553">
        <v>0.0</v>
      </c>
      <c r="AS21" s="534" t="s">
        <v>296</v>
      </c>
      <c r="AT21" s="535" t="s">
        <v>294</v>
      </c>
      <c r="AU21" s="535" t="s">
        <v>315</v>
      </c>
      <c r="AV21" s="535" t="s">
        <v>22</v>
      </c>
      <c r="AW21" s="535" t="s">
        <v>292</v>
      </c>
      <c r="AX21" s="535" t="s">
        <v>89</v>
      </c>
      <c r="AY21" s="535" t="s">
        <v>304</v>
      </c>
      <c r="AZ21" s="543" t="s">
        <v>305</v>
      </c>
      <c r="BA21" s="536">
        <v>77.56124047</v>
      </c>
      <c r="BB21" s="536">
        <v>18.06556928</v>
      </c>
      <c r="BC21" s="536">
        <v>213.9503318</v>
      </c>
      <c r="BD21" s="537" t="s">
        <v>202</v>
      </c>
      <c r="BF21" s="534" t="s">
        <v>296</v>
      </c>
      <c r="BG21" s="535" t="s">
        <v>294</v>
      </c>
      <c r="BH21" s="535" t="s">
        <v>302</v>
      </c>
      <c r="BI21" s="535" t="s">
        <v>396</v>
      </c>
      <c r="BJ21" s="535" t="s">
        <v>292</v>
      </c>
      <c r="BK21" s="535" t="s">
        <v>307</v>
      </c>
      <c r="BL21" s="535" t="s">
        <v>304</v>
      </c>
      <c r="BM21" s="543" t="s">
        <v>305</v>
      </c>
      <c r="BN21" s="536">
        <v>225.7980144</v>
      </c>
      <c r="BO21" s="536">
        <v>60.26787287</v>
      </c>
      <c r="BP21" s="536">
        <v>617.3631497</v>
      </c>
      <c r="BQ21" s="537" t="s">
        <v>202</v>
      </c>
      <c r="BS21" s="534" t="s">
        <v>296</v>
      </c>
      <c r="BT21" s="535" t="s">
        <v>294</v>
      </c>
      <c r="BU21" s="535" t="s">
        <v>317</v>
      </c>
      <c r="BV21" s="535" t="s">
        <v>357</v>
      </c>
      <c r="BW21" s="535" t="s">
        <v>298</v>
      </c>
      <c r="BX21" s="535" t="s">
        <v>307</v>
      </c>
      <c r="BY21" s="535" t="s">
        <v>304</v>
      </c>
      <c r="BZ21" s="543" t="s">
        <v>305</v>
      </c>
      <c r="CA21" s="536">
        <v>42738.32019</v>
      </c>
      <c r="CB21" s="536">
        <v>17109.47778</v>
      </c>
      <c r="CC21" s="536">
        <v>82941.55387</v>
      </c>
      <c r="CD21" s="537" t="s">
        <v>202</v>
      </c>
      <c r="CE21" s="525"/>
    </row>
    <row r="22">
      <c r="A22" s="509"/>
      <c r="B22" s="526" t="s">
        <v>288</v>
      </c>
      <c r="C22" s="527" t="s">
        <v>289</v>
      </c>
      <c r="D22" s="527" t="s">
        <v>398</v>
      </c>
      <c r="E22" s="530">
        <v>2019.0</v>
      </c>
      <c r="F22" s="527" t="s">
        <v>291</v>
      </c>
      <c r="G22" s="527" t="s">
        <v>89</v>
      </c>
      <c r="H22" s="532">
        <v>1006125.299</v>
      </c>
      <c r="I22" s="532">
        <v>1105544.952</v>
      </c>
      <c r="J22" s="533">
        <v>903181.6216</v>
      </c>
      <c r="K22" s="516"/>
      <c r="L22" s="534" t="s">
        <v>292</v>
      </c>
      <c r="M22" s="535" t="s">
        <v>399</v>
      </c>
      <c r="N22" s="535" t="s">
        <v>294</v>
      </c>
      <c r="O22" s="535" t="s">
        <v>335</v>
      </c>
      <c r="P22" s="535" t="s">
        <v>296</v>
      </c>
      <c r="Q22" s="535" t="s">
        <v>89</v>
      </c>
      <c r="R22" s="535">
        <v>2019.0</v>
      </c>
      <c r="S22" s="536">
        <v>583.778714577283</v>
      </c>
      <c r="T22" s="536">
        <v>1562.90860062015</v>
      </c>
      <c r="U22" s="537">
        <v>116.196225110464</v>
      </c>
      <c r="W22" s="592" t="s">
        <v>292</v>
      </c>
      <c r="X22" s="593" t="s">
        <v>394</v>
      </c>
      <c r="Y22" s="593" t="s">
        <v>294</v>
      </c>
      <c r="Z22" s="593" t="s">
        <v>295</v>
      </c>
      <c r="AA22" s="593" t="s">
        <v>296</v>
      </c>
      <c r="AB22" s="593" t="s">
        <v>297</v>
      </c>
      <c r="AC22" s="595">
        <v>2019.0</v>
      </c>
      <c r="AD22" s="596">
        <v>2.823546176</v>
      </c>
      <c r="AE22" s="596">
        <v>10.13413898</v>
      </c>
      <c r="AF22" s="597">
        <v>0.0</v>
      </c>
      <c r="AH22" s="538" t="s">
        <v>298</v>
      </c>
      <c r="AI22" s="539" t="s">
        <v>388</v>
      </c>
      <c r="AJ22" s="539" t="s">
        <v>294</v>
      </c>
      <c r="AK22" s="539" t="s">
        <v>323</v>
      </c>
      <c r="AL22" s="539" t="s">
        <v>296</v>
      </c>
      <c r="AM22" s="539" t="s">
        <v>297</v>
      </c>
      <c r="AN22" s="540">
        <v>2019.0</v>
      </c>
      <c r="AO22" s="541">
        <v>87062.80827</v>
      </c>
      <c r="AP22" s="541">
        <v>140160.3077</v>
      </c>
      <c r="AQ22" s="542">
        <v>20899.07373</v>
      </c>
      <c r="AS22" s="534" t="s">
        <v>296</v>
      </c>
      <c r="AT22" s="535" t="s">
        <v>294</v>
      </c>
      <c r="AU22" s="535" t="s">
        <v>325</v>
      </c>
      <c r="AV22" s="535" t="s">
        <v>22</v>
      </c>
      <c r="AW22" s="535" t="s">
        <v>292</v>
      </c>
      <c r="AX22" s="535" t="s">
        <v>89</v>
      </c>
      <c r="AY22" s="535" t="s">
        <v>304</v>
      </c>
      <c r="AZ22" s="543" t="s">
        <v>305</v>
      </c>
      <c r="BA22" s="536">
        <v>514.1128436</v>
      </c>
      <c r="BB22" s="536">
        <v>116.3540079</v>
      </c>
      <c r="BC22" s="536">
        <v>1447.961248</v>
      </c>
      <c r="BD22" s="537" t="s">
        <v>202</v>
      </c>
      <c r="BF22" s="534" t="s">
        <v>296</v>
      </c>
      <c r="BG22" s="535" t="s">
        <v>294</v>
      </c>
      <c r="BH22" s="535" t="s">
        <v>302</v>
      </c>
      <c r="BI22" s="535" t="s">
        <v>400</v>
      </c>
      <c r="BJ22" s="535" t="s">
        <v>292</v>
      </c>
      <c r="BK22" s="535" t="s">
        <v>307</v>
      </c>
      <c r="BL22" s="535" t="s">
        <v>304</v>
      </c>
      <c r="BM22" s="543" t="s">
        <v>305</v>
      </c>
      <c r="BN22" s="536">
        <v>328.4848914</v>
      </c>
      <c r="BO22" s="536">
        <v>109.3929586</v>
      </c>
      <c r="BP22" s="536">
        <v>656.8331937</v>
      </c>
      <c r="BQ22" s="537" t="s">
        <v>202</v>
      </c>
      <c r="BS22" s="534" t="s">
        <v>296</v>
      </c>
      <c r="BT22" s="535" t="s">
        <v>294</v>
      </c>
      <c r="BU22" s="535" t="s">
        <v>309</v>
      </c>
      <c r="BV22" s="535" t="s">
        <v>361</v>
      </c>
      <c r="BW22" s="535" t="s">
        <v>298</v>
      </c>
      <c r="BX22" s="535" t="s">
        <v>307</v>
      </c>
      <c r="BY22" s="535" t="s">
        <v>304</v>
      </c>
      <c r="BZ22" s="543" t="s">
        <v>305</v>
      </c>
      <c r="CA22" s="536">
        <v>65190.01749</v>
      </c>
      <c r="CB22" s="536">
        <v>10555.78853</v>
      </c>
      <c r="CC22" s="536">
        <v>163917.1294</v>
      </c>
      <c r="CD22" s="537" t="s">
        <v>202</v>
      </c>
      <c r="CE22" s="525"/>
    </row>
    <row r="23">
      <c r="A23" s="509"/>
      <c r="B23" s="544" t="s">
        <v>288</v>
      </c>
      <c r="C23" s="545" t="s">
        <v>289</v>
      </c>
      <c r="D23" s="545" t="s">
        <v>402</v>
      </c>
      <c r="E23" s="546">
        <v>2019.0</v>
      </c>
      <c r="F23" s="545" t="s">
        <v>291</v>
      </c>
      <c r="G23" s="545" t="s">
        <v>89</v>
      </c>
      <c r="H23" s="547">
        <v>1.190839292E7</v>
      </c>
      <c r="I23" s="547">
        <v>1.308591306E7</v>
      </c>
      <c r="J23" s="548">
        <v>1.069019857E7</v>
      </c>
      <c r="K23" s="516"/>
      <c r="L23" s="534" t="s">
        <v>292</v>
      </c>
      <c r="M23" s="535" t="s">
        <v>399</v>
      </c>
      <c r="N23" s="535" t="s">
        <v>294</v>
      </c>
      <c r="O23" s="535" t="s">
        <v>300</v>
      </c>
      <c r="P23" s="535" t="s">
        <v>296</v>
      </c>
      <c r="Q23" s="535" t="s">
        <v>89</v>
      </c>
      <c r="R23" s="535">
        <v>2019.0</v>
      </c>
      <c r="S23" s="536">
        <v>19.1006856044871</v>
      </c>
      <c r="T23" s="536">
        <v>54.1880830238335</v>
      </c>
      <c r="U23" s="537">
        <v>3.535673129</v>
      </c>
      <c r="W23" s="534" t="s">
        <v>292</v>
      </c>
      <c r="X23" s="535" t="s">
        <v>370</v>
      </c>
      <c r="Y23" s="535" t="s">
        <v>294</v>
      </c>
      <c r="Z23" s="535" t="s">
        <v>295</v>
      </c>
      <c r="AA23" s="535" t="s">
        <v>296</v>
      </c>
      <c r="AB23" s="535" t="s">
        <v>297</v>
      </c>
      <c r="AC23" s="535">
        <v>2019.0</v>
      </c>
      <c r="AD23" s="536">
        <v>67.83976118</v>
      </c>
      <c r="AE23" s="536">
        <v>177.8895083</v>
      </c>
      <c r="AF23" s="537">
        <v>13.42626685</v>
      </c>
      <c r="AH23" s="549" t="s">
        <v>298</v>
      </c>
      <c r="AI23" s="550" t="s">
        <v>370</v>
      </c>
      <c r="AJ23" s="550" t="s">
        <v>294</v>
      </c>
      <c r="AK23" s="550" t="s">
        <v>300</v>
      </c>
      <c r="AL23" s="550" t="s">
        <v>296</v>
      </c>
      <c r="AM23" s="550" t="s">
        <v>297</v>
      </c>
      <c r="AN23" s="551">
        <v>2019.0</v>
      </c>
      <c r="AO23" s="552">
        <v>6213.620186</v>
      </c>
      <c r="AP23" s="552">
        <v>18261.97899</v>
      </c>
      <c r="AQ23" s="553">
        <v>1719.734869</v>
      </c>
      <c r="AS23" s="534" t="s">
        <v>296</v>
      </c>
      <c r="AT23" s="535" t="s">
        <v>294</v>
      </c>
      <c r="AU23" s="535" t="s">
        <v>332</v>
      </c>
      <c r="AV23" s="535" t="s">
        <v>22</v>
      </c>
      <c r="AW23" s="535" t="s">
        <v>292</v>
      </c>
      <c r="AX23" s="535" t="s">
        <v>89</v>
      </c>
      <c r="AY23" s="535" t="s">
        <v>304</v>
      </c>
      <c r="AZ23" s="543" t="s">
        <v>305</v>
      </c>
      <c r="BA23" s="536">
        <v>4545.106485</v>
      </c>
      <c r="BB23" s="536">
        <v>1157.33622</v>
      </c>
      <c r="BC23" s="536">
        <v>11129.60782</v>
      </c>
      <c r="BD23" s="537" t="s">
        <v>202</v>
      </c>
      <c r="BF23" s="534" t="s">
        <v>296</v>
      </c>
      <c r="BG23" s="535" t="s">
        <v>294</v>
      </c>
      <c r="BH23" s="535" t="s">
        <v>302</v>
      </c>
      <c r="BI23" s="535" t="s">
        <v>405</v>
      </c>
      <c r="BJ23" s="535" t="s">
        <v>292</v>
      </c>
      <c r="BK23" s="535" t="s">
        <v>307</v>
      </c>
      <c r="BL23" s="535" t="s">
        <v>304</v>
      </c>
      <c r="BM23" s="543" t="s">
        <v>305</v>
      </c>
      <c r="BN23" s="536">
        <v>227.9717319</v>
      </c>
      <c r="BO23" s="536">
        <v>44.86113838</v>
      </c>
      <c r="BP23" s="536">
        <v>648.1732551</v>
      </c>
      <c r="BQ23" s="537" t="s">
        <v>202</v>
      </c>
      <c r="BS23" s="534" t="s">
        <v>296</v>
      </c>
      <c r="BT23" s="535" t="s">
        <v>294</v>
      </c>
      <c r="BU23" s="535" t="s">
        <v>317</v>
      </c>
      <c r="BV23" s="535" t="s">
        <v>361</v>
      </c>
      <c r="BW23" s="535" t="s">
        <v>298</v>
      </c>
      <c r="BX23" s="535" t="s">
        <v>307</v>
      </c>
      <c r="BY23" s="535" t="s">
        <v>304</v>
      </c>
      <c r="BZ23" s="543" t="s">
        <v>305</v>
      </c>
      <c r="CA23" s="536">
        <v>25312.4332</v>
      </c>
      <c r="CB23" s="536">
        <v>7309.024593</v>
      </c>
      <c r="CC23" s="536">
        <v>64333.24428</v>
      </c>
      <c r="CD23" s="537" t="s">
        <v>202</v>
      </c>
      <c r="CE23" s="525"/>
    </row>
    <row r="24">
      <c r="A24" s="509"/>
      <c r="B24" s="526" t="s">
        <v>288</v>
      </c>
      <c r="C24" s="527" t="s">
        <v>289</v>
      </c>
      <c r="D24" s="527" t="s">
        <v>407</v>
      </c>
      <c r="E24" s="530">
        <v>2019.0</v>
      </c>
      <c r="F24" s="527" t="s">
        <v>291</v>
      </c>
      <c r="G24" s="527" t="s">
        <v>89</v>
      </c>
      <c r="H24" s="532">
        <v>4841713.784</v>
      </c>
      <c r="I24" s="532">
        <v>5320144.755</v>
      </c>
      <c r="J24" s="533">
        <v>4346324.369</v>
      </c>
      <c r="K24" s="516"/>
      <c r="L24" s="534" t="s">
        <v>292</v>
      </c>
      <c r="M24" s="535" t="s">
        <v>299</v>
      </c>
      <c r="N24" s="535" t="s">
        <v>294</v>
      </c>
      <c r="O24" s="535" t="s">
        <v>295</v>
      </c>
      <c r="P24" s="535" t="s">
        <v>296</v>
      </c>
      <c r="Q24" s="535" t="s">
        <v>89</v>
      </c>
      <c r="R24" s="535">
        <v>2019.0</v>
      </c>
      <c r="S24" s="536">
        <v>9702.45218260774</v>
      </c>
      <c r="T24" s="536">
        <v>20848.6177175485</v>
      </c>
      <c r="U24" s="537">
        <v>3905.23859111856</v>
      </c>
      <c r="W24" s="534" t="s">
        <v>292</v>
      </c>
      <c r="X24" s="535" t="s">
        <v>409</v>
      </c>
      <c r="Y24" s="535" t="s">
        <v>294</v>
      </c>
      <c r="Z24" s="535" t="s">
        <v>295</v>
      </c>
      <c r="AA24" s="535" t="s">
        <v>296</v>
      </c>
      <c r="AB24" s="535" t="s">
        <v>297</v>
      </c>
      <c r="AC24" s="535">
        <v>2019.0</v>
      </c>
      <c r="AD24" s="536">
        <v>113.0407758</v>
      </c>
      <c r="AE24" s="536">
        <v>226.2752797</v>
      </c>
      <c r="AF24" s="537">
        <v>44.55193684</v>
      </c>
      <c r="AH24" s="538" t="s">
        <v>298</v>
      </c>
      <c r="AI24" s="539" t="s">
        <v>410</v>
      </c>
      <c r="AJ24" s="539" t="s">
        <v>294</v>
      </c>
      <c r="AK24" s="539" t="s">
        <v>323</v>
      </c>
      <c r="AL24" s="539" t="s">
        <v>296</v>
      </c>
      <c r="AM24" s="539" t="s">
        <v>297</v>
      </c>
      <c r="AN24" s="540">
        <v>2019.0</v>
      </c>
      <c r="AO24" s="541">
        <v>54704.02156</v>
      </c>
      <c r="AP24" s="541">
        <v>86260.923</v>
      </c>
      <c r="AQ24" s="542">
        <v>25513.48161</v>
      </c>
      <c r="AS24" s="534" t="s">
        <v>296</v>
      </c>
      <c r="AT24" s="535" t="s">
        <v>294</v>
      </c>
      <c r="AU24" s="535" t="s">
        <v>302</v>
      </c>
      <c r="AV24" s="535" t="s">
        <v>342</v>
      </c>
      <c r="AW24" s="535" t="s">
        <v>292</v>
      </c>
      <c r="AX24" s="535" t="s">
        <v>89</v>
      </c>
      <c r="AY24" s="535" t="s">
        <v>304</v>
      </c>
      <c r="AZ24" s="543" t="s">
        <v>305</v>
      </c>
      <c r="BA24" s="536">
        <v>221.3308145</v>
      </c>
      <c r="BB24" s="536">
        <v>89.07955795</v>
      </c>
      <c r="BC24" s="536">
        <v>399.8050802</v>
      </c>
      <c r="BD24" s="537" t="s">
        <v>202</v>
      </c>
      <c r="BF24" s="534" t="s">
        <v>296</v>
      </c>
      <c r="BG24" s="535" t="s">
        <v>294</v>
      </c>
      <c r="BH24" s="535" t="s">
        <v>302</v>
      </c>
      <c r="BI24" s="535" t="s">
        <v>412</v>
      </c>
      <c r="BJ24" s="535" t="s">
        <v>292</v>
      </c>
      <c r="BK24" s="535" t="s">
        <v>307</v>
      </c>
      <c r="BL24" s="535" t="s">
        <v>304</v>
      </c>
      <c r="BM24" s="543" t="s">
        <v>305</v>
      </c>
      <c r="BN24" s="536">
        <v>214.1703285</v>
      </c>
      <c r="BO24" s="536">
        <v>41.54698311</v>
      </c>
      <c r="BP24" s="536">
        <v>538.6259197</v>
      </c>
      <c r="BQ24" s="537" t="s">
        <v>202</v>
      </c>
      <c r="BS24" s="534" t="s">
        <v>296</v>
      </c>
      <c r="BT24" s="535" t="s">
        <v>294</v>
      </c>
      <c r="BU24" s="535" t="s">
        <v>309</v>
      </c>
      <c r="BV24" s="535" t="s">
        <v>365</v>
      </c>
      <c r="BW24" s="535" t="s">
        <v>298</v>
      </c>
      <c r="BX24" s="535" t="s">
        <v>307</v>
      </c>
      <c r="BY24" s="535" t="s">
        <v>304</v>
      </c>
      <c r="BZ24" s="543" t="s">
        <v>305</v>
      </c>
      <c r="CA24" s="536">
        <v>109060.3913</v>
      </c>
      <c r="CB24" s="536">
        <v>22704.01043</v>
      </c>
      <c r="CC24" s="536">
        <v>180719.8207</v>
      </c>
      <c r="CD24" s="537" t="s">
        <v>202</v>
      </c>
      <c r="CE24" s="525"/>
    </row>
    <row r="25">
      <c r="A25" s="509"/>
      <c r="B25" s="544" t="s">
        <v>288</v>
      </c>
      <c r="C25" s="545" t="s">
        <v>289</v>
      </c>
      <c r="D25" s="545" t="s">
        <v>414</v>
      </c>
      <c r="E25" s="546">
        <v>2019.0</v>
      </c>
      <c r="F25" s="545" t="s">
        <v>291</v>
      </c>
      <c r="G25" s="545" t="s">
        <v>89</v>
      </c>
      <c r="H25" s="547">
        <v>819433.9589</v>
      </c>
      <c r="I25" s="547">
        <v>900405.8217</v>
      </c>
      <c r="J25" s="548">
        <v>735591.9708</v>
      </c>
      <c r="K25" s="516"/>
      <c r="L25" s="534" t="s">
        <v>292</v>
      </c>
      <c r="M25" s="535" t="s">
        <v>299</v>
      </c>
      <c r="N25" s="535" t="s">
        <v>294</v>
      </c>
      <c r="O25" s="535" t="s">
        <v>311</v>
      </c>
      <c r="P25" s="535" t="s">
        <v>296</v>
      </c>
      <c r="Q25" s="535" t="s">
        <v>89</v>
      </c>
      <c r="R25" s="535">
        <v>2019.0</v>
      </c>
      <c r="S25" s="536">
        <v>0.0</v>
      </c>
      <c r="T25" s="536">
        <v>0.0</v>
      </c>
      <c r="U25" s="537">
        <v>0.0</v>
      </c>
      <c r="W25" s="534" t="s">
        <v>292</v>
      </c>
      <c r="X25" s="535" t="s">
        <v>293</v>
      </c>
      <c r="Y25" s="535" t="s">
        <v>294</v>
      </c>
      <c r="Z25" s="535" t="s">
        <v>295</v>
      </c>
      <c r="AA25" s="535" t="s">
        <v>296</v>
      </c>
      <c r="AB25" s="535" t="s">
        <v>297</v>
      </c>
      <c r="AC25" s="535">
        <v>2019.0</v>
      </c>
      <c r="AD25" s="536">
        <v>41.95636678</v>
      </c>
      <c r="AE25" s="536">
        <v>136.3184763</v>
      </c>
      <c r="AF25" s="537">
        <v>10.69778506</v>
      </c>
      <c r="AH25" s="549" t="s">
        <v>298</v>
      </c>
      <c r="AI25" s="550" t="s">
        <v>388</v>
      </c>
      <c r="AJ25" s="550" t="s">
        <v>294</v>
      </c>
      <c r="AK25" s="550" t="s">
        <v>300</v>
      </c>
      <c r="AL25" s="550" t="s">
        <v>296</v>
      </c>
      <c r="AM25" s="550" t="s">
        <v>297</v>
      </c>
      <c r="AN25" s="551">
        <v>2019.0</v>
      </c>
      <c r="AO25" s="552">
        <v>31988.6589</v>
      </c>
      <c r="AP25" s="552">
        <v>66674.52184</v>
      </c>
      <c r="AQ25" s="553">
        <v>12536.08057</v>
      </c>
      <c r="AS25" s="534" t="s">
        <v>296</v>
      </c>
      <c r="AT25" s="535" t="s">
        <v>294</v>
      </c>
      <c r="AU25" s="535" t="s">
        <v>315</v>
      </c>
      <c r="AV25" s="535" t="s">
        <v>342</v>
      </c>
      <c r="AW25" s="535" t="s">
        <v>292</v>
      </c>
      <c r="AX25" s="535" t="s">
        <v>89</v>
      </c>
      <c r="AY25" s="535" t="s">
        <v>304</v>
      </c>
      <c r="AZ25" s="543" t="s">
        <v>305</v>
      </c>
      <c r="BA25" s="536">
        <v>12.09359303</v>
      </c>
      <c r="BB25" s="536">
        <v>3.789783646</v>
      </c>
      <c r="BC25" s="536">
        <v>26.47045369</v>
      </c>
      <c r="BD25" s="537" t="s">
        <v>202</v>
      </c>
      <c r="BF25" s="534" t="s">
        <v>296</v>
      </c>
      <c r="BG25" s="535" t="s">
        <v>294</v>
      </c>
      <c r="BH25" s="535" t="s">
        <v>302</v>
      </c>
      <c r="BI25" s="535" t="s">
        <v>25</v>
      </c>
      <c r="BJ25" s="535" t="s">
        <v>292</v>
      </c>
      <c r="BK25" s="535" t="s">
        <v>307</v>
      </c>
      <c r="BL25" s="535" t="s">
        <v>304</v>
      </c>
      <c r="BM25" s="543" t="s">
        <v>305</v>
      </c>
      <c r="BN25" s="536">
        <v>331.5302296</v>
      </c>
      <c r="BO25" s="536">
        <v>99.11261271</v>
      </c>
      <c r="BP25" s="536">
        <v>678.9561148</v>
      </c>
      <c r="BQ25" s="537" t="s">
        <v>202</v>
      </c>
      <c r="BS25" s="534" t="s">
        <v>296</v>
      </c>
      <c r="BT25" s="535" t="s">
        <v>294</v>
      </c>
      <c r="BU25" s="535" t="s">
        <v>317</v>
      </c>
      <c r="BV25" s="535" t="s">
        <v>365</v>
      </c>
      <c r="BW25" s="535" t="s">
        <v>298</v>
      </c>
      <c r="BX25" s="535" t="s">
        <v>307</v>
      </c>
      <c r="BY25" s="535" t="s">
        <v>304</v>
      </c>
      <c r="BZ25" s="543" t="s">
        <v>305</v>
      </c>
      <c r="CA25" s="536">
        <v>41945.05334</v>
      </c>
      <c r="CB25" s="536">
        <v>12985.15877</v>
      </c>
      <c r="CC25" s="536">
        <v>89364.58948</v>
      </c>
      <c r="CD25" s="537" t="s">
        <v>202</v>
      </c>
      <c r="CE25" s="525"/>
    </row>
    <row r="26">
      <c r="A26" s="509"/>
      <c r="B26" s="526" t="s">
        <v>288</v>
      </c>
      <c r="C26" s="527" t="s">
        <v>289</v>
      </c>
      <c r="D26" s="527" t="s">
        <v>417</v>
      </c>
      <c r="E26" s="530">
        <v>2019.0</v>
      </c>
      <c r="F26" s="527" t="s">
        <v>291</v>
      </c>
      <c r="G26" s="527" t="s">
        <v>89</v>
      </c>
      <c r="H26" s="532">
        <v>2243846.958</v>
      </c>
      <c r="I26" s="532">
        <v>2465571.315</v>
      </c>
      <c r="J26" s="533">
        <v>2014263.368</v>
      </c>
      <c r="K26" s="516"/>
      <c r="L26" s="534" t="s">
        <v>292</v>
      </c>
      <c r="M26" s="535" t="s">
        <v>299</v>
      </c>
      <c r="N26" s="535" t="s">
        <v>294</v>
      </c>
      <c r="O26" s="535" t="s">
        <v>319</v>
      </c>
      <c r="P26" s="535" t="s">
        <v>296</v>
      </c>
      <c r="Q26" s="535" t="s">
        <v>89</v>
      </c>
      <c r="R26" s="535">
        <v>2019.0</v>
      </c>
      <c r="S26" s="536">
        <v>281.825457233029</v>
      </c>
      <c r="T26" s="536">
        <v>723.239555403153</v>
      </c>
      <c r="U26" s="537">
        <v>97.8466662435546</v>
      </c>
      <c r="W26" s="534" t="s">
        <v>292</v>
      </c>
      <c r="X26" s="535" t="s">
        <v>419</v>
      </c>
      <c r="Y26" s="535" t="s">
        <v>294</v>
      </c>
      <c r="Z26" s="535" t="s">
        <v>295</v>
      </c>
      <c r="AA26" s="535" t="s">
        <v>296</v>
      </c>
      <c r="AB26" s="535" t="s">
        <v>297</v>
      </c>
      <c r="AC26" s="535">
        <v>2019.0</v>
      </c>
      <c r="AD26" s="536">
        <v>254.6623424</v>
      </c>
      <c r="AE26" s="536">
        <v>432.890578</v>
      </c>
      <c r="AF26" s="537">
        <v>117.8801943</v>
      </c>
      <c r="AH26" s="538" t="s">
        <v>298</v>
      </c>
      <c r="AI26" s="539" t="s">
        <v>420</v>
      </c>
      <c r="AJ26" s="539" t="s">
        <v>294</v>
      </c>
      <c r="AK26" s="539" t="s">
        <v>323</v>
      </c>
      <c r="AL26" s="539" t="s">
        <v>296</v>
      </c>
      <c r="AM26" s="539" t="s">
        <v>297</v>
      </c>
      <c r="AN26" s="540">
        <v>2019.0</v>
      </c>
      <c r="AO26" s="541">
        <v>897.2866771</v>
      </c>
      <c r="AP26" s="541">
        <v>1801.579421</v>
      </c>
      <c r="AQ26" s="542">
        <v>406.854001</v>
      </c>
      <c r="AS26" s="534" t="s">
        <v>296</v>
      </c>
      <c r="AT26" s="535" t="s">
        <v>294</v>
      </c>
      <c r="AU26" s="535" t="s">
        <v>325</v>
      </c>
      <c r="AV26" s="535" t="s">
        <v>342</v>
      </c>
      <c r="AW26" s="535" t="s">
        <v>292</v>
      </c>
      <c r="AX26" s="535" t="s">
        <v>89</v>
      </c>
      <c r="AY26" s="535" t="s">
        <v>304</v>
      </c>
      <c r="AZ26" s="543" t="s">
        <v>305</v>
      </c>
      <c r="BA26" s="536">
        <v>63.88359727</v>
      </c>
      <c r="BB26" s="536">
        <v>22.42239575</v>
      </c>
      <c r="BC26" s="536">
        <v>130.5195493</v>
      </c>
      <c r="BD26" s="537" t="s">
        <v>202</v>
      </c>
      <c r="BF26" s="534" t="s">
        <v>296</v>
      </c>
      <c r="BG26" s="535" t="s">
        <v>294</v>
      </c>
      <c r="BH26" s="535" t="s">
        <v>302</v>
      </c>
      <c r="BI26" s="535" t="s">
        <v>26</v>
      </c>
      <c r="BJ26" s="535" t="s">
        <v>292</v>
      </c>
      <c r="BK26" s="535" t="s">
        <v>307</v>
      </c>
      <c r="BL26" s="535" t="s">
        <v>304</v>
      </c>
      <c r="BM26" s="543" t="s">
        <v>305</v>
      </c>
      <c r="BN26" s="536">
        <v>240.036585</v>
      </c>
      <c r="BO26" s="536">
        <v>111.2518918</v>
      </c>
      <c r="BP26" s="536">
        <v>418.9147698</v>
      </c>
      <c r="BQ26" s="537" t="s">
        <v>202</v>
      </c>
      <c r="BS26" s="534" t="s">
        <v>296</v>
      </c>
      <c r="BT26" s="535" t="s">
        <v>294</v>
      </c>
      <c r="BU26" s="535" t="s">
        <v>309</v>
      </c>
      <c r="BV26" s="535" t="s">
        <v>367</v>
      </c>
      <c r="BW26" s="535" t="s">
        <v>298</v>
      </c>
      <c r="BX26" s="535" t="s">
        <v>307</v>
      </c>
      <c r="BY26" s="535" t="s">
        <v>304</v>
      </c>
      <c r="BZ26" s="543" t="s">
        <v>305</v>
      </c>
      <c r="CA26" s="536">
        <v>81110.50365</v>
      </c>
      <c r="CB26" s="536">
        <v>15201.71027</v>
      </c>
      <c r="CC26" s="536">
        <v>172840.364</v>
      </c>
      <c r="CD26" s="537" t="s">
        <v>202</v>
      </c>
      <c r="CE26" s="525"/>
    </row>
    <row r="27">
      <c r="A27" s="509"/>
      <c r="B27" s="544" t="s">
        <v>288</v>
      </c>
      <c r="C27" s="545" t="s">
        <v>289</v>
      </c>
      <c r="D27" s="545" t="s">
        <v>300</v>
      </c>
      <c r="E27" s="546">
        <v>2019.0</v>
      </c>
      <c r="F27" s="545" t="s">
        <v>291</v>
      </c>
      <c r="G27" s="545" t="s">
        <v>89</v>
      </c>
      <c r="H27" s="547">
        <v>8840185.714</v>
      </c>
      <c r="I27" s="547">
        <v>9713723.229</v>
      </c>
      <c r="J27" s="548">
        <v>7935684.823</v>
      </c>
      <c r="K27" s="516"/>
      <c r="L27" s="534" t="s">
        <v>292</v>
      </c>
      <c r="M27" s="535" t="s">
        <v>299</v>
      </c>
      <c r="N27" s="535" t="s">
        <v>294</v>
      </c>
      <c r="O27" s="535" t="s">
        <v>327</v>
      </c>
      <c r="P27" s="535" t="s">
        <v>296</v>
      </c>
      <c r="Q27" s="535" t="s">
        <v>89</v>
      </c>
      <c r="R27" s="535">
        <v>2019.0</v>
      </c>
      <c r="S27" s="536">
        <v>4652.94664768511</v>
      </c>
      <c r="T27" s="536">
        <v>9326.868721</v>
      </c>
      <c r="U27" s="537">
        <v>1930.58232101828</v>
      </c>
      <c r="W27" s="534" t="s">
        <v>292</v>
      </c>
      <c r="X27" s="535" t="s">
        <v>426</v>
      </c>
      <c r="Y27" s="535" t="s">
        <v>294</v>
      </c>
      <c r="Z27" s="535" t="s">
        <v>295</v>
      </c>
      <c r="AA27" s="535" t="s">
        <v>296</v>
      </c>
      <c r="AB27" s="535" t="s">
        <v>297</v>
      </c>
      <c r="AC27" s="535">
        <v>2019.0</v>
      </c>
      <c r="AD27" s="536">
        <v>381.6890028</v>
      </c>
      <c r="AE27" s="536">
        <v>712.8901937</v>
      </c>
      <c r="AF27" s="537">
        <v>150.3459635</v>
      </c>
      <c r="AH27" s="549" t="s">
        <v>298</v>
      </c>
      <c r="AI27" s="550" t="s">
        <v>394</v>
      </c>
      <c r="AJ27" s="550" t="s">
        <v>294</v>
      </c>
      <c r="AK27" s="550" t="s">
        <v>300</v>
      </c>
      <c r="AL27" s="550" t="s">
        <v>296</v>
      </c>
      <c r="AM27" s="550" t="s">
        <v>297</v>
      </c>
      <c r="AN27" s="551">
        <v>2019.0</v>
      </c>
      <c r="AO27" s="552">
        <v>82.31938399</v>
      </c>
      <c r="AP27" s="552">
        <v>193.958058</v>
      </c>
      <c r="AQ27" s="553">
        <v>0.0</v>
      </c>
      <c r="AS27" s="534" t="s">
        <v>296</v>
      </c>
      <c r="AT27" s="535" t="s">
        <v>294</v>
      </c>
      <c r="AU27" s="535" t="s">
        <v>332</v>
      </c>
      <c r="AV27" s="535" t="s">
        <v>342</v>
      </c>
      <c r="AW27" s="535" t="s">
        <v>292</v>
      </c>
      <c r="AX27" s="535" t="s">
        <v>89</v>
      </c>
      <c r="AY27" s="535" t="s">
        <v>304</v>
      </c>
      <c r="AZ27" s="543" t="s">
        <v>305</v>
      </c>
      <c r="BA27" s="536">
        <v>577.5511471</v>
      </c>
      <c r="BB27" s="536">
        <v>212.1041019</v>
      </c>
      <c r="BC27" s="536">
        <v>1160.68914</v>
      </c>
      <c r="BD27" s="537" t="s">
        <v>202</v>
      </c>
      <c r="BF27" s="534" t="s">
        <v>296</v>
      </c>
      <c r="BG27" s="535" t="s">
        <v>294</v>
      </c>
      <c r="BH27" s="535" t="s">
        <v>302</v>
      </c>
      <c r="BI27" s="535" t="s">
        <v>427</v>
      </c>
      <c r="BJ27" s="535" t="s">
        <v>292</v>
      </c>
      <c r="BK27" s="535" t="s">
        <v>307</v>
      </c>
      <c r="BL27" s="535" t="s">
        <v>304</v>
      </c>
      <c r="BM27" s="543" t="s">
        <v>305</v>
      </c>
      <c r="BN27" s="536">
        <v>240.2071922</v>
      </c>
      <c r="BO27" s="536">
        <v>122.1053761</v>
      </c>
      <c r="BP27" s="536">
        <v>372.7051098</v>
      </c>
      <c r="BQ27" s="537" t="s">
        <v>202</v>
      </c>
      <c r="BS27" s="534" t="s">
        <v>296</v>
      </c>
      <c r="BT27" s="535" t="s">
        <v>294</v>
      </c>
      <c r="BU27" s="535" t="s">
        <v>317</v>
      </c>
      <c r="BV27" s="535" t="s">
        <v>367</v>
      </c>
      <c r="BW27" s="535" t="s">
        <v>298</v>
      </c>
      <c r="BX27" s="535" t="s">
        <v>307</v>
      </c>
      <c r="BY27" s="535" t="s">
        <v>304</v>
      </c>
      <c r="BZ27" s="543" t="s">
        <v>305</v>
      </c>
      <c r="CA27" s="536">
        <v>31008.91076</v>
      </c>
      <c r="CB27" s="536">
        <v>10567.06311</v>
      </c>
      <c r="CC27" s="536">
        <v>75420.00715</v>
      </c>
      <c r="CD27" s="537" t="s">
        <v>202</v>
      </c>
      <c r="CE27" s="525"/>
    </row>
    <row r="28">
      <c r="A28" s="509"/>
      <c r="B28" s="526" t="s">
        <v>288</v>
      </c>
      <c r="C28" s="527" t="s">
        <v>289</v>
      </c>
      <c r="D28" s="527" t="s">
        <v>429</v>
      </c>
      <c r="E28" s="530">
        <v>2019.0</v>
      </c>
      <c r="F28" s="527" t="s">
        <v>291</v>
      </c>
      <c r="G28" s="527" t="s">
        <v>89</v>
      </c>
      <c r="H28" s="532">
        <v>1802488.208</v>
      </c>
      <c r="I28" s="532">
        <v>1980721.003</v>
      </c>
      <c r="J28" s="533">
        <v>1618098.847</v>
      </c>
      <c r="K28" s="516"/>
      <c r="L28" s="534" t="s">
        <v>292</v>
      </c>
      <c r="M28" s="535" t="s">
        <v>299</v>
      </c>
      <c r="N28" s="535" t="s">
        <v>294</v>
      </c>
      <c r="O28" s="535" t="s">
        <v>335</v>
      </c>
      <c r="P28" s="535" t="s">
        <v>296</v>
      </c>
      <c r="Q28" s="535" t="s">
        <v>89</v>
      </c>
      <c r="R28" s="535">
        <v>2019.0</v>
      </c>
      <c r="S28" s="536">
        <v>33371.9992797809</v>
      </c>
      <c r="T28" s="536">
        <v>85712.1879260913</v>
      </c>
      <c r="U28" s="537">
        <v>11843.1724742427</v>
      </c>
      <c r="W28" s="534" t="s">
        <v>292</v>
      </c>
      <c r="X28" s="535" t="s">
        <v>399</v>
      </c>
      <c r="Y28" s="535" t="s">
        <v>294</v>
      </c>
      <c r="Z28" s="535" t="s">
        <v>295</v>
      </c>
      <c r="AA28" s="535" t="s">
        <v>296</v>
      </c>
      <c r="AB28" s="535" t="s">
        <v>297</v>
      </c>
      <c r="AC28" s="535">
        <v>2019.0</v>
      </c>
      <c r="AD28" s="536">
        <v>115.1622635</v>
      </c>
      <c r="AE28" s="536">
        <v>314.020039</v>
      </c>
      <c r="AF28" s="537">
        <v>22.20737077</v>
      </c>
      <c r="AH28" s="538" t="s">
        <v>298</v>
      </c>
      <c r="AI28" s="539" t="s">
        <v>336</v>
      </c>
      <c r="AJ28" s="539" t="s">
        <v>294</v>
      </c>
      <c r="AK28" s="539" t="s">
        <v>323</v>
      </c>
      <c r="AL28" s="539" t="s">
        <v>296</v>
      </c>
      <c r="AM28" s="539" t="s">
        <v>297</v>
      </c>
      <c r="AN28" s="540">
        <v>2019.0</v>
      </c>
      <c r="AO28" s="541">
        <v>71.29463873</v>
      </c>
      <c r="AP28" s="541">
        <v>123.9239239</v>
      </c>
      <c r="AQ28" s="542">
        <v>3.164888647</v>
      </c>
      <c r="AS28" s="534" t="s">
        <v>296</v>
      </c>
      <c r="AT28" s="535" t="s">
        <v>294</v>
      </c>
      <c r="AU28" s="535" t="s">
        <v>302</v>
      </c>
      <c r="AV28" s="535" t="s">
        <v>348</v>
      </c>
      <c r="AW28" s="535" t="s">
        <v>292</v>
      </c>
      <c r="AX28" s="535" t="s">
        <v>89</v>
      </c>
      <c r="AY28" s="535" t="s">
        <v>304</v>
      </c>
      <c r="AZ28" s="543" t="s">
        <v>305</v>
      </c>
      <c r="BA28" s="536">
        <v>4651.095892</v>
      </c>
      <c r="BB28" s="536">
        <v>1771.677574</v>
      </c>
      <c r="BC28" s="536">
        <v>8636.365983</v>
      </c>
      <c r="BD28" s="537" t="s">
        <v>202</v>
      </c>
      <c r="BF28" s="534" t="s">
        <v>296</v>
      </c>
      <c r="BG28" s="535" t="s">
        <v>294</v>
      </c>
      <c r="BH28" s="535" t="s">
        <v>302</v>
      </c>
      <c r="BI28" s="535" t="s">
        <v>430</v>
      </c>
      <c r="BJ28" s="535" t="s">
        <v>292</v>
      </c>
      <c r="BK28" s="535" t="s">
        <v>307</v>
      </c>
      <c r="BL28" s="535" t="s">
        <v>304</v>
      </c>
      <c r="BM28" s="543" t="s">
        <v>305</v>
      </c>
      <c r="BN28" s="536">
        <v>339.248448</v>
      </c>
      <c r="BO28" s="536">
        <v>179.3440488</v>
      </c>
      <c r="BP28" s="536">
        <v>526.6017116</v>
      </c>
      <c r="BQ28" s="537" t="s">
        <v>202</v>
      </c>
      <c r="BS28" s="534" t="s">
        <v>296</v>
      </c>
      <c r="BT28" s="535" t="s">
        <v>294</v>
      </c>
      <c r="BU28" s="535" t="s">
        <v>309</v>
      </c>
      <c r="BV28" s="535" t="s">
        <v>372</v>
      </c>
      <c r="BW28" s="535" t="s">
        <v>298</v>
      </c>
      <c r="BX28" s="535" t="s">
        <v>307</v>
      </c>
      <c r="BY28" s="535" t="s">
        <v>304</v>
      </c>
      <c r="BZ28" s="543" t="s">
        <v>305</v>
      </c>
      <c r="CA28" s="536">
        <v>120578.4733</v>
      </c>
      <c r="CB28" s="536">
        <v>31001.54088</v>
      </c>
      <c r="CC28" s="536">
        <v>195033.4834</v>
      </c>
      <c r="CD28" s="537" t="s">
        <v>202</v>
      </c>
      <c r="CE28" s="525"/>
    </row>
    <row r="29">
      <c r="A29" s="509"/>
      <c r="B29" s="544" t="s">
        <v>288</v>
      </c>
      <c r="C29" s="545" t="s">
        <v>289</v>
      </c>
      <c r="D29" s="545" t="s">
        <v>432</v>
      </c>
      <c r="E29" s="546">
        <v>2019.0</v>
      </c>
      <c r="F29" s="545" t="s">
        <v>291</v>
      </c>
      <c r="G29" s="545" t="s">
        <v>89</v>
      </c>
      <c r="H29" s="547">
        <v>648639.2197</v>
      </c>
      <c r="I29" s="547">
        <v>712734.1053</v>
      </c>
      <c r="J29" s="548">
        <v>582272.4293</v>
      </c>
      <c r="K29" s="516"/>
      <c r="L29" s="534" t="s">
        <v>292</v>
      </c>
      <c r="M29" s="535" t="s">
        <v>299</v>
      </c>
      <c r="N29" s="535" t="s">
        <v>294</v>
      </c>
      <c r="O29" s="535" t="s">
        <v>300</v>
      </c>
      <c r="P29" s="535" t="s">
        <v>296</v>
      </c>
      <c r="Q29" s="535" t="s">
        <v>89</v>
      </c>
      <c r="R29" s="535">
        <v>2019.0</v>
      </c>
      <c r="S29" s="536">
        <v>7346.09304037619</v>
      </c>
      <c r="T29" s="536">
        <v>16652.4323701204</v>
      </c>
      <c r="U29" s="537">
        <v>2869.78975522543</v>
      </c>
      <c r="W29" s="534" t="s">
        <v>292</v>
      </c>
      <c r="X29" s="535" t="s">
        <v>299</v>
      </c>
      <c r="Y29" s="535" t="s">
        <v>294</v>
      </c>
      <c r="Z29" s="535" t="s">
        <v>295</v>
      </c>
      <c r="AA29" s="535" t="s">
        <v>296</v>
      </c>
      <c r="AB29" s="535" t="s">
        <v>297</v>
      </c>
      <c r="AC29" s="535">
        <v>2019.0</v>
      </c>
      <c r="AD29" s="536">
        <v>8.287681804</v>
      </c>
      <c r="AE29" s="536">
        <v>17.80856081</v>
      </c>
      <c r="AF29" s="537">
        <v>3.335793282</v>
      </c>
      <c r="AH29" s="549" t="s">
        <v>298</v>
      </c>
      <c r="AI29" s="550" t="s">
        <v>336</v>
      </c>
      <c r="AJ29" s="550" t="s">
        <v>294</v>
      </c>
      <c r="AK29" s="550" t="s">
        <v>300</v>
      </c>
      <c r="AL29" s="550" t="s">
        <v>296</v>
      </c>
      <c r="AM29" s="550" t="s">
        <v>297</v>
      </c>
      <c r="AN29" s="551">
        <v>2019.0</v>
      </c>
      <c r="AO29" s="552">
        <v>118.7188446</v>
      </c>
      <c r="AP29" s="552">
        <v>200.6139765</v>
      </c>
      <c r="AQ29" s="553">
        <v>5.649511172</v>
      </c>
      <c r="AS29" s="534" t="s">
        <v>296</v>
      </c>
      <c r="AT29" s="535" t="s">
        <v>294</v>
      </c>
      <c r="AU29" s="535" t="s">
        <v>315</v>
      </c>
      <c r="AV29" s="535" t="s">
        <v>348</v>
      </c>
      <c r="AW29" s="535" t="s">
        <v>292</v>
      </c>
      <c r="AX29" s="535" t="s">
        <v>89</v>
      </c>
      <c r="AY29" s="535" t="s">
        <v>304</v>
      </c>
      <c r="AZ29" s="543" t="s">
        <v>305</v>
      </c>
      <c r="BA29" s="536">
        <v>217.3838205</v>
      </c>
      <c r="BB29" s="536">
        <v>63.82665583</v>
      </c>
      <c r="BC29" s="536">
        <v>536.3999265</v>
      </c>
      <c r="BD29" s="537" t="s">
        <v>202</v>
      </c>
      <c r="BF29" s="534" t="s">
        <v>296</v>
      </c>
      <c r="BG29" s="535" t="s">
        <v>294</v>
      </c>
      <c r="BH29" s="535" t="s">
        <v>302</v>
      </c>
      <c r="BI29" s="535" t="s">
        <v>27</v>
      </c>
      <c r="BJ29" s="535" t="s">
        <v>292</v>
      </c>
      <c r="BK29" s="535" t="s">
        <v>307</v>
      </c>
      <c r="BL29" s="535" t="s">
        <v>304</v>
      </c>
      <c r="BM29" s="543" t="s">
        <v>305</v>
      </c>
      <c r="BN29" s="536">
        <v>298.6653229</v>
      </c>
      <c r="BO29" s="536">
        <v>110.2329153</v>
      </c>
      <c r="BP29" s="536">
        <v>534.8383374</v>
      </c>
      <c r="BQ29" s="537" t="s">
        <v>202</v>
      </c>
      <c r="BS29" s="534" t="s">
        <v>296</v>
      </c>
      <c r="BT29" s="535" t="s">
        <v>294</v>
      </c>
      <c r="BU29" s="535" t="s">
        <v>317</v>
      </c>
      <c r="BV29" s="535" t="s">
        <v>372</v>
      </c>
      <c r="BW29" s="535" t="s">
        <v>298</v>
      </c>
      <c r="BX29" s="535" t="s">
        <v>307</v>
      </c>
      <c r="BY29" s="535" t="s">
        <v>304</v>
      </c>
      <c r="BZ29" s="543" t="s">
        <v>305</v>
      </c>
      <c r="CA29" s="536">
        <v>45577.05521</v>
      </c>
      <c r="CB29" s="536">
        <v>15597.77668</v>
      </c>
      <c r="CC29" s="536">
        <v>93014.67298</v>
      </c>
      <c r="CD29" s="537" t="s">
        <v>202</v>
      </c>
      <c r="CE29" s="525"/>
    </row>
    <row r="30">
      <c r="A30" s="509"/>
      <c r="B30" s="526" t="s">
        <v>288</v>
      </c>
      <c r="C30" s="527" t="s">
        <v>289</v>
      </c>
      <c r="D30" s="527" t="s">
        <v>435</v>
      </c>
      <c r="E30" s="530">
        <v>2019.0</v>
      </c>
      <c r="F30" s="527" t="s">
        <v>291</v>
      </c>
      <c r="G30" s="527" t="s">
        <v>89</v>
      </c>
      <c r="H30" s="532">
        <v>452695.5068</v>
      </c>
      <c r="I30" s="532">
        <v>497428.3349</v>
      </c>
      <c r="J30" s="533">
        <v>406377.0806</v>
      </c>
      <c r="K30" s="516"/>
      <c r="L30" s="534" t="s">
        <v>292</v>
      </c>
      <c r="M30" s="535" t="s">
        <v>436</v>
      </c>
      <c r="N30" s="535" t="s">
        <v>294</v>
      </c>
      <c r="O30" s="535" t="s">
        <v>295</v>
      </c>
      <c r="P30" s="535" t="s">
        <v>296</v>
      </c>
      <c r="Q30" s="535" t="s">
        <v>89</v>
      </c>
      <c r="R30" s="535">
        <v>2019.0</v>
      </c>
      <c r="S30" s="536">
        <v>4010.30359226315</v>
      </c>
      <c r="T30" s="536">
        <v>7533.29746826513</v>
      </c>
      <c r="U30" s="537">
        <v>1300.36579997307</v>
      </c>
      <c r="W30" s="534" t="s">
        <v>292</v>
      </c>
      <c r="X30" s="535" t="s">
        <v>341</v>
      </c>
      <c r="Y30" s="535" t="s">
        <v>294</v>
      </c>
      <c r="Z30" s="535" t="s">
        <v>295</v>
      </c>
      <c r="AA30" s="535" t="s">
        <v>296</v>
      </c>
      <c r="AB30" s="535" t="s">
        <v>297</v>
      </c>
      <c r="AC30" s="535">
        <v>2019.0</v>
      </c>
      <c r="AD30" s="536">
        <v>71.97682172</v>
      </c>
      <c r="AE30" s="536">
        <v>137.6279432</v>
      </c>
      <c r="AF30" s="537">
        <v>27.85232936</v>
      </c>
      <c r="AH30" s="538" t="s">
        <v>298</v>
      </c>
      <c r="AI30" s="539" t="s">
        <v>410</v>
      </c>
      <c r="AJ30" s="539" t="s">
        <v>294</v>
      </c>
      <c r="AK30" s="539" t="s">
        <v>300</v>
      </c>
      <c r="AL30" s="539" t="s">
        <v>296</v>
      </c>
      <c r="AM30" s="539" t="s">
        <v>297</v>
      </c>
      <c r="AN30" s="540">
        <v>2019.0</v>
      </c>
      <c r="AO30" s="541">
        <v>23059.0128</v>
      </c>
      <c r="AP30" s="541">
        <v>40431.52679</v>
      </c>
      <c r="AQ30" s="542">
        <v>13207.83531</v>
      </c>
      <c r="AS30" s="534" t="s">
        <v>296</v>
      </c>
      <c r="AT30" s="535" t="s">
        <v>294</v>
      </c>
      <c r="AU30" s="535" t="s">
        <v>325</v>
      </c>
      <c r="AV30" s="535" t="s">
        <v>348</v>
      </c>
      <c r="AW30" s="535" t="s">
        <v>292</v>
      </c>
      <c r="AX30" s="535" t="s">
        <v>89</v>
      </c>
      <c r="AY30" s="535" t="s">
        <v>304</v>
      </c>
      <c r="AZ30" s="543" t="s">
        <v>305</v>
      </c>
      <c r="BA30" s="536">
        <v>1269.692931</v>
      </c>
      <c r="BB30" s="536">
        <v>400.7209848</v>
      </c>
      <c r="BC30" s="536">
        <v>2763.18019</v>
      </c>
      <c r="BD30" s="537" t="s">
        <v>202</v>
      </c>
      <c r="BF30" s="534" t="s">
        <v>296</v>
      </c>
      <c r="BG30" s="535" t="s">
        <v>294</v>
      </c>
      <c r="BH30" s="535" t="s">
        <v>302</v>
      </c>
      <c r="BI30" s="535" t="s">
        <v>439</v>
      </c>
      <c r="BJ30" s="535" t="s">
        <v>292</v>
      </c>
      <c r="BK30" s="535" t="s">
        <v>307</v>
      </c>
      <c r="BL30" s="535" t="s">
        <v>304</v>
      </c>
      <c r="BM30" s="543" t="s">
        <v>305</v>
      </c>
      <c r="BN30" s="536">
        <v>270.0680567</v>
      </c>
      <c r="BO30" s="536">
        <v>97.22103022</v>
      </c>
      <c r="BP30" s="536">
        <v>558.7653334</v>
      </c>
      <c r="BQ30" s="537" t="s">
        <v>202</v>
      </c>
      <c r="BS30" s="534" t="s">
        <v>296</v>
      </c>
      <c r="BT30" s="535" t="s">
        <v>294</v>
      </c>
      <c r="BU30" s="535" t="s">
        <v>309</v>
      </c>
      <c r="BV30" s="535" t="s">
        <v>377</v>
      </c>
      <c r="BW30" s="535" t="s">
        <v>298</v>
      </c>
      <c r="BX30" s="535" t="s">
        <v>307</v>
      </c>
      <c r="BY30" s="535" t="s">
        <v>304</v>
      </c>
      <c r="BZ30" s="543" t="s">
        <v>305</v>
      </c>
      <c r="CA30" s="536">
        <v>64483.24315</v>
      </c>
      <c r="CB30" s="536">
        <v>11749.49184</v>
      </c>
      <c r="CC30" s="536">
        <v>159235.1</v>
      </c>
      <c r="CD30" s="537" t="s">
        <v>202</v>
      </c>
      <c r="CE30" s="525"/>
    </row>
    <row r="31">
      <c r="A31" s="509"/>
      <c r="B31" s="544" t="s">
        <v>288</v>
      </c>
      <c r="C31" s="545" t="s">
        <v>289</v>
      </c>
      <c r="D31" s="545" t="s">
        <v>442</v>
      </c>
      <c r="E31" s="546">
        <v>2019.0</v>
      </c>
      <c r="F31" s="545" t="s">
        <v>291</v>
      </c>
      <c r="G31" s="545" t="s">
        <v>89</v>
      </c>
      <c r="H31" s="547">
        <v>323078.2726</v>
      </c>
      <c r="I31" s="547">
        <v>355003.0534</v>
      </c>
      <c r="J31" s="548">
        <v>290021.8873</v>
      </c>
      <c r="K31" s="516"/>
      <c r="L31" s="534" t="s">
        <v>292</v>
      </c>
      <c r="M31" s="535" t="s">
        <v>436</v>
      </c>
      <c r="N31" s="535" t="s">
        <v>294</v>
      </c>
      <c r="O31" s="535" t="s">
        <v>311</v>
      </c>
      <c r="P31" s="535" t="s">
        <v>296</v>
      </c>
      <c r="Q31" s="535" t="s">
        <v>89</v>
      </c>
      <c r="R31" s="535">
        <v>2019.0</v>
      </c>
      <c r="S31" s="536">
        <v>0.0</v>
      </c>
      <c r="T31" s="536">
        <v>0.0</v>
      </c>
      <c r="U31" s="537">
        <v>0.0</v>
      </c>
      <c r="W31" s="534" t="s">
        <v>292</v>
      </c>
      <c r="X31" s="535" t="s">
        <v>443</v>
      </c>
      <c r="Y31" s="535" t="s">
        <v>294</v>
      </c>
      <c r="Z31" s="535" t="s">
        <v>295</v>
      </c>
      <c r="AA31" s="535" t="s">
        <v>296</v>
      </c>
      <c r="AB31" s="535" t="s">
        <v>297</v>
      </c>
      <c r="AC31" s="535">
        <v>2019.0</v>
      </c>
      <c r="AD31" s="536">
        <v>0.0</v>
      </c>
      <c r="AE31" s="536">
        <v>0.0</v>
      </c>
      <c r="AF31" s="537">
        <v>0.0</v>
      </c>
      <c r="AH31" s="549" t="s">
        <v>298</v>
      </c>
      <c r="AI31" s="550" t="s">
        <v>347</v>
      </c>
      <c r="AJ31" s="550" t="s">
        <v>294</v>
      </c>
      <c r="AK31" s="550" t="s">
        <v>323</v>
      </c>
      <c r="AL31" s="550" t="s">
        <v>296</v>
      </c>
      <c r="AM31" s="550" t="s">
        <v>297</v>
      </c>
      <c r="AN31" s="551">
        <v>2019.0</v>
      </c>
      <c r="AO31" s="552">
        <v>47542.68595</v>
      </c>
      <c r="AP31" s="552">
        <v>86587.24781</v>
      </c>
      <c r="AQ31" s="553">
        <v>13949.46753</v>
      </c>
      <c r="AS31" s="534" t="s">
        <v>296</v>
      </c>
      <c r="AT31" s="535" t="s">
        <v>294</v>
      </c>
      <c r="AU31" s="535" t="s">
        <v>332</v>
      </c>
      <c r="AV31" s="535" t="s">
        <v>348</v>
      </c>
      <c r="AW31" s="535" t="s">
        <v>292</v>
      </c>
      <c r="AX31" s="535" t="s">
        <v>89</v>
      </c>
      <c r="AY31" s="535" t="s">
        <v>304</v>
      </c>
      <c r="AZ31" s="543" t="s">
        <v>305</v>
      </c>
      <c r="BA31" s="536">
        <v>9189.182257</v>
      </c>
      <c r="BB31" s="536">
        <v>3143.802672</v>
      </c>
      <c r="BC31" s="536">
        <v>18549.42885</v>
      </c>
      <c r="BD31" s="537" t="s">
        <v>202</v>
      </c>
      <c r="BF31" s="534" t="s">
        <v>296</v>
      </c>
      <c r="BG31" s="535" t="s">
        <v>294</v>
      </c>
      <c r="BH31" s="535" t="s">
        <v>302</v>
      </c>
      <c r="BI31" s="535" t="s">
        <v>444</v>
      </c>
      <c r="BJ31" s="535" t="s">
        <v>292</v>
      </c>
      <c r="BK31" s="535" t="s">
        <v>307</v>
      </c>
      <c r="BL31" s="535" t="s">
        <v>304</v>
      </c>
      <c r="BM31" s="543" t="s">
        <v>305</v>
      </c>
      <c r="BN31" s="536">
        <v>308.3006094</v>
      </c>
      <c r="BO31" s="536">
        <v>159.6333219</v>
      </c>
      <c r="BP31" s="536">
        <v>494.4336341</v>
      </c>
      <c r="BQ31" s="537" t="s">
        <v>202</v>
      </c>
      <c r="BS31" s="534" t="s">
        <v>296</v>
      </c>
      <c r="BT31" s="535" t="s">
        <v>294</v>
      </c>
      <c r="BU31" s="535" t="s">
        <v>317</v>
      </c>
      <c r="BV31" s="535" t="s">
        <v>377</v>
      </c>
      <c r="BW31" s="535" t="s">
        <v>298</v>
      </c>
      <c r="BX31" s="535" t="s">
        <v>307</v>
      </c>
      <c r="BY31" s="535" t="s">
        <v>304</v>
      </c>
      <c r="BZ31" s="543" t="s">
        <v>305</v>
      </c>
      <c r="CA31" s="536">
        <v>26040.07325</v>
      </c>
      <c r="CB31" s="536">
        <v>7375.226193</v>
      </c>
      <c r="CC31" s="536">
        <v>66221.90683</v>
      </c>
      <c r="CD31" s="537" t="s">
        <v>202</v>
      </c>
      <c r="CE31" s="525"/>
    </row>
    <row r="32">
      <c r="A32" s="509"/>
      <c r="B32" s="526" t="s">
        <v>288</v>
      </c>
      <c r="C32" s="527" t="s">
        <v>289</v>
      </c>
      <c r="D32" s="527" t="s">
        <v>445</v>
      </c>
      <c r="E32" s="530">
        <v>2019.0</v>
      </c>
      <c r="F32" s="527" t="s">
        <v>291</v>
      </c>
      <c r="G32" s="527" t="s">
        <v>89</v>
      </c>
      <c r="H32" s="532">
        <v>497124.437</v>
      </c>
      <c r="I32" s="532">
        <v>546280.8628</v>
      </c>
      <c r="J32" s="533">
        <v>446270.0365</v>
      </c>
      <c r="K32" s="516"/>
      <c r="L32" s="534" t="s">
        <v>292</v>
      </c>
      <c r="M32" s="535" t="s">
        <v>436</v>
      </c>
      <c r="N32" s="535" t="s">
        <v>294</v>
      </c>
      <c r="O32" s="535" t="s">
        <v>319</v>
      </c>
      <c r="P32" s="535" t="s">
        <v>296</v>
      </c>
      <c r="Q32" s="535" t="s">
        <v>89</v>
      </c>
      <c r="R32" s="535">
        <v>2019.0</v>
      </c>
      <c r="S32" s="536">
        <v>263.007458552545</v>
      </c>
      <c r="T32" s="536">
        <v>528.082550832593</v>
      </c>
      <c r="U32" s="537">
        <v>77.5600958664569</v>
      </c>
      <c r="W32" s="534" t="s">
        <v>292</v>
      </c>
      <c r="X32" s="535" t="s">
        <v>447</v>
      </c>
      <c r="Y32" s="535" t="s">
        <v>294</v>
      </c>
      <c r="Z32" s="535" t="s">
        <v>295</v>
      </c>
      <c r="AA32" s="535" t="s">
        <v>296</v>
      </c>
      <c r="AB32" s="535" t="s">
        <v>297</v>
      </c>
      <c r="AC32" s="535">
        <v>2019.0</v>
      </c>
      <c r="AD32" s="536">
        <v>293.1971834</v>
      </c>
      <c r="AE32" s="536">
        <v>522.9405262</v>
      </c>
      <c r="AF32" s="537">
        <v>127.8862427</v>
      </c>
      <c r="AH32" s="538" t="s">
        <v>298</v>
      </c>
      <c r="AI32" s="539" t="s">
        <v>374</v>
      </c>
      <c r="AJ32" s="539" t="s">
        <v>294</v>
      </c>
      <c r="AK32" s="539" t="s">
        <v>323</v>
      </c>
      <c r="AL32" s="539" t="s">
        <v>296</v>
      </c>
      <c r="AM32" s="539" t="s">
        <v>297</v>
      </c>
      <c r="AN32" s="540">
        <v>2019.0</v>
      </c>
      <c r="AO32" s="541">
        <v>73308.32272</v>
      </c>
      <c r="AP32" s="541">
        <v>128646.0997</v>
      </c>
      <c r="AQ32" s="542">
        <v>28455.1439</v>
      </c>
      <c r="AS32" s="534" t="s">
        <v>296</v>
      </c>
      <c r="AT32" s="535" t="s">
        <v>294</v>
      </c>
      <c r="AU32" s="535" t="s">
        <v>302</v>
      </c>
      <c r="AV32" s="535" t="s">
        <v>23</v>
      </c>
      <c r="AW32" s="535" t="s">
        <v>292</v>
      </c>
      <c r="AX32" s="535" t="s">
        <v>89</v>
      </c>
      <c r="AY32" s="535" t="s">
        <v>304</v>
      </c>
      <c r="AZ32" s="543" t="s">
        <v>305</v>
      </c>
      <c r="BA32" s="536">
        <v>1707.805365</v>
      </c>
      <c r="BB32" s="536">
        <v>311.0487445</v>
      </c>
      <c r="BC32" s="536">
        <v>3875.787757</v>
      </c>
      <c r="BD32" s="537" t="s">
        <v>202</v>
      </c>
      <c r="BF32" s="534" t="s">
        <v>296</v>
      </c>
      <c r="BG32" s="535" t="s">
        <v>294</v>
      </c>
      <c r="BH32" s="535" t="s">
        <v>302</v>
      </c>
      <c r="BI32" s="535" t="s">
        <v>448</v>
      </c>
      <c r="BJ32" s="535" t="s">
        <v>292</v>
      </c>
      <c r="BK32" s="535" t="s">
        <v>307</v>
      </c>
      <c r="BL32" s="535" t="s">
        <v>304</v>
      </c>
      <c r="BM32" s="543" t="s">
        <v>305</v>
      </c>
      <c r="BN32" s="536">
        <v>336.3278021</v>
      </c>
      <c r="BO32" s="536">
        <v>172.3678303</v>
      </c>
      <c r="BP32" s="536">
        <v>553.9935041</v>
      </c>
      <c r="BQ32" s="537" t="s">
        <v>202</v>
      </c>
      <c r="BS32" s="534" t="s">
        <v>296</v>
      </c>
      <c r="BT32" s="535" t="s">
        <v>294</v>
      </c>
      <c r="BU32" s="535" t="s">
        <v>309</v>
      </c>
      <c r="BV32" s="535" t="s">
        <v>24</v>
      </c>
      <c r="BW32" s="535" t="s">
        <v>298</v>
      </c>
      <c r="BX32" s="535" t="s">
        <v>307</v>
      </c>
      <c r="BY32" s="535" t="s">
        <v>304</v>
      </c>
      <c r="BZ32" s="543" t="s">
        <v>305</v>
      </c>
      <c r="CA32" s="536">
        <v>81529.9384</v>
      </c>
      <c r="CB32" s="536">
        <v>14933.44226</v>
      </c>
      <c r="CC32" s="536">
        <v>183911.1861</v>
      </c>
      <c r="CD32" s="537" t="s">
        <v>202</v>
      </c>
      <c r="CE32" s="525"/>
    </row>
    <row r="33">
      <c r="A33" s="509"/>
      <c r="B33" s="544" t="s">
        <v>288</v>
      </c>
      <c r="C33" s="545" t="s">
        <v>289</v>
      </c>
      <c r="D33" s="545" t="s">
        <v>450</v>
      </c>
      <c r="E33" s="546">
        <v>2019.0</v>
      </c>
      <c r="F33" s="545" t="s">
        <v>291</v>
      </c>
      <c r="G33" s="545" t="s">
        <v>89</v>
      </c>
      <c r="H33" s="547">
        <v>174059.8124</v>
      </c>
      <c r="I33" s="547">
        <v>191259.4257</v>
      </c>
      <c r="J33" s="548">
        <v>156250.5422</v>
      </c>
      <c r="K33" s="516"/>
      <c r="L33" s="534" t="s">
        <v>292</v>
      </c>
      <c r="M33" s="535" t="s">
        <v>436</v>
      </c>
      <c r="N33" s="535" t="s">
        <v>294</v>
      </c>
      <c r="O33" s="535" t="s">
        <v>327</v>
      </c>
      <c r="P33" s="535" t="s">
        <v>296</v>
      </c>
      <c r="Q33" s="535" t="s">
        <v>89</v>
      </c>
      <c r="R33" s="535">
        <v>2019.0</v>
      </c>
      <c r="S33" s="536">
        <v>1979.77911892351</v>
      </c>
      <c r="T33" s="536">
        <v>3826.7423025611</v>
      </c>
      <c r="U33" s="537">
        <v>625.871724928769</v>
      </c>
      <c r="W33" s="534" t="s">
        <v>292</v>
      </c>
      <c r="X33" s="535" t="s">
        <v>451</v>
      </c>
      <c r="Y33" s="535" t="s">
        <v>294</v>
      </c>
      <c r="Z33" s="535" t="s">
        <v>295</v>
      </c>
      <c r="AA33" s="535" t="s">
        <v>296</v>
      </c>
      <c r="AB33" s="535" t="s">
        <v>297</v>
      </c>
      <c r="AC33" s="535">
        <v>2019.0</v>
      </c>
      <c r="AD33" s="536">
        <v>73.22035778</v>
      </c>
      <c r="AE33" s="536">
        <v>152.7434694</v>
      </c>
      <c r="AF33" s="537">
        <v>24.60815162</v>
      </c>
      <c r="AH33" s="549" t="s">
        <v>298</v>
      </c>
      <c r="AI33" s="550" t="s">
        <v>312</v>
      </c>
      <c r="AJ33" s="550" t="s">
        <v>294</v>
      </c>
      <c r="AK33" s="550" t="s">
        <v>300</v>
      </c>
      <c r="AL33" s="550" t="s">
        <v>296</v>
      </c>
      <c r="AM33" s="550" t="s">
        <v>297</v>
      </c>
      <c r="AN33" s="551">
        <v>2019.0</v>
      </c>
      <c r="AO33" s="552">
        <v>3.529901416</v>
      </c>
      <c r="AP33" s="552">
        <v>15.27089384</v>
      </c>
      <c r="AQ33" s="553">
        <v>0.367345717</v>
      </c>
      <c r="AS33" s="534" t="s">
        <v>296</v>
      </c>
      <c r="AT33" s="535" t="s">
        <v>294</v>
      </c>
      <c r="AU33" s="535" t="s">
        <v>315</v>
      </c>
      <c r="AV33" s="535" t="s">
        <v>23</v>
      </c>
      <c r="AW33" s="535" t="s">
        <v>292</v>
      </c>
      <c r="AX33" s="535" t="s">
        <v>89</v>
      </c>
      <c r="AY33" s="535" t="s">
        <v>304</v>
      </c>
      <c r="AZ33" s="543" t="s">
        <v>305</v>
      </c>
      <c r="BA33" s="536">
        <v>67.45050889</v>
      </c>
      <c r="BB33" s="536">
        <v>9.458181993</v>
      </c>
      <c r="BC33" s="536">
        <v>185.6226214</v>
      </c>
      <c r="BD33" s="537" t="s">
        <v>202</v>
      </c>
      <c r="BF33" s="534" t="s">
        <v>296</v>
      </c>
      <c r="BG33" s="535" t="s">
        <v>294</v>
      </c>
      <c r="BH33" s="535" t="s">
        <v>302</v>
      </c>
      <c r="BI33" s="535" t="s">
        <v>455</v>
      </c>
      <c r="BJ33" s="535" t="s">
        <v>292</v>
      </c>
      <c r="BK33" s="535" t="s">
        <v>307</v>
      </c>
      <c r="BL33" s="535" t="s">
        <v>304</v>
      </c>
      <c r="BM33" s="543" t="s">
        <v>305</v>
      </c>
      <c r="BN33" s="536">
        <v>266.0069103</v>
      </c>
      <c r="BO33" s="536">
        <v>153.9306206</v>
      </c>
      <c r="BP33" s="536">
        <v>395.2449679</v>
      </c>
      <c r="BQ33" s="537" t="s">
        <v>202</v>
      </c>
      <c r="BS33" s="534" t="s">
        <v>296</v>
      </c>
      <c r="BT33" s="535" t="s">
        <v>294</v>
      </c>
      <c r="BU33" s="535" t="s">
        <v>317</v>
      </c>
      <c r="BV33" s="535" t="s">
        <v>24</v>
      </c>
      <c r="BW33" s="535" t="s">
        <v>298</v>
      </c>
      <c r="BX33" s="535" t="s">
        <v>307</v>
      </c>
      <c r="BY33" s="535" t="s">
        <v>304</v>
      </c>
      <c r="BZ33" s="543" t="s">
        <v>305</v>
      </c>
      <c r="CA33" s="536">
        <v>31209.9027</v>
      </c>
      <c r="CB33" s="536">
        <v>10438.63137</v>
      </c>
      <c r="CC33" s="536">
        <v>68553.25944</v>
      </c>
      <c r="CD33" s="537" t="s">
        <v>202</v>
      </c>
      <c r="CE33" s="525"/>
    </row>
    <row r="34">
      <c r="A34" s="509"/>
      <c r="B34" s="526" t="s">
        <v>288</v>
      </c>
      <c r="C34" s="527" t="s">
        <v>289</v>
      </c>
      <c r="D34" s="527" t="s">
        <v>457</v>
      </c>
      <c r="E34" s="530">
        <v>2019.0</v>
      </c>
      <c r="F34" s="527" t="s">
        <v>291</v>
      </c>
      <c r="G34" s="527" t="s">
        <v>89</v>
      </c>
      <c r="H34" s="532">
        <v>378124.694</v>
      </c>
      <c r="I34" s="532">
        <v>415488.8531</v>
      </c>
      <c r="J34" s="533">
        <v>339436.1264</v>
      </c>
      <c r="K34" s="516"/>
      <c r="L34" s="534" t="s">
        <v>292</v>
      </c>
      <c r="M34" s="535" t="s">
        <v>436</v>
      </c>
      <c r="N34" s="535" t="s">
        <v>294</v>
      </c>
      <c r="O34" s="535" t="s">
        <v>335</v>
      </c>
      <c r="P34" s="535" t="s">
        <v>296</v>
      </c>
      <c r="Q34" s="535" t="s">
        <v>89</v>
      </c>
      <c r="R34" s="535">
        <v>2019.0</v>
      </c>
      <c r="S34" s="536">
        <v>5109.31315159924</v>
      </c>
      <c r="T34" s="536">
        <v>9807.307983</v>
      </c>
      <c r="U34" s="537">
        <v>1660.72423351364</v>
      </c>
      <c r="W34" s="573" t="s">
        <v>292</v>
      </c>
      <c r="X34" s="574" t="s">
        <v>410</v>
      </c>
      <c r="Y34" s="574" t="s">
        <v>294</v>
      </c>
      <c r="Z34" s="574" t="s">
        <v>295</v>
      </c>
      <c r="AA34" s="574" t="s">
        <v>296</v>
      </c>
      <c r="AB34" s="574" t="s">
        <v>297</v>
      </c>
      <c r="AC34" s="575">
        <v>2019.0</v>
      </c>
      <c r="AD34" s="576">
        <v>154.2970627</v>
      </c>
      <c r="AE34" s="576">
        <v>292.2630147</v>
      </c>
      <c r="AF34" s="578">
        <v>66.51996892</v>
      </c>
      <c r="AH34" s="538" t="s">
        <v>298</v>
      </c>
      <c r="AI34" s="539" t="s">
        <v>458</v>
      </c>
      <c r="AJ34" s="539" t="s">
        <v>294</v>
      </c>
      <c r="AK34" s="539" t="s">
        <v>323</v>
      </c>
      <c r="AL34" s="539" t="s">
        <v>296</v>
      </c>
      <c r="AM34" s="539" t="s">
        <v>297</v>
      </c>
      <c r="AN34" s="540">
        <v>2019.0</v>
      </c>
      <c r="AO34" s="541">
        <v>11742.83262</v>
      </c>
      <c r="AP34" s="541">
        <v>27936.60461</v>
      </c>
      <c r="AQ34" s="542">
        <v>2638.410654</v>
      </c>
      <c r="AS34" s="534" t="s">
        <v>296</v>
      </c>
      <c r="AT34" s="535" t="s">
        <v>294</v>
      </c>
      <c r="AU34" s="535" t="s">
        <v>325</v>
      </c>
      <c r="AV34" s="535" t="s">
        <v>23</v>
      </c>
      <c r="AW34" s="535" t="s">
        <v>292</v>
      </c>
      <c r="AX34" s="535" t="s">
        <v>89</v>
      </c>
      <c r="AY34" s="535" t="s">
        <v>304</v>
      </c>
      <c r="AZ34" s="543" t="s">
        <v>305</v>
      </c>
      <c r="BA34" s="536">
        <v>362.4923754</v>
      </c>
      <c r="BB34" s="536">
        <v>54.053724</v>
      </c>
      <c r="BC34" s="536">
        <v>972.708718</v>
      </c>
      <c r="BD34" s="537" t="s">
        <v>202</v>
      </c>
      <c r="BF34" s="534" t="s">
        <v>296</v>
      </c>
      <c r="BG34" s="535" t="s">
        <v>294</v>
      </c>
      <c r="BH34" s="535" t="s">
        <v>302</v>
      </c>
      <c r="BI34" s="535" t="s">
        <v>28</v>
      </c>
      <c r="BJ34" s="535" t="s">
        <v>292</v>
      </c>
      <c r="BK34" s="535" t="s">
        <v>307</v>
      </c>
      <c r="BL34" s="535" t="s">
        <v>304</v>
      </c>
      <c r="BM34" s="543" t="s">
        <v>305</v>
      </c>
      <c r="BN34" s="536">
        <v>261.8332491</v>
      </c>
      <c r="BO34" s="536">
        <v>149.0659214</v>
      </c>
      <c r="BP34" s="536">
        <v>390.9338625</v>
      </c>
      <c r="BQ34" s="537" t="s">
        <v>202</v>
      </c>
      <c r="BS34" s="534" t="s">
        <v>296</v>
      </c>
      <c r="BT34" s="535" t="s">
        <v>294</v>
      </c>
      <c r="BU34" s="535" t="s">
        <v>309</v>
      </c>
      <c r="BV34" s="535" t="s">
        <v>385</v>
      </c>
      <c r="BW34" s="535" t="s">
        <v>298</v>
      </c>
      <c r="BX34" s="535" t="s">
        <v>307</v>
      </c>
      <c r="BY34" s="535" t="s">
        <v>304</v>
      </c>
      <c r="BZ34" s="543" t="s">
        <v>305</v>
      </c>
      <c r="CA34" s="536">
        <v>80531.15389</v>
      </c>
      <c r="CB34" s="536">
        <v>19442.87146</v>
      </c>
      <c r="CC34" s="536">
        <v>173783.8528</v>
      </c>
      <c r="CD34" s="537" t="s">
        <v>202</v>
      </c>
      <c r="CE34" s="525"/>
    </row>
    <row r="35">
      <c r="A35" s="509"/>
      <c r="B35" s="544" t="s">
        <v>288</v>
      </c>
      <c r="C35" s="545" t="s">
        <v>289</v>
      </c>
      <c r="D35" s="545" t="s">
        <v>463</v>
      </c>
      <c r="E35" s="546">
        <v>2019.0</v>
      </c>
      <c r="F35" s="545" t="s">
        <v>291</v>
      </c>
      <c r="G35" s="545" t="s">
        <v>89</v>
      </c>
      <c r="H35" s="547">
        <v>204059.2795</v>
      </c>
      <c r="I35" s="547">
        <v>224236.9736</v>
      </c>
      <c r="J35" s="548">
        <v>183184.6019</v>
      </c>
      <c r="K35" s="516"/>
      <c r="L35" s="534" t="s">
        <v>292</v>
      </c>
      <c r="M35" s="535" t="s">
        <v>436</v>
      </c>
      <c r="N35" s="535" t="s">
        <v>294</v>
      </c>
      <c r="O35" s="535" t="s">
        <v>300</v>
      </c>
      <c r="P35" s="535" t="s">
        <v>296</v>
      </c>
      <c r="Q35" s="535" t="s">
        <v>89</v>
      </c>
      <c r="R35" s="535">
        <v>2019.0</v>
      </c>
      <c r="S35" s="536">
        <v>209.862698518173</v>
      </c>
      <c r="T35" s="536">
        <v>437.834285299284</v>
      </c>
      <c r="U35" s="537">
        <v>65.6665936610567</v>
      </c>
      <c r="W35" s="534" t="s">
        <v>292</v>
      </c>
      <c r="X35" s="535" t="s">
        <v>465</v>
      </c>
      <c r="Y35" s="535" t="s">
        <v>294</v>
      </c>
      <c r="Z35" s="535" t="s">
        <v>295</v>
      </c>
      <c r="AA35" s="535" t="s">
        <v>296</v>
      </c>
      <c r="AB35" s="535" t="s">
        <v>297</v>
      </c>
      <c r="AC35" s="535">
        <v>2019.0</v>
      </c>
      <c r="AD35" s="536">
        <v>347.1131751</v>
      </c>
      <c r="AE35" s="536">
        <v>676.2585338</v>
      </c>
      <c r="AF35" s="537">
        <v>141.3469359</v>
      </c>
      <c r="AH35" s="549" t="s">
        <v>298</v>
      </c>
      <c r="AI35" s="550" t="s">
        <v>420</v>
      </c>
      <c r="AJ35" s="550" t="s">
        <v>294</v>
      </c>
      <c r="AK35" s="550" t="s">
        <v>300</v>
      </c>
      <c r="AL35" s="550" t="s">
        <v>296</v>
      </c>
      <c r="AM35" s="550" t="s">
        <v>297</v>
      </c>
      <c r="AN35" s="551">
        <v>2019.0</v>
      </c>
      <c r="AO35" s="552">
        <v>875.1809247</v>
      </c>
      <c r="AP35" s="552">
        <v>1560.376412</v>
      </c>
      <c r="AQ35" s="553">
        <v>461.3097629</v>
      </c>
      <c r="AS35" s="534" t="s">
        <v>296</v>
      </c>
      <c r="AT35" s="535" t="s">
        <v>294</v>
      </c>
      <c r="AU35" s="535" t="s">
        <v>332</v>
      </c>
      <c r="AV35" s="535" t="s">
        <v>23</v>
      </c>
      <c r="AW35" s="535" t="s">
        <v>292</v>
      </c>
      <c r="AX35" s="535" t="s">
        <v>89</v>
      </c>
      <c r="AY35" s="535" t="s">
        <v>304</v>
      </c>
      <c r="AZ35" s="543" t="s">
        <v>305</v>
      </c>
      <c r="BA35" s="536">
        <v>3093.504749</v>
      </c>
      <c r="BB35" s="536">
        <v>544.3323538</v>
      </c>
      <c r="BC35" s="536">
        <v>7216.247128</v>
      </c>
      <c r="BD35" s="537" t="s">
        <v>202</v>
      </c>
      <c r="BF35" s="534" t="s">
        <v>296</v>
      </c>
      <c r="BG35" s="535" t="s">
        <v>294</v>
      </c>
      <c r="BH35" s="535" t="s">
        <v>302</v>
      </c>
      <c r="BI35" s="535" t="s">
        <v>29</v>
      </c>
      <c r="BJ35" s="535" t="s">
        <v>292</v>
      </c>
      <c r="BK35" s="535" t="s">
        <v>307</v>
      </c>
      <c r="BL35" s="535" t="s">
        <v>304</v>
      </c>
      <c r="BM35" s="543" t="s">
        <v>305</v>
      </c>
      <c r="BN35" s="536">
        <v>210.2157784</v>
      </c>
      <c r="BO35" s="536">
        <v>77.31187683</v>
      </c>
      <c r="BP35" s="536">
        <v>421.9952621</v>
      </c>
      <c r="BQ35" s="537" t="s">
        <v>202</v>
      </c>
      <c r="BS35" s="534" t="s">
        <v>296</v>
      </c>
      <c r="BT35" s="535" t="s">
        <v>294</v>
      </c>
      <c r="BU35" s="535" t="s">
        <v>317</v>
      </c>
      <c r="BV35" s="535" t="s">
        <v>385</v>
      </c>
      <c r="BW35" s="535" t="s">
        <v>298</v>
      </c>
      <c r="BX35" s="535" t="s">
        <v>307</v>
      </c>
      <c r="BY35" s="535" t="s">
        <v>304</v>
      </c>
      <c r="BZ35" s="543" t="s">
        <v>305</v>
      </c>
      <c r="CA35" s="536">
        <v>31540.28136</v>
      </c>
      <c r="CB35" s="536">
        <v>10580.79438</v>
      </c>
      <c r="CC35" s="536">
        <v>66046.23015</v>
      </c>
      <c r="CD35" s="537" t="s">
        <v>202</v>
      </c>
      <c r="CE35" s="525"/>
    </row>
    <row r="36">
      <c r="A36" s="509"/>
      <c r="B36" s="526" t="s">
        <v>288</v>
      </c>
      <c r="C36" s="527" t="s">
        <v>289</v>
      </c>
      <c r="D36" s="527" t="s">
        <v>467</v>
      </c>
      <c r="E36" s="530">
        <v>2019.0</v>
      </c>
      <c r="F36" s="527" t="s">
        <v>291</v>
      </c>
      <c r="G36" s="527" t="s">
        <v>89</v>
      </c>
      <c r="H36" s="532">
        <v>122240.821</v>
      </c>
      <c r="I36" s="532">
        <v>134319.9725</v>
      </c>
      <c r="J36" s="533">
        <v>109733.5123</v>
      </c>
      <c r="K36" s="516"/>
      <c r="L36" s="534" t="s">
        <v>292</v>
      </c>
      <c r="M36" s="535" t="s">
        <v>370</v>
      </c>
      <c r="N36" s="535" t="s">
        <v>294</v>
      </c>
      <c r="O36" s="535" t="s">
        <v>295</v>
      </c>
      <c r="P36" s="535" t="s">
        <v>296</v>
      </c>
      <c r="Q36" s="535" t="s">
        <v>89</v>
      </c>
      <c r="R36" s="535">
        <v>2019.0</v>
      </c>
      <c r="S36" s="536">
        <v>11315.4482257597</v>
      </c>
      <c r="T36" s="536">
        <v>29671.3827809833</v>
      </c>
      <c r="U36" s="537">
        <v>2239.45699102843</v>
      </c>
      <c r="W36" s="534" t="s">
        <v>292</v>
      </c>
      <c r="X36" s="535" t="s">
        <v>469</v>
      </c>
      <c r="Y36" s="535" t="s">
        <v>294</v>
      </c>
      <c r="Z36" s="535" t="s">
        <v>295</v>
      </c>
      <c r="AA36" s="535" t="s">
        <v>296</v>
      </c>
      <c r="AB36" s="535" t="s">
        <v>297</v>
      </c>
      <c r="AC36" s="535">
        <v>2019.0</v>
      </c>
      <c r="AD36" s="536">
        <v>90.24651461</v>
      </c>
      <c r="AE36" s="536">
        <v>240.0049482</v>
      </c>
      <c r="AF36" s="537">
        <v>8.332361857</v>
      </c>
      <c r="AH36" s="538" t="s">
        <v>298</v>
      </c>
      <c r="AI36" s="539" t="s">
        <v>288</v>
      </c>
      <c r="AJ36" s="539" t="s">
        <v>294</v>
      </c>
      <c r="AK36" s="539" t="s">
        <v>323</v>
      </c>
      <c r="AL36" s="539" t="s">
        <v>296</v>
      </c>
      <c r="AM36" s="539" t="s">
        <v>297</v>
      </c>
      <c r="AN36" s="540">
        <v>2019.0</v>
      </c>
      <c r="AO36" s="541">
        <v>55903.34985</v>
      </c>
      <c r="AP36" s="541">
        <v>92561.55673</v>
      </c>
      <c r="AQ36" s="542">
        <v>30040.07576</v>
      </c>
      <c r="AS36" s="534" t="s">
        <v>296</v>
      </c>
      <c r="AT36" s="535" t="s">
        <v>294</v>
      </c>
      <c r="AU36" s="535" t="s">
        <v>302</v>
      </c>
      <c r="AV36" s="535" t="s">
        <v>357</v>
      </c>
      <c r="AW36" s="535" t="s">
        <v>292</v>
      </c>
      <c r="AX36" s="535" t="s">
        <v>89</v>
      </c>
      <c r="AY36" s="535" t="s">
        <v>304</v>
      </c>
      <c r="AZ36" s="543" t="s">
        <v>305</v>
      </c>
      <c r="BA36" s="536">
        <v>839.9114745</v>
      </c>
      <c r="BB36" s="536">
        <v>401.7209863</v>
      </c>
      <c r="BC36" s="536">
        <v>1416.252297</v>
      </c>
      <c r="BD36" s="537" t="s">
        <v>202</v>
      </c>
      <c r="BF36" s="534" t="s">
        <v>296</v>
      </c>
      <c r="BG36" s="535" t="s">
        <v>294</v>
      </c>
      <c r="BH36" s="535" t="s">
        <v>302</v>
      </c>
      <c r="BI36" s="535" t="s">
        <v>471</v>
      </c>
      <c r="BJ36" s="535" t="s">
        <v>292</v>
      </c>
      <c r="BK36" s="535" t="s">
        <v>307</v>
      </c>
      <c r="BL36" s="535" t="s">
        <v>304</v>
      </c>
      <c r="BM36" s="543" t="s">
        <v>305</v>
      </c>
      <c r="BN36" s="536">
        <v>428.333478</v>
      </c>
      <c r="BO36" s="536">
        <v>190.5050357</v>
      </c>
      <c r="BP36" s="536">
        <v>715.3784684</v>
      </c>
      <c r="BQ36" s="537" t="s">
        <v>202</v>
      </c>
      <c r="BS36" s="534" t="s">
        <v>296</v>
      </c>
      <c r="BT36" s="535" t="s">
        <v>294</v>
      </c>
      <c r="BU36" s="535" t="s">
        <v>309</v>
      </c>
      <c r="BV36" s="535" t="s">
        <v>390</v>
      </c>
      <c r="BW36" s="535" t="s">
        <v>298</v>
      </c>
      <c r="BX36" s="535" t="s">
        <v>307</v>
      </c>
      <c r="BY36" s="535" t="s">
        <v>304</v>
      </c>
      <c r="BZ36" s="543" t="s">
        <v>305</v>
      </c>
      <c r="CA36" s="536">
        <v>120567.4969</v>
      </c>
      <c r="CB36" s="536">
        <v>34304.66062</v>
      </c>
      <c r="CC36" s="536">
        <v>186450.7059</v>
      </c>
      <c r="CD36" s="537" t="s">
        <v>202</v>
      </c>
      <c r="CE36" s="525"/>
    </row>
    <row r="37">
      <c r="A37" s="509"/>
      <c r="B37" s="544" t="s">
        <v>288</v>
      </c>
      <c r="C37" s="545" t="s">
        <v>289</v>
      </c>
      <c r="D37" s="545" t="s">
        <v>473</v>
      </c>
      <c r="E37" s="546">
        <v>2019.0</v>
      </c>
      <c r="F37" s="545" t="s">
        <v>291</v>
      </c>
      <c r="G37" s="545" t="s">
        <v>89</v>
      </c>
      <c r="H37" s="547">
        <v>175962.0169</v>
      </c>
      <c r="I37" s="547">
        <v>193361.4106</v>
      </c>
      <c r="J37" s="548">
        <v>157961.6085</v>
      </c>
      <c r="K37" s="516"/>
      <c r="L37" s="534" t="s">
        <v>292</v>
      </c>
      <c r="M37" s="535" t="s">
        <v>370</v>
      </c>
      <c r="N37" s="535" t="s">
        <v>294</v>
      </c>
      <c r="O37" s="535" t="s">
        <v>311</v>
      </c>
      <c r="P37" s="535" t="s">
        <v>296</v>
      </c>
      <c r="Q37" s="535" t="s">
        <v>89</v>
      </c>
      <c r="R37" s="535">
        <v>2019.0</v>
      </c>
      <c r="S37" s="536">
        <v>0.0</v>
      </c>
      <c r="T37" s="536">
        <v>0.0</v>
      </c>
      <c r="U37" s="537">
        <v>0.0</v>
      </c>
      <c r="W37" s="534" t="s">
        <v>292</v>
      </c>
      <c r="X37" s="535" t="s">
        <v>6</v>
      </c>
      <c r="Y37" s="535" t="s">
        <v>294</v>
      </c>
      <c r="Z37" s="535" t="s">
        <v>295</v>
      </c>
      <c r="AA37" s="535" t="s">
        <v>296</v>
      </c>
      <c r="AB37" s="535" t="s">
        <v>297</v>
      </c>
      <c r="AC37" s="535">
        <v>2019.0</v>
      </c>
      <c r="AD37" s="536">
        <v>175.4866986</v>
      </c>
      <c r="AE37" s="536">
        <v>326.9652957</v>
      </c>
      <c r="AF37" s="537">
        <v>76.95684256</v>
      </c>
      <c r="AH37" s="549" t="s">
        <v>298</v>
      </c>
      <c r="AI37" s="550" t="s">
        <v>288</v>
      </c>
      <c r="AJ37" s="550" t="s">
        <v>294</v>
      </c>
      <c r="AK37" s="550" t="s">
        <v>300</v>
      </c>
      <c r="AL37" s="550" t="s">
        <v>296</v>
      </c>
      <c r="AM37" s="550" t="s">
        <v>297</v>
      </c>
      <c r="AN37" s="551">
        <v>2019.0</v>
      </c>
      <c r="AO37" s="552">
        <v>22588.54896</v>
      </c>
      <c r="AP37" s="552">
        <v>38190.59826</v>
      </c>
      <c r="AQ37" s="553">
        <v>12574.49805</v>
      </c>
      <c r="AS37" s="534" t="s">
        <v>296</v>
      </c>
      <c r="AT37" s="535" t="s">
        <v>294</v>
      </c>
      <c r="AU37" s="535" t="s">
        <v>315</v>
      </c>
      <c r="AV37" s="535" t="s">
        <v>357</v>
      </c>
      <c r="AW37" s="535" t="s">
        <v>292</v>
      </c>
      <c r="AX37" s="535" t="s">
        <v>89</v>
      </c>
      <c r="AY37" s="535" t="s">
        <v>304</v>
      </c>
      <c r="AZ37" s="543" t="s">
        <v>305</v>
      </c>
      <c r="BA37" s="536">
        <v>53.28969425</v>
      </c>
      <c r="BB37" s="536">
        <v>19.30529472</v>
      </c>
      <c r="BC37" s="536">
        <v>114.9480405</v>
      </c>
      <c r="BD37" s="537" t="s">
        <v>202</v>
      </c>
      <c r="BF37" s="534" t="s">
        <v>296</v>
      </c>
      <c r="BG37" s="535" t="s">
        <v>294</v>
      </c>
      <c r="BH37" s="535" t="s">
        <v>302</v>
      </c>
      <c r="BI37" s="535" t="s">
        <v>30</v>
      </c>
      <c r="BJ37" s="535" t="s">
        <v>292</v>
      </c>
      <c r="BK37" s="535" t="s">
        <v>307</v>
      </c>
      <c r="BL37" s="535" t="s">
        <v>304</v>
      </c>
      <c r="BM37" s="543" t="s">
        <v>305</v>
      </c>
      <c r="BN37" s="536">
        <v>361.0521294</v>
      </c>
      <c r="BO37" s="536">
        <v>80.87170214</v>
      </c>
      <c r="BP37" s="536">
        <v>912.8111325</v>
      </c>
      <c r="BQ37" s="537" t="s">
        <v>202</v>
      </c>
      <c r="BS37" s="534" t="s">
        <v>296</v>
      </c>
      <c r="BT37" s="535" t="s">
        <v>294</v>
      </c>
      <c r="BU37" s="535" t="s">
        <v>317</v>
      </c>
      <c r="BV37" s="535" t="s">
        <v>390</v>
      </c>
      <c r="BW37" s="535" t="s">
        <v>298</v>
      </c>
      <c r="BX37" s="535" t="s">
        <v>307</v>
      </c>
      <c r="BY37" s="535" t="s">
        <v>304</v>
      </c>
      <c r="BZ37" s="543" t="s">
        <v>305</v>
      </c>
      <c r="CA37" s="536">
        <v>46266.98287</v>
      </c>
      <c r="CB37" s="536">
        <v>17857.36385</v>
      </c>
      <c r="CC37" s="536">
        <v>91075.34623</v>
      </c>
      <c r="CD37" s="537" t="s">
        <v>202</v>
      </c>
      <c r="CE37" s="525"/>
    </row>
    <row r="38">
      <c r="A38" s="509"/>
      <c r="B38" s="526" t="s">
        <v>288</v>
      </c>
      <c r="C38" s="527" t="s">
        <v>289</v>
      </c>
      <c r="D38" s="527" t="s">
        <v>477</v>
      </c>
      <c r="E38" s="530">
        <v>2019.0</v>
      </c>
      <c r="F38" s="527" t="s">
        <v>291</v>
      </c>
      <c r="G38" s="527" t="s">
        <v>89</v>
      </c>
      <c r="H38" s="532">
        <v>81824.06068</v>
      </c>
      <c r="I38" s="532">
        <v>89909.45492</v>
      </c>
      <c r="J38" s="533">
        <v>73452.07188</v>
      </c>
      <c r="K38" s="516"/>
      <c r="L38" s="534" t="s">
        <v>292</v>
      </c>
      <c r="M38" s="535" t="s">
        <v>370</v>
      </c>
      <c r="N38" s="535" t="s">
        <v>294</v>
      </c>
      <c r="O38" s="535" t="s">
        <v>319</v>
      </c>
      <c r="P38" s="535" t="s">
        <v>296</v>
      </c>
      <c r="Q38" s="535" t="s">
        <v>89</v>
      </c>
      <c r="R38" s="535">
        <v>2019.0</v>
      </c>
      <c r="S38" s="536">
        <v>1225.77792505905</v>
      </c>
      <c r="T38" s="536">
        <v>3363.86742945082</v>
      </c>
      <c r="U38" s="537">
        <v>229.255552029983</v>
      </c>
      <c r="W38" s="534" t="s">
        <v>292</v>
      </c>
      <c r="X38" s="535" t="s">
        <v>479</v>
      </c>
      <c r="Y38" s="535" t="s">
        <v>294</v>
      </c>
      <c r="Z38" s="535" t="s">
        <v>295</v>
      </c>
      <c r="AA38" s="535" t="s">
        <v>296</v>
      </c>
      <c r="AB38" s="535" t="s">
        <v>297</v>
      </c>
      <c r="AC38" s="535">
        <v>2019.0</v>
      </c>
      <c r="AD38" s="536">
        <v>23.1120573</v>
      </c>
      <c r="AE38" s="536">
        <v>104.2470632</v>
      </c>
      <c r="AF38" s="537">
        <v>1.227673364</v>
      </c>
      <c r="AH38" s="538" t="s">
        <v>298</v>
      </c>
      <c r="AI38" s="539" t="s">
        <v>480</v>
      </c>
      <c r="AJ38" s="539" t="s">
        <v>294</v>
      </c>
      <c r="AK38" s="539" t="s">
        <v>323</v>
      </c>
      <c r="AL38" s="539" t="s">
        <v>296</v>
      </c>
      <c r="AM38" s="539" t="s">
        <v>297</v>
      </c>
      <c r="AN38" s="540">
        <v>2019.0</v>
      </c>
      <c r="AO38" s="541">
        <v>27733.84706</v>
      </c>
      <c r="AP38" s="541">
        <v>46936.60734</v>
      </c>
      <c r="AQ38" s="542">
        <v>11982.23365</v>
      </c>
      <c r="AS38" s="534" t="s">
        <v>296</v>
      </c>
      <c r="AT38" s="535" t="s">
        <v>294</v>
      </c>
      <c r="AU38" s="535" t="s">
        <v>325</v>
      </c>
      <c r="AV38" s="535" t="s">
        <v>357</v>
      </c>
      <c r="AW38" s="535" t="s">
        <v>292</v>
      </c>
      <c r="AX38" s="535" t="s">
        <v>89</v>
      </c>
      <c r="AY38" s="535" t="s">
        <v>304</v>
      </c>
      <c r="AZ38" s="543" t="s">
        <v>305</v>
      </c>
      <c r="BA38" s="536">
        <v>293.8462351</v>
      </c>
      <c r="BB38" s="536">
        <v>122.0201949</v>
      </c>
      <c r="BC38" s="536">
        <v>543.8531407</v>
      </c>
      <c r="BD38" s="537" t="s">
        <v>202</v>
      </c>
      <c r="BF38" s="534" t="s">
        <v>296</v>
      </c>
      <c r="BG38" s="535" t="s">
        <v>294</v>
      </c>
      <c r="BH38" s="535" t="s">
        <v>302</v>
      </c>
      <c r="BI38" s="535" t="s">
        <v>482</v>
      </c>
      <c r="BJ38" s="535" t="s">
        <v>292</v>
      </c>
      <c r="BK38" s="535" t="s">
        <v>307</v>
      </c>
      <c r="BL38" s="535" t="s">
        <v>304</v>
      </c>
      <c r="BM38" s="543" t="s">
        <v>305</v>
      </c>
      <c r="BN38" s="536">
        <v>367.0954947</v>
      </c>
      <c r="BO38" s="536">
        <v>111.8646718</v>
      </c>
      <c r="BP38" s="536">
        <v>731.8766353</v>
      </c>
      <c r="BQ38" s="537" t="s">
        <v>202</v>
      </c>
      <c r="BS38" s="534" t="s">
        <v>296</v>
      </c>
      <c r="BT38" s="535" t="s">
        <v>294</v>
      </c>
      <c r="BU38" s="535" t="s">
        <v>309</v>
      </c>
      <c r="BV38" s="535" t="s">
        <v>396</v>
      </c>
      <c r="BW38" s="535" t="s">
        <v>298</v>
      </c>
      <c r="BX38" s="535" t="s">
        <v>307</v>
      </c>
      <c r="BY38" s="535" t="s">
        <v>304</v>
      </c>
      <c r="BZ38" s="543" t="s">
        <v>305</v>
      </c>
      <c r="CA38" s="536">
        <v>33880.86503</v>
      </c>
      <c r="CB38" s="536">
        <v>5583.59561</v>
      </c>
      <c r="CC38" s="536">
        <v>110536.0976</v>
      </c>
      <c r="CD38" s="537" t="s">
        <v>202</v>
      </c>
      <c r="CE38" s="525"/>
    </row>
    <row r="39">
      <c r="A39" s="509"/>
      <c r="B39" s="544" t="s">
        <v>288</v>
      </c>
      <c r="C39" s="545" t="s">
        <v>289</v>
      </c>
      <c r="D39" s="545" t="s">
        <v>483</v>
      </c>
      <c r="E39" s="546">
        <v>2019.0</v>
      </c>
      <c r="F39" s="545" t="s">
        <v>291</v>
      </c>
      <c r="G39" s="545" t="s">
        <v>89</v>
      </c>
      <c r="H39" s="547">
        <v>53726.02674</v>
      </c>
      <c r="I39" s="547">
        <v>59034.93103</v>
      </c>
      <c r="J39" s="548">
        <v>48228.94324</v>
      </c>
      <c r="K39" s="516"/>
      <c r="L39" s="534" t="s">
        <v>292</v>
      </c>
      <c r="M39" s="535" t="s">
        <v>370</v>
      </c>
      <c r="N39" s="535" t="s">
        <v>294</v>
      </c>
      <c r="O39" s="535" t="s">
        <v>327</v>
      </c>
      <c r="P39" s="535" t="s">
        <v>296</v>
      </c>
      <c r="Q39" s="535" t="s">
        <v>89</v>
      </c>
      <c r="R39" s="535">
        <v>2019.0</v>
      </c>
      <c r="S39" s="536">
        <v>3717.41076641146</v>
      </c>
      <c r="T39" s="536">
        <v>10090.0551769763</v>
      </c>
      <c r="U39" s="537">
        <v>719.022226604299</v>
      </c>
      <c r="W39" s="592" t="s">
        <v>292</v>
      </c>
      <c r="X39" s="593" t="s">
        <v>484</v>
      </c>
      <c r="Y39" s="593" t="s">
        <v>294</v>
      </c>
      <c r="Z39" s="593" t="s">
        <v>295</v>
      </c>
      <c r="AA39" s="593" t="s">
        <v>296</v>
      </c>
      <c r="AB39" s="593" t="s">
        <v>297</v>
      </c>
      <c r="AC39" s="595">
        <v>2019.0</v>
      </c>
      <c r="AD39" s="596">
        <v>0.006077418041</v>
      </c>
      <c r="AE39" s="596">
        <v>0.03098650751</v>
      </c>
      <c r="AF39" s="597">
        <v>2.792184427E-4</v>
      </c>
      <c r="AH39" s="549" t="s">
        <v>298</v>
      </c>
      <c r="AI39" s="550" t="s">
        <v>480</v>
      </c>
      <c r="AJ39" s="550" t="s">
        <v>294</v>
      </c>
      <c r="AK39" s="550" t="s">
        <v>300</v>
      </c>
      <c r="AL39" s="550" t="s">
        <v>296</v>
      </c>
      <c r="AM39" s="550" t="s">
        <v>297</v>
      </c>
      <c r="AN39" s="551">
        <v>2019.0</v>
      </c>
      <c r="AO39" s="552">
        <v>12269.61914</v>
      </c>
      <c r="AP39" s="552">
        <v>19807.53277</v>
      </c>
      <c r="AQ39" s="553">
        <v>7566.097902</v>
      </c>
      <c r="AS39" s="534" t="s">
        <v>296</v>
      </c>
      <c r="AT39" s="535" t="s">
        <v>294</v>
      </c>
      <c r="AU39" s="535" t="s">
        <v>332</v>
      </c>
      <c r="AV39" s="535" t="s">
        <v>357</v>
      </c>
      <c r="AW39" s="535" t="s">
        <v>292</v>
      </c>
      <c r="AX39" s="535" t="s">
        <v>89</v>
      </c>
      <c r="AY39" s="535" t="s">
        <v>304</v>
      </c>
      <c r="AZ39" s="543" t="s">
        <v>305</v>
      </c>
      <c r="BA39" s="536">
        <v>2370.99764</v>
      </c>
      <c r="BB39" s="536">
        <v>989.50418</v>
      </c>
      <c r="BC39" s="536">
        <v>4691.870046</v>
      </c>
      <c r="BD39" s="537" t="s">
        <v>202</v>
      </c>
      <c r="BF39" s="534" t="s">
        <v>296</v>
      </c>
      <c r="BG39" s="535" t="s">
        <v>294</v>
      </c>
      <c r="BH39" s="535" t="s">
        <v>302</v>
      </c>
      <c r="BI39" s="535" t="s">
        <v>487</v>
      </c>
      <c r="BJ39" s="535" t="s">
        <v>292</v>
      </c>
      <c r="BK39" s="535" t="s">
        <v>307</v>
      </c>
      <c r="BL39" s="535" t="s">
        <v>304</v>
      </c>
      <c r="BM39" s="543" t="s">
        <v>305</v>
      </c>
      <c r="BN39" s="536">
        <v>201.7036478</v>
      </c>
      <c r="BO39" s="536">
        <v>39.91615685</v>
      </c>
      <c r="BP39" s="536">
        <v>498.1611602</v>
      </c>
      <c r="BQ39" s="537" t="s">
        <v>202</v>
      </c>
      <c r="BS39" s="534" t="s">
        <v>296</v>
      </c>
      <c r="BT39" s="535" t="s">
        <v>294</v>
      </c>
      <c r="BU39" s="535" t="s">
        <v>317</v>
      </c>
      <c r="BV39" s="535" t="s">
        <v>396</v>
      </c>
      <c r="BW39" s="535" t="s">
        <v>298</v>
      </c>
      <c r="BX39" s="535" t="s">
        <v>307</v>
      </c>
      <c r="BY39" s="535" t="s">
        <v>304</v>
      </c>
      <c r="BZ39" s="543" t="s">
        <v>305</v>
      </c>
      <c r="CA39" s="536">
        <v>14811.4519</v>
      </c>
      <c r="CB39" s="536">
        <v>3396.549533</v>
      </c>
      <c r="CC39" s="536">
        <v>36348.90357</v>
      </c>
      <c r="CD39" s="537" t="s">
        <v>202</v>
      </c>
      <c r="CE39" s="525"/>
    </row>
    <row r="40">
      <c r="A40" s="509"/>
      <c r="B40" s="526" t="s">
        <v>288</v>
      </c>
      <c r="C40" s="527" t="s">
        <v>289</v>
      </c>
      <c r="D40" s="527" t="s">
        <v>489</v>
      </c>
      <c r="E40" s="530">
        <v>2019.0</v>
      </c>
      <c r="F40" s="527" t="s">
        <v>291</v>
      </c>
      <c r="G40" s="527" t="s">
        <v>89</v>
      </c>
      <c r="H40" s="532">
        <v>28097.26257</v>
      </c>
      <c r="I40" s="532">
        <v>30875.56293</v>
      </c>
      <c r="J40" s="533">
        <v>25222.9934</v>
      </c>
      <c r="K40" s="516"/>
      <c r="L40" s="534" t="s">
        <v>292</v>
      </c>
      <c r="M40" s="535" t="s">
        <v>370</v>
      </c>
      <c r="N40" s="535" t="s">
        <v>294</v>
      </c>
      <c r="O40" s="535" t="s">
        <v>335</v>
      </c>
      <c r="P40" s="535" t="s">
        <v>296</v>
      </c>
      <c r="Q40" s="535" t="s">
        <v>89</v>
      </c>
      <c r="R40" s="535">
        <v>2019.0</v>
      </c>
      <c r="S40" s="536">
        <v>13103.6626798708</v>
      </c>
      <c r="T40" s="536">
        <v>34632.1107249333</v>
      </c>
      <c r="U40" s="537">
        <v>2584.93561278933</v>
      </c>
      <c r="W40" s="534" t="s">
        <v>292</v>
      </c>
      <c r="X40" s="535" t="s">
        <v>439</v>
      </c>
      <c r="Y40" s="535" t="s">
        <v>294</v>
      </c>
      <c r="Z40" s="535" t="s">
        <v>295</v>
      </c>
      <c r="AA40" s="535" t="s">
        <v>296</v>
      </c>
      <c r="AB40" s="535" t="s">
        <v>297</v>
      </c>
      <c r="AC40" s="535">
        <v>2019.0</v>
      </c>
      <c r="AD40" s="536">
        <v>341.336161</v>
      </c>
      <c r="AE40" s="536">
        <v>686.3011723</v>
      </c>
      <c r="AF40" s="537">
        <v>117.2600591</v>
      </c>
      <c r="AH40" s="538" t="s">
        <v>298</v>
      </c>
      <c r="AI40" s="539" t="s">
        <v>458</v>
      </c>
      <c r="AJ40" s="539" t="s">
        <v>294</v>
      </c>
      <c r="AK40" s="539" t="s">
        <v>300</v>
      </c>
      <c r="AL40" s="539" t="s">
        <v>296</v>
      </c>
      <c r="AM40" s="539" t="s">
        <v>297</v>
      </c>
      <c r="AN40" s="540">
        <v>2019.0</v>
      </c>
      <c r="AO40" s="541">
        <v>5641.167456</v>
      </c>
      <c r="AP40" s="541">
        <v>14412.18995</v>
      </c>
      <c r="AQ40" s="542">
        <v>2025.166637</v>
      </c>
      <c r="AS40" s="534" t="s">
        <v>296</v>
      </c>
      <c r="AT40" s="535" t="s">
        <v>294</v>
      </c>
      <c r="AU40" s="535" t="s">
        <v>302</v>
      </c>
      <c r="AV40" s="535" t="s">
        <v>361</v>
      </c>
      <c r="AW40" s="535" t="s">
        <v>292</v>
      </c>
      <c r="AX40" s="535" t="s">
        <v>89</v>
      </c>
      <c r="AY40" s="535" t="s">
        <v>304</v>
      </c>
      <c r="AZ40" s="543" t="s">
        <v>305</v>
      </c>
      <c r="BA40" s="536">
        <v>1589.706519</v>
      </c>
      <c r="BB40" s="536">
        <v>565.2964202</v>
      </c>
      <c r="BC40" s="536">
        <v>2959.756317</v>
      </c>
      <c r="BD40" s="537" t="s">
        <v>202</v>
      </c>
      <c r="BF40" s="681" t="s">
        <v>296</v>
      </c>
      <c r="BG40" s="682" t="s">
        <v>294</v>
      </c>
      <c r="BH40" s="682" t="s">
        <v>302</v>
      </c>
      <c r="BI40" s="682" t="s">
        <v>491</v>
      </c>
      <c r="BJ40" s="682" t="s">
        <v>292</v>
      </c>
      <c r="BK40" s="682" t="s">
        <v>307</v>
      </c>
      <c r="BL40" s="682" t="s">
        <v>304</v>
      </c>
      <c r="BM40" s="683" t="s">
        <v>305</v>
      </c>
      <c r="BN40" s="684">
        <v>312.9621352</v>
      </c>
      <c r="BO40" s="684">
        <v>61.59652221</v>
      </c>
      <c r="BP40" s="684">
        <v>708.6789672</v>
      </c>
      <c r="BQ40" s="685" t="s">
        <v>202</v>
      </c>
      <c r="BS40" s="534" t="s">
        <v>296</v>
      </c>
      <c r="BT40" s="535" t="s">
        <v>294</v>
      </c>
      <c r="BU40" s="535" t="s">
        <v>309</v>
      </c>
      <c r="BV40" s="535" t="s">
        <v>400</v>
      </c>
      <c r="BW40" s="535" t="s">
        <v>298</v>
      </c>
      <c r="BX40" s="535" t="s">
        <v>307</v>
      </c>
      <c r="BY40" s="535" t="s">
        <v>304</v>
      </c>
      <c r="BZ40" s="543" t="s">
        <v>305</v>
      </c>
      <c r="CA40" s="536">
        <v>69112.49649</v>
      </c>
      <c r="CB40" s="536">
        <v>22314.05434</v>
      </c>
      <c r="CC40" s="536">
        <v>140498.9487</v>
      </c>
      <c r="CD40" s="537" t="s">
        <v>202</v>
      </c>
      <c r="CE40" s="525"/>
    </row>
    <row r="41">
      <c r="A41" s="509"/>
      <c r="B41" s="544" t="s">
        <v>288</v>
      </c>
      <c r="C41" s="545" t="s">
        <v>289</v>
      </c>
      <c r="D41" s="545" t="s">
        <v>493</v>
      </c>
      <c r="E41" s="546">
        <v>2019.0</v>
      </c>
      <c r="F41" s="545" t="s">
        <v>291</v>
      </c>
      <c r="G41" s="545" t="s">
        <v>89</v>
      </c>
      <c r="H41" s="547">
        <v>20550.49108</v>
      </c>
      <c r="I41" s="547">
        <v>22581.17522</v>
      </c>
      <c r="J41" s="548">
        <v>18447.8274</v>
      </c>
      <c r="K41" s="516"/>
      <c r="L41" s="534" t="s">
        <v>292</v>
      </c>
      <c r="M41" s="535" t="s">
        <v>370</v>
      </c>
      <c r="N41" s="535" t="s">
        <v>294</v>
      </c>
      <c r="O41" s="535" t="s">
        <v>300</v>
      </c>
      <c r="P41" s="535" t="s">
        <v>296</v>
      </c>
      <c r="Q41" s="535" t="s">
        <v>89</v>
      </c>
      <c r="R41" s="535">
        <v>2019.0</v>
      </c>
      <c r="S41" s="536">
        <v>627.623481782895</v>
      </c>
      <c r="T41" s="536">
        <v>1732.49702777666</v>
      </c>
      <c r="U41" s="537">
        <v>117.912203597335</v>
      </c>
      <c r="W41" s="592" t="s">
        <v>292</v>
      </c>
      <c r="X41" s="593" t="s">
        <v>7</v>
      </c>
      <c r="Y41" s="593" t="s">
        <v>294</v>
      </c>
      <c r="Z41" s="593" t="s">
        <v>295</v>
      </c>
      <c r="AA41" s="593" t="s">
        <v>296</v>
      </c>
      <c r="AB41" s="593" t="s">
        <v>297</v>
      </c>
      <c r="AC41" s="595">
        <v>2019.0</v>
      </c>
      <c r="AD41" s="596">
        <v>285.2966994</v>
      </c>
      <c r="AE41" s="596">
        <v>517.1108502</v>
      </c>
      <c r="AF41" s="597">
        <v>133.9331351</v>
      </c>
      <c r="AH41" s="549" t="s">
        <v>298</v>
      </c>
      <c r="AI41" s="550" t="s">
        <v>312</v>
      </c>
      <c r="AJ41" s="550" t="s">
        <v>294</v>
      </c>
      <c r="AK41" s="550" t="s">
        <v>323</v>
      </c>
      <c r="AL41" s="550" t="s">
        <v>296</v>
      </c>
      <c r="AM41" s="550" t="s">
        <v>297</v>
      </c>
      <c r="AN41" s="551">
        <v>2019.0</v>
      </c>
      <c r="AO41" s="552">
        <v>1.966483725</v>
      </c>
      <c r="AP41" s="552">
        <v>8.525385069</v>
      </c>
      <c r="AQ41" s="553">
        <v>0.204096199</v>
      </c>
      <c r="AS41" s="534" t="s">
        <v>296</v>
      </c>
      <c r="AT41" s="535" t="s">
        <v>294</v>
      </c>
      <c r="AU41" s="535" t="s">
        <v>315</v>
      </c>
      <c r="AV41" s="535" t="s">
        <v>361</v>
      </c>
      <c r="AW41" s="535" t="s">
        <v>292</v>
      </c>
      <c r="AX41" s="535" t="s">
        <v>89</v>
      </c>
      <c r="AY41" s="535" t="s">
        <v>304</v>
      </c>
      <c r="AZ41" s="543" t="s">
        <v>305</v>
      </c>
      <c r="BA41" s="536">
        <v>79.40437259</v>
      </c>
      <c r="BB41" s="536">
        <v>18.64016634</v>
      </c>
      <c r="BC41" s="536">
        <v>189.3975337</v>
      </c>
      <c r="BD41" s="537" t="s">
        <v>202</v>
      </c>
      <c r="BS41" s="534" t="s">
        <v>296</v>
      </c>
      <c r="BT41" s="535" t="s">
        <v>294</v>
      </c>
      <c r="BU41" s="535" t="s">
        <v>317</v>
      </c>
      <c r="BV41" s="535" t="s">
        <v>400</v>
      </c>
      <c r="BW41" s="535" t="s">
        <v>298</v>
      </c>
      <c r="BX41" s="535" t="s">
        <v>307</v>
      </c>
      <c r="BY41" s="535" t="s">
        <v>304</v>
      </c>
      <c r="BZ41" s="543" t="s">
        <v>305</v>
      </c>
      <c r="CA41" s="536">
        <v>27045.2251</v>
      </c>
      <c r="CB41" s="536">
        <v>8581.470136</v>
      </c>
      <c r="CC41" s="536">
        <v>53106.17098</v>
      </c>
      <c r="CD41" s="537" t="s">
        <v>202</v>
      </c>
      <c r="CE41" s="525"/>
    </row>
    <row r="42">
      <c r="A42" s="509"/>
      <c r="B42" s="526" t="s">
        <v>288</v>
      </c>
      <c r="C42" s="527" t="s">
        <v>289</v>
      </c>
      <c r="D42" s="527" t="s">
        <v>496</v>
      </c>
      <c r="E42" s="530">
        <v>2019.0</v>
      </c>
      <c r="F42" s="527" t="s">
        <v>291</v>
      </c>
      <c r="G42" s="527" t="s">
        <v>89</v>
      </c>
      <c r="H42" s="532">
        <v>6232.585455</v>
      </c>
      <c r="I42" s="532">
        <v>6848.454554</v>
      </c>
      <c r="J42" s="533">
        <v>5594.886285</v>
      </c>
      <c r="K42" s="516"/>
      <c r="L42" s="534" t="s">
        <v>292</v>
      </c>
      <c r="M42" s="535" t="s">
        <v>439</v>
      </c>
      <c r="N42" s="535" t="s">
        <v>294</v>
      </c>
      <c r="O42" s="535" t="s">
        <v>295</v>
      </c>
      <c r="P42" s="535" t="s">
        <v>296</v>
      </c>
      <c r="Q42" s="535" t="s">
        <v>89</v>
      </c>
      <c r="R42" s="535">
        <v>2019.0</v>
      </c>
      <c r="S42" s="536">
        <v>16564.5783579271</v>
      </c>
      <c r="T42" s="536">
        <v>33305.2598756722</v>
      </c>
      <c r="U42" s="537">
        <v>5690.47074044403</v>
      </c>
      <c r="W42" s="573" t="s">
        <v>292</v>
      </c>
      <c r="X42" s="574" t="s">
        <v>420</v>
      </c>
      <c r="Y42" s="574" t="s">
        <v>294</v>
      </c>
      <c r="Z42" s="574" t="s">
        <v>295</v>
      </c>
      <c r="AA42" s="574" t="s">
        <v>296</v>
      </c>
      <c r="AB42" s="574" t="s">
        <v>297</v>
      </c>
      <c r="AC42" s="575">
        <v>2019.0</v>
      </c>
      <c r="AD42" s="576">
        <v>1.733758005</v>
      </c>
      <c r="AE42" s="576">
        <v>4.696618534</v>
      </c>
      <c r="AF42" s="578">
        <v>0.4342252851</v>
      </c>
      <c r="AH42" s="538" t="s">
        <v>298</v>
      </c>
      <c r="AI42" s="539" t="s">
        <v>500</v>
      </c>
      <c r="AJ42" s="539" t="s">
        <v>294</v>
      </c>
      <c r="AK42" s="539" t="s">
        <v>323</v>
      </c>
      <c r="AL42" s="539" t="s">
        <v>296</v>
      </c>
      <c r="AM42" s="539" t="s">
        <v>297</v>
      </c>
      <c r="AN42" s="540">
        <v>2019.0</v>
      </c>
      <c r="AO42" s="541">
        <v>256.1535513</v>
      </c>
      <c r="AP42" s="541">
        <v>1970.879818</v>
      </c>
      <c r="AQ42" s="542">
        <v>2.929215068</v>
      </c>
      <c r="AS42" s="534" t="s">
        <v>296</v>
      </c>
      <c r="AT42" s="535" t="s">
        <v>294</v>
      </c>
      <c r="AU42" s="535" t="s">
        <v>325</v>
      </c>
      <c r="AV42" s="535" t="s">
        <v>361</v>
      </c>
      <c r="AW42" s="535" t="s">
        <v>292</v>
      </c>
      <c r="AX42" s="535" t="s">
        <v>89</v>
      </c>
      <c r="AY42" s="535" t="s">
        <v>304</v>
      </c>
      <c r="AZ42" s="543" t="s">
        <v>305</v>
      </c>
      <c r="BA42" s="536">
        <v>458.3671758</v>
      </c>
      <c r="BB42" s="536">
        <v>128.3883171</v>
      </c>
      <c r="BC42" s="536">
        <v>1011.209071</v>
      </c>
      <c r="BD42" s="537" t="s">
        <v>202</v>
      </c>
      <c r="BS42" s="534" t="s">
        <v>296</v>
      </c>
      <c r="BT42" s="535" t="s">
        <v>294</v>
      </c>
      <c r="BU42" s="535" t="s">
        <v>309</v>
      </c>
      <c r="BV42" s="535" t="s">
        <v>405</v>
      </c>
      <c r="BW42" s="535" t="s">
        <v>298</v>
      </c>
      <c r="BX42" s="535" t="s">
        <v>307</v>
      </c>
      <c r="BY42" s="535" t="s">
        <v>304</v>
      </c>
      <c r="BZ42" s="543" t="s">
        <v>305</v>
      </c>
      <c r="CA42" s="536">
        <v>28602.5849</v>
      </c>
      <c r="CB42" s="536">
        <v>3895.982339</v>
      </c>
      <c r="CC42" s="536">
        <v>96556.55225</v>
      </c>
      <c r="CD42" s="537" t="s">
        <v>202</v>
      </c>
      <c r="CE42" s="525"/>
    </row>
    <row r="43">
      <c r="A43" s="509"/>
      <c r="B43" s="544" t="s">
        <v>288</v>
      </c>
      <c r="C43" s="545" t="s">
        <v>289</v>
      </c>
      <c r="D43" s="545" t="s">
        <v>502</v>
      </c>
      <c r="E43" s="546">
        <v>2019.0</v>
      </c>
      <c r="F43" s="545" t="s">
        <v>291</v>
      </c>
      <c r="G43" s="545" t="s">
        <v>89</v>
      </c>
      <c r="H43" s="547">
        <v>1314.957405</v>
      </c>
      <c r="I43" s="547">
        <v>1444.894112</v>
      </c>
      <c r="J43" s="548">
        <v>1180.414966</v>
      </c>
      <c r="K43" s="516"/>
      <c r="L43" s="534" t="s">
        <v>292</v>
      </c>
      <c r="M43" s="535" t="s">
        <v>439</v>
      </c>
      <c r="N43" s="535" t="s">
        <v>294</v>
      </c>
      <c r="O43" s="535" t="s">
        <v>311</v>
      </c>
      <c r="P43" s="535" t="s">
        <v>296</v>
      </c>
      <c r="Q43" s="535" t="s">
        <v>89</v>
      </c>
      <c r="R43" s="535">
        <v>2019.0</v>
      </c>
      <c r="S43" s="536">
        <v>0.0</v>
      </c>
      <c r="T43" s="536">
        <v>0.0</v>
      </c>
      <c r="U43" s="537">
        <v>0.0</v>
      </c>
      <c r="W43" s="534" t="s">
        <v>292</v>
      </c>
      <c r="X43" s="535" t="s">
        <v>458</v>
      </c>
      <c r="Y43" s="535" t="s">
        <v>294</v>
      </c>
      <c r="Z43" s="535" t="s">
        <v>295</v>
      </c>
      <c r="AA43" s="535" t="s">
        <v>296</v>
      </c>
      <c r="AB43" s="535" t="s">
        <v>297</v>
      </c>
      <c r="AC43" s="535">
        <v>2019.0</v>
      </c>
      <c r="AD43" s="536">
        <v>127.0705437</v>
      </c>
      <c r="AE43" s="536">
        <v>271.4584826</v>
      </c>
      <c r="AF43" s="537">
        <v>46.35156586</v>
      </c>
      <c r="AH43" s="549" t="s">
        <v>298</v>
      </c>
      <c r="AI43" s="550" t="s">
        <v>500</v>
      </c>
      <c r="AJ43" s="550" t="s">
        <v>294</v>
      </c>
      <c r="AK43" s="550" t="s">
        <v>300</v>
      </c>
      <c r="AL43" s="550" t="s">
        <v>296</v>
      </c>
      <c r="AM43" s="550" t="s">
        <v>297</v>
      </c>
      <c r="AN43" s="551">
        <v>2019.0</v>
      </c>
      <c r="AO43" s="552">
        <v>229.0353473</v>
      </c>
      <c r="AP43" s="552">
        <v>1578.614492</v>
      </c>
      <c r="AQ43" s="553">
        <v>5.341304638</v>
      </c>
      <c r="AS43" s="534" t="s">
        <v>296</v>
      </c>
      <c r="AT43" s="535" t="s">
        <v>294</v>
      </c>
      <c r="AU43" s="535" t="s">
        <v>332</v>
      </c>
      <c r="AV43" s="535" t="s">
        <v>361</v>
      </c>
      <c r="AW43" s="535" t="s">
        <v>292</v>
      </c>
      <c r="AX43" s="535" t="s">
        <v>89</v>
      </c>
      <c r="AY43" s="535" t="s">
        <v>304</v>
      </c>
      <c r="AZ43" s="543" t="s">
        <v>305</v>
      </c>
      <c r="BA43" s="536">
        <v>3269.061845</v>
      </c>
      <c r="BB43" s="536">
        <v>1076.118705</v>
      </c>
      <c r="BC43" s="536">
        <v>7078.552762</v>
      </c>
      <c r="BD43" s="537" t="s">
        <v>202</v>
      </c>
      <c r="BS43" s="534" t="s">
        <v>296</v>
      </c>
      <c r="BT43" s="535" t="s">
        <v>294</v>
      </c>
      <c r="BU43" s="535" t="s">
        <v>317</v>
      </c>
      <c r="BV43" s="535" t="s">
        <v>405</v>
      </c>
      <c r="BW43" s="535" t="s">
        <v>298</v>
      </c>
      <c r="BX43" s="535" t="s">
        <v>307</v>
      </c>
      <c r="BY43" s="535" t="s">
        <v>304</v>
      </c>
      <c r="BZ43" s="543" t="s">
        <v>305</v>
      </c>
      <c r="CA43" s="536">
        <v>12477.71595</v>
      </c>
      <c r="CB43" s="536">
        <v>2394.09926</v>
      </c>
      <c r="CC43" s="536">
        <v>31885.18008</v>
      </c>
      <c r="CD43" s="537" t="s">
        <v>202</v>
      </c>
      <c r="CE43" s="525"/>
    </row>
    <row r="44">
      <c r="A44" s="509"/>
      <c r="B44" s="526" t="s">
        <v>288</v>
      </c>
      <c r="C44" s="527" t="s">
        <v>289</v>
      </c>
      <c r="D44" s="527" t="s">
        <v>332</v>
      </c>
      <c r="E44" s="530">
        <v>2019.0</v>
      </c>
      <c r="F44" s="527" t="s">
        <v>291</v>
      </c>
      <c r="G44" s="527" t="s">
        <v>89</v>
      </c>
      <c r="H44" s="532">
        <v>3.013852138E7</v>
      </c>
      <c r="I44" s="532">
        <v>3.311664083E7</v>
      </c>
      <c r="J44" s="533">
        <v>2.705483962E7</v>
      </c>
      <c r="K44" s="516"/>
      <c r="L44" s="534" t="s">
        <v>292</v>
      </c>
      <c r="M44" s="535" t="s">
        <v>439</v>
      </c>
      <c r="N44" s="535" t="s">
        <v>294</v>
      </c>
      <c r="O44" s="535" t="s">
        <v>319</v>
      </c>
      <c r="P44" s="535" t="s">
        <v>296</v>
      </c>
      <c r="Q44" s="535" t="s">
        <v>89</v>
      </c>
      <c r="R44" s="535">
        <v>2019.0</v>
      </c>
      <c r="S44" s="536">
        <v>623.029611169424</v>
      </c>
      <c r="T44" s="536">
        <v>1467.05662988841</v>
      </c>
      <c r="U44" s="537">
        <v>165.991428178028</v>
      </c>
      <c r="W44" s="534" t="s">
        <v>292</v>
      </c>
      <c r="X44" s="535" t="s">
        <v>508</v>
      </c>
      <c r="Y44" s="535" t="s">
        <v>294</v>
      </c>
      <c r="Z44" s="535" t="s">
        <v>295</v>
      </c>
      <c r="AA44" s="535" t="s">
        <v>296</v>
      </c>
      <c r="AB44" s="535" t="s">
        <v>297</v>
      </c>
      <c r="AC44" s="535">
        <v>2019.0</v>
      </c>
      <c r="AD44" s="536">
        <v>33.21838221</v>
      </c>
      <c r="AE44" s="536">
        <v>77.51124107</v>
      </c>
      <c r="AF44" s="537">
        <v>9.420741328</v>
      </c>
      <c r="AH44" s="538" t="s">
        <v>298</v>
      </c>
      <c r="AI44" s="539" t="s">
        <v>409</v>
      </c>
      <c r="AJ44" s="539" t="s">
        <v>294</v>
      </c>
      <c r="AK44" s="539" t="s">
        <v>300</v>
      </c>
      <c r="AL44" s="539" t="s">
        <v>296</v>
      </c>
      <c r="AM44" s="539" t="s">
        <v>297</v>
      </c>
      <c r="AN44" s="540">
        <v>2019.0</v>
      </c>
      <c r="AO44" s="541">
        <v>31543.41388</v>
      </c>
      <c r="AP44" s="541">
        <v>58783.34359</v>
      </c>
      <c r="AQ44" s="542">
        <v>13627.22694</v>
      </c>
      <c r="AS44" s="534" t="s">
        <v>296</v>
      </c>
      <c r="AT44" s="535" t="s">
        <v>294</v>
      </c>
      <c r="AU44" s="535" t="s">
        <v>302</v>
      </c>
      <c r="AV44" s="535" t="s">
        <v>365</v>
      </c>
      <c r="AW44" s="535" t="s">
        <v>292</v>
      </c>
      <c r="AX44" s="535" t="s">
        <v>89</v>
      </c>
      <c r="AY44" s="535" t="s">
        <v>304</v>
      </c>
      <c r="AZ44" s="543" t="s">
        <v>305</v>
      </c>
      <c r="BA44" s="536">
        <v>1889.269696</v>
      </c>
      <c r="BB44" s="536">
        <v>790.5296312</v>
      </c>
      <c r="BC44" s="536">
        <v>3333.99834</v>
      </c>
      <c r="BD44" s="537" t="s">
        <v>202</v>
      </c>
      <c r="BS44" s="534" t="s">
        <v>296</v>
      </c>
      <c r="BT44" s="535" t="s">
        <v>294</v>
      </c>
      <c r="BU44" s="535" t="s">
        <v>309</v>
      </c>
      <c r="BV44" s="535" t="s">
        <v>412</v>
      </c>
      <c r="BW44" s="535" t="s">
        <v>298</v>
      </c>
      <c r="BX44" s="535" t="s">
        <v>307</v>
      </c>
      <c r="BY44" s="535" t="s">
        <v>304</v>
      </c>
      <c r="BZ44" s="543" t="s">
        <v>305</v>
      </c>
      <c r="CA44" s="536">
        <v>37883.54314</v>
      </c>
      <c r="CB44" s="536">
        <v>7564.778474</v>
      </c>
      <c r="CC44" s="536">
        <v>101176.3511</v>
      </c>
      <c r="CD44" s="537" t="s">
        <v>202</v>
      </c>
      <c r="CE44" s="525"/>
    </row>
    <row r="45">
      <c r="A45" s="509"/>
      <c r="B45" s="544" t="s">
        <v>288</v>
      </c>
      <c r="C45" s="545" t="s">
        <v>289</v>
      </c>
      <c r="D45" s="545" t="s">
        <v>510</v>
      </c>
      <c r="E45" s="546">
        <v>2019.0</v>
      </c>
      <c r="F45" s="545" t="s">
        <v>291</v>
      </c>
      <c r="G45" s="545" t="s">
        <v>89</v>
      </c>
      <c r="H45" s="547">
        <v>1104438.755</v>
      </c>
      <c r="I45" s="547">
        <v>1214100.479</v>
      </c>
      <c r="J45" s="548">
        <v>999012.3576</v>
      </c>
      <c r="K45" s="516"/>
      <c r="L45" s="534" t="s">
        <v>292</v>
      </c>
      <c r="M45" s="535" t="s">
        <v>439</v>
      </c>
      <c r="N45" s="535" t="s">
        <v>294</v>
      </c>
      <c r="O45" s="535" t="s">
        <v>327</v>
      </c>
      <c r="P45" s="535" t="s">
        <v>296</v>
      </c>
      <c r="Q45" s="535" t="s">
        <v>89</v>
      </c>
      <c r="R45" s="535">
        <v>2019.0</v>
      </c>
      <c r="S45" s="536">
        <v>3829.92423000014</v>
      </c>
      <c r="T45" s="536">
        <v>8037.55731683187</v>
      </c>
      <c r="U45" s="537">
        <v>1203.89813372365</v>
      </c>
      <c r="W45" s="534" t="s">
        <v>292</v>
      </c>
      <c r="X45" s="535" t="s">
        <v>511</v>
      </c>
      <c r="Y45" s="535" t="s">
        <v>294</v>
      </c>
      <c r="Z45" s="535" t="s">
        <v>295</v>
      </c>
      <c r="AA45" s="535" t="s">
        <v>296</v>
      </c>
      <c r="AB45" s="535" t="s">
        <v>297</v>
      </c>
      <c r="AC45" s="535">
        <v>2019.0</v>
      </c>
      <c r="AD45" s="536">
        <v>92.94519057</v>
      </c>
      <c r="AE45" s="536">
        <v>259.2820672</v>
      </c>
      <c r="AF45" s="537">
        <v>13.86903425</v>
      </c>
      <c r="AH45" s="549" t="s">
        <v>298</v>
      </c>
      <c r="AI45" s="550" t="s">
        <v>419</v>
      </c>
      <c r="AJ45" s="550" t="s">
        <v>294</v>
      </c>
      <c r="AK45" s="550" t="s">
        <v>300</v>
      </c>
      <c r="AL45" s="550" t="s">
        <v>296</v>
      </c>
      <c r="AM45" s="550" t="s">
        <v>297</v>
      </c>
      <c r="AN45" s="551">
        <v>2019.0</v>
      </c>
      <c r="AO45" s="552">
        <v>26425.99177</v>
      </c>
      <c r="AP45" s="552">
        <v>50293.97685</v>
      </c>
      <c r="AQ45" s="553">
        <v>14953.47096</v>
      </c>
      <c r="AS45" s="534" t="s">
        <v>296</v>
      </c>
      <c r="AT45" s="535" t="s">
        <v>294</v>
      </c>
      <c r="AU45" s="535" t="s">
        <v>315</v>
      </c>
      <c r="AV45" s="535" t="s">
        <v>365</v>
      </c>
      <c r="AW45" s="535" t="s">
        <v>292</v>
      </c>
      <c r="AX45" s="535" t="s">
        <v>89</v>
      </c>
      <c r="AY45" s="535" t="s">
        <v>304</v>
      </c>
      <c r="AZ45" s="543" t="s">
        <v>305</v>
      </c>
      <c r="BA45" s="536">
        <v>94.08226285</v>
      </c>
      <c r="BB45" s="536">
        <v>29.20872737</v>
      </c>
      <c r="BC45" s="536">
        <v>215.55375</v>
      </c>
      <c r="BD45" s="537" t="s">
        <v>202</v>
      </c>
      <c r="BS45" s="534" t="s">
        <v>296</v>
      </c>
      <c r="BT45" s="535" t="s">
        <v>294</v>
      </c>
      <c r="BU45" s="535" t="s">
        <v>317</v>
      </c>
      <c r="BV45" s="535" t="s">
        <v>412</v>
      </c>
      <c r="BW45" s="535" t="s">
        <v>298</v>
      </c>
      <c r="BX45" s="535" t="s">
        <v>307</v>
      </c>
      <c r="BY45" s="535" t="s">
        <v>304</v>
      </c>
      <c r="BZ45" s="543" t="s">
        <v>305</v>
      </c>
      <c r="CA45" s="536">
        <v>16054.04848</v>
      </c>
      <c r="CB45" s="536">
        <v>3275.200218</v>
      </c>
      <c r="CC45" s="536">
        <v>32120.86953</v>
      </c>
      <c r="CD45" s="537" t="s">
        <v>202</v>
      </c>
      <c r="CE45" s="525"/>
    </row>
    <row r="46">
      <c r="A46" s="509"/>
      <c r="B46" s="526" t="s">
        <v>288</v>
      </c>
      <c r="C46" s="527" t="s">
        <v>289</v>
      </c>
      <c r="D46" s="527" t="s">
        <v>512</v>
      </c>
      <c r="E46" s="530">
        <v>2019.0</v>
      </c>
      <c r="F46" s="527" t="s">
        <v>291</v>
      </c>
      <c r="G46" s="527" t="s">
        <v>89</v>
      </c>
      <c r="H46" s="532">
        <v>21032.61152</v>
      </c>
      <c r="I46" s="532">
        <v>23110.93609</v>
      </c>
      <c r="J46" s="533">
        <v>18880.61874</v>
      </c>
      <c r="K46" s="516"/>
      <c r="L46" s="534" t="s">
        <v>292</v>
      </c>
      <c r="M46" s="535" t="s">
        <v>439</v>
      </c>
      <c r="N46" s="535" t="s">
        <v>294</v>
      </c>
      <c r="O46" s="535" t="s">
        <v>335</v>
      </c>
      <c r="P46" s="535" t="s">
        <v>296</v>
      </c>
      <c r="Q46" s="535" t="s">
        <v>89</v>
      </c>
      <c r="R46" s="535">
        <v>2019.0</v>
      </c>
      <c r="S46" s="536">
        <v>23821.7898599361</v>
      </c>
      <c r="T46" s="536">
        <v>48710.8082635017</v>
      </c>
      <c r="U46" s="537">
        <v>8061.701120227</v>
      </c>
      <c r="W46" s="534" t="s">
        <v>292</v>
      </c>
      <c r="X46" s="535" t="s">
        <v>514</v>
      </c>
      <c r="Y46" s="535" t="s">
        <v>294</v>
      </c>
      <c r="Z46" s="535" t="s">
        <v>295</v>
      </c>
      <c r="AA46" s="535" t="s">
        <v>296</v>
      </c>
      <c r="AB46" s="535" t="s">
        <v>297</v>
      </c>
      <c r="AC46" s="535">
        <v>2019.0</v>
      </c>
      <c r="AD46" s="536">
        <v>524.0526151</v>
      </c>
      <c r="AE46" s="536">
        <v>886.7378131</v>
      </c>
      <c r="AF46" s="537">
        <v>224.8327833</v>
      </c>
      <c r="AH46" s="538" t="s">
        <v>298</v>
      </c>
      <c r="AI46" s="539" t="s">
        <v>409</v>
      </c>
      <c r="AJ46" s="539" t="s">
        <v>294</v>
      </c>
      <c r="AK46" s="539" t="s">
        <v>323</v>
      </c>
      <c r="AL46" s="539" t="s">
        <v>296</v>
      </c>
      <c r="AM46" s="539" t="s">
        <v>297</v>
      </c>
      <c r="AN46" s="540">
        <v>2019.0</v>
      </c>
      <c r="AO46" s="541">
        <v>83693.12868</v>
      </c>
      <c r="AP46" s="541">
        <v>152854.9864</v>
      </c>
      <c r="AQ46" s="542">
        <v>29994.33536</v>
      </c>
      <c r="AS46" s="534" t="s">
        <v>296</v>
      </c>
      <c r="AT46" s="535" t="s">
        <v>294</v>
      </c>
      <c r="AU46" s="535" t="s">
        <v>325</v>
      </c>
      <c r="AV46" s="535" t="s">
        <v>365</v>
      </c>
      <c r="AW46" s="535" t="s">
        <v>292</v>
      </c>
      <c r="AX46" s="535" t="s">
        <v>89</v>
      </c>
      <c r="AY46" s="535" t="s">
        <v>304</v>
      </c>
      <c r="AZ46" s="543" t="s">
        <v>305</v>
      </c>
      <c r="BA46" s="536">
        <v>527.8832156</v>
      </c>
      <c r="BB46" s="536">
        <v>171.4828081</v>
      </c>
      <c r="BC46" s="536">
        <v>1123.135709</v>
      </c>
      <c r="BD46" s="537" t="s">
        <v>202</v>
      </c>
      <c r="BS46" s="534" t="s">
        <v>296</v>
      </c>
      <c r="BT46" s="535" t="s">
        <v>294</v>
      </c>
      <c r="BU46" s="535" t="s">
        <v>309</v>
      </c>
      <c r="BV46" s="535" t="s">
        <v>25</v>
      </c>
      <c r="BW46" s="535" t="s">
        <v>298</v>
      </c>
      <c r="BX46" s="535" t="s">
        <v>307</v>
      </c>
      <c r="BY46" s="535" t="s">
        <v>304</v>
      </c>
      <c r="BZ46" s="543" t="s">
        <v>305</v>
      </c>
      <c r="CA46" s="536">
        <v>85869.02616</v>
      </c>
      <c r="CB46" s="536">
        <v>28590.99543</v>
      </c>
      <c r="CC46" s="536">
        <v>145703.3311</v>
      </c>
      <c r="CD46" s="537" t="s">
        <v>202</v>
      </c>
      <c r="CE46" s="525"/>
    </row>
    <row r="47">
      <c r="A47" s="509"/>
      <c r="B47" s="544" t="s">
        <v>288</v>
      </c>
      <c r="C47" s="545" t="s">
        <v>289</v>
      </c>
      <c r="D47" s="545" t="s">
        <v>515</v>
      </c>
      <c r="E47" s="546">
        <v>2019.0</v>
      </c>
      <c r="F47" s="545" t="s">
        <v>291</v>
      </c>
      <c r="G47" s="545" t="s">
        <v>89</v>
      </c>
      <c r="H47" s="547">
        <v>62342.20327</v>
      </c>
      <c r="I47" s="547">
        <v>68502.50974</v>
      </c>
      <c r="J47" s="548">
        <v>55963.53881</v>
      </c>
      <c r="K47" s="516"/>
      <c r="L47" s="534" t="s">
        <v>292</v>
      </c>
      <c r="M47" s="535" t="s">
        <v>439</v>
      </c>
      <c r="N47" s="535" t="s">
        <v>294</v>
      </c>
      <c r="O47" s="535" t="s">
        <v>300</v>
      </c>
      <c r="P47" s="535" t="s">
        <v>296</v>
      </c>
      <c r="Q47" s="535" t="s">
        <v>89</v>
      </c>
      <c r="R47" s="535">
        <v>2019.0</v>
      </c>
      <c r="S47" s="536">
        <v>800.822734793064</v>
      </c>
      <c r="T47" s="536">
        <v>1777.82217134512</v>
      </c>
      <c r="U47" s="537">
        <v>246.534636832087</v>
      </c>
      <c r="W47" s="534" t="s">
        <v>292</v>
      </c>
      <c r="X47" s="535" t="s">
        <v>314</v>
      </c>
      <c r="Y47" s="535" t="s">
        <v>294</v>
      </c>
      <c r="Z47" s="535" t="s">
        <v>295</v>
      </c>
      <c r="AA47" s="535" t="s">
        <v>296</v>
      </c>
      <c r="AB47" s="535" t="s">
        <v>297</v>
      </c>
      <c r="AC47" s="535">
        <v>2019.0</v>
      </c>
      <c r="AD47" s="536">
        <v>64.61170643</v>
      </c>
      <c r="AE47" s="536">
        <v>162.9486286</v>
      </c>
      <c r="AF47" s="537">
        <v>19.50779991</v>
      </c>
      <c r="AH47" s="549" t="s">
        <v>298</v>
      </c>
      <c r="AI47" s="550" t="s">
        <v>447</v>
      </c>
      <c r="AJ47" s="550" t="s">
        <v>294</v>
      </c>
      <c r="AK47" s="550" t="s">
        <v>323</v>
      </c>
      <c r="AL47" s="550" t="s">
        <v>296</v>
      </c>
      <c r="AM47" s="550" t="s">
        <v>297</v>
      </c>
      <c r="AN47" s="551">
        <v>2019.0</v>
      </c>
      <c r="AO47" s="552">
        <v>112843.8412</v>
      </c>
      <c r="AP47" s="552">
        <v>166478.3311</v>
      </c>
      <c r="AQ47" s="553">
        <v>44825.62173</v>
      </c>
      <c r="AS47" s="534" t="s">
        <v>296</v>
      </c>
      <c r="AT47" s="535" t="s">
        <v>294</v>
      </c>
      <c r="AU47" s="535" t="s">
        <v>332</v>
      </c>
      <c r="AV47" s="535" t="s">
        <v>365</v>
      </c>
      <c r="AW47" s="535" t="s">
        <v>292</v>
      </c>
      <c r="AX47" s="535" t="s">
        <v>89</v>
      </c>
      <c r="AY47" s="535" t="s">
        <v>304</v>
      </c>
      <c r="AZ47" s="543" t="s">
        <v>305</v>
      </c>
      <c r="BA47" s="536">
        <v>3798.394522</v>
      </c>
      <c r="BB47" s="536">
        <v>1448.519073</v>
      </c>
      <c r="BC47" s="536">
        <v>7736.805964</v>
      </c>
      <c r="BD47" s="537" t="s">
        <v>202</v>
      </c>
      <c r="BS47" s="534" t="s">
        <v>296</v>
      </c>
      <c r="BT47" s="535" t="s">
        <v>294</v>
      </c>
      <c r="BU47" s="535" t="s">
        <v>317</v>
      </c>
      <c r="BV47" s="535" t="s">
        <v>25</v>
      </c>
      <c r="BW47" s="535" t="s">
        <v>298</v>
      </c>
      <c r="BX47" s="535" t="s">
        <v>307</v>
      </c>
      <c r="BY47" s="535" t="s">
        <v>304</v>
      </c>
      <c r="BZ47" s="543" t="s">
        <v>305</v>
      </c>
      <c r="CA47" s="536">
        <v>33795.62909</v>
      </c>
      <c r="CB47" s="536">
        <v>14920.30643</v>
      </c>
      <c r="CC47" s="536">
        <v>72288.73882</v>
      </c>
      <c r="CD47" s="537" t="s">
        <v>202</v>
      </c>
      <c r="CE47" s="525"/>
    </row>
    <row r="48">
      <c r="A48" s="509"/>
      <c r="B48" s="526" t="s">
        <v>288</v>
      </c>
      <c r="C48" s="527" t="s">
        <v>289</v>
      </c>
      <c r="D48" s="527" t="s">
        <v>518</v>
      </c>
      <c r="E48" s="530">
        <v>2019.0</v>
      </c>
      <c r="F48" s="527" t="s">
        <v>291</v>
      </c>
      <c r="G48" s="527" t="s">
        <v>89</v>
      </c>
      <c r="H48" s="532">
        <v>83374.81479</v>
      </c>
      <c r="I48" s="532">
        <v>91613.44584</v>
      </c>
      <c r="J48" s="533">
        <v>74844.15755</v>
      </c>
      <c r="K48" s="516"/>
      <c r="L48" s="534" t="s">
        <v>292</v>
      </c>
      <c r="M48" s="535" t="s">
        <v>321</v>
      </c>
      <c r="N48" s="535" t="s">
        <v>294</v>
      </c>
      <c r="O48" s="535" t="s">
        <v>295</v>
      </c>
      <c r="P48" s="535" t="s">
        <v>296</v>
      </c>
      <c r="Q48" s="535" t="s">
        <v>89</v>
      </c>
      <c r="R48" s="535">
        <v>2019.0</v>
      </c>
      <c r="S48" s="536">
        <v>7660.54471427824</v>
      </c>
      <c r="T48" s="536">
        <v>13019.3220194396</v>
      </c>
      <c r="U48" s="537">
        <v>3490.70643370011</v>
      </c>
      <c r="W48" s="534" t="s">
        <v>292</v>
      </c>
      <c r="X48" s="535" t="s">
        <v>500</v>
      </c>
      <c r="Y48" s="535" t="s">
        <v>294</v>
      </c>
      <c r="Z48" s="535" t="s">
        <v>295</v>
      </c>
      <c r="AA48" s="535" t="s">
        <v>296</v>
      </c>
      <c r="AB48" s="535" t="s">
        <v>297</v>
      </c>
      <c r="AC48" s="535">
        <v>2019.0</v>
      </c>
      <c r="AD48" s="536">
        <v>0.7612488146</v>
      </c>
      <c r="AE48" s="536">
        <v>6.299763564</v>
      </c>
      <c r="AF48" s="537">
        <v>0.01552806729</v>
      </c>
      <c r="AH48" s="538" t="s">
        <v>298</v>
      </c>
      <c r="AI48" s="539" t="s">
        <v>520</v>
      </c>
      <c r="AJ48" s="539" t="s">
        <v>294</v>
      </c>
      <c r="AK48" s="539" t="s">
        <v>323</v>
      </c>
      <c r="AL48" s="539" t="s">
        <v>296</v>
      </c>
      <c r="AM48" s="539" t="s">
        <v>297</v>
      </c>
      <c r="AN48" s="540">
        <v>2019.0</v>
      </c>
      <c r="AO48" s="541">
        <v>4244.947799</v>
      </c>
      <c r="AP48" s="541">
        <v>20441.5618</v>
      </c>
      <c r="AQ48" s="542">
        <v>354.7732718</v>
      </c>
      <c r="AS48" s="534" t="s">
        <v>296</v>
      </c>
      <c r="AT48" s="535" t="s">
        <v>294</v>
      </c>
      <c r="AU48" s="535" t="s">
        <v>302</v>
      </c>
      <c r="AV48" s="535" t="s">
        <v>367</v>
      </c>
      <c r="AW48" s="535" t="s">
        <v>292</v>
      </c>
      <c r="AX48" s="535" t="s">
        <v>89</v>
      </c>
      <c r="AY48" s="535" t="s">
        <v>304</v>
      </c>
      <c r="AZ48" s="543" t="s">
        <v>305</v>
      </c>
      <c r="BA48" s="536">
        <v>1244.220924</v>
      </c>
      <c r="BB48" s="536">
        <v>541.2565979</v>
      </c>
      <c r="BC48" s="536">
        <v>2169.432704</v>
      </c>
      <c r="BD48" s="537" t="s">
        <v>202</v>
      </c>
      <c r="BS48" s="534" t="s">
        <v>296</v>
      </c>
      <c r="BT48" s="535" t="s">
        <v>294</v>
      </c>
      <c r="BU48" s="535" t="s">
        <v>309</v>
      </c>
      <c r="BV48" s="535" t="s">
        <v>26</v>
      </c>
      <c r="BW48" s="535" t="s">
        <v>298</v>
      </c>
      <c r="BX48" s="535" t="s">
        <v>307</v>
      </c>
      <c r="BY48" s="535" t="s">
        <v>304</v>
      </c>
      <c r="BZ48" s="543" t="s">
        <v>305</v>
      </c>
      <c r="CA48" s="536">
        <v>76182.96693</v>
      </c>
      <c r="CB48" s="536">
        <v>10378.78532</v>
      </c>
      <c r="CC48" s="536">
        <v>162076.0674</v>
      </c>
      <c r="CD48" s="537" t="s">
        <v>202</v>
      </c>
      <c r="CE48" s="525"/>
    </row>
    <row r="49">
      <c r="A49" s="509"/>
      <c r="B49" s="544" t="s">
        <v>288</v>
      </c>
      <c r="C49" s="545" t="s">
        <v>289</v>
      </c>
      <c r="D49" s="545" t="s">
        <v>522</v>
      </c>
      <c r="E49" s="546">
        <v>2019.0</v>
      </c>
      <c r="F49" s="545" t="s">
        <v>291</v>
      </c>
      <c r="G49" s="545" t="s">
        <v>89</v>
      </c>
      <c r="H49" s="547">
        <v>977522.7079</v>
      </c>
      <c r="I49" s="547">
        <v>1074116.013</v>
      </c>
      <c r="J49" s="548">
        <v>877505.5602</v>
      </c>
      <c r="K49" s="516"/>
      <c r="L49" s="534" t="s">
        <v>292</v>
      </c>
      <c r="M49" s="535" t="s">
        <v>321</v>
      </c>
      <c r="N49" s="535" t="s">
        <v>294</v>
      </c>
      <c r="O49" s="535" t="s">
        <v>311</v>
      </c>
      <c r="P49" s="535" t="s">
        <v>296</v>
      </c>
      <c r="Q49" s="535" t="s">
        <v>89</v>
      </c>
      <c r="R49" s="535">
        <v>2019.0</v>
      </c>
      <c r="S49" s="536">
        <v>0.0</v>
      </c>
      <c r="T49" s="536">
        <v>0.0</v>
      </c>
      <c r="U49" s="537">
        <v>0.0</v>
      </c>
      <c r="W49" s="534" t="s">
        <v>292</v>
      </c>
      <c r="X49" s="535" t="s">
        <v>436</v>
      </c>
      <c r="Y49" s="535" t="s">
        <v>294</v>
      </c>
      <c r="Z49" s="535" t="s">
        <v>295</v>
      </c>
      <c r="AA49" s="535" t="s">
        <v>296</v>
      </c>
      <c r="AB49" s="535" t="s">
        <v>297</v>
      </c>
      <c r="AC49" s="535">
        <v>2019.0</v>
      </c>
      <c r="AD49" s="536">
        <v>264.4664533</v>
      </c>
      <c r="AE49" s="536">
        <v>496.7964188</v>
      </c>
      <c r="AF49" s="537">
        <v>85.75488693</v>
      </c>
      <c r="AH49" s="549" t="s">
        <v>298</v>
      </c>
      <c r="AI49" s="550" t="s">
        <v>520</v>
      </c>
      <c r="AJ49" s="550" t="s">
        <v>294</v>
      </c>
      <c r="AK49" s="550" t="s">
        <v>300</v>
      </c>
      <c r="AL49" s="550" t="s">
        <v>296</v>
      </c>
      <c r="AM49" s="550" t="s">
        <v>297</v>
      </c>
      <c r="AN49" s="551">
        <v>2019.0</v>
      </c>
      <c r="AO49" s="552">
        <v>3382.579845</v>
      </c>
      <c r="AP49" s="552">
        <v>13012.38404</v>
      </c>
      <c r="AQ49" s="553">
        <v>509.97148</v>
      </c>
      <c r="AS49" s="534" t="s">
        <v>296</v>
      </c>
      <c r="AT49" s="535" t="s">
        <v>294</v>
      </c>
      <c r="AU49" s="535" t="s">
        <v>315</v>
      </c>
      <c r="AV49" s="535" t="s">
        <v>367</v>
      </c>
      <c r="AW49" s="535" t="s">
        <v>292</v>
      </c>
      <c r="AX49" s="535" t="s">
        <v>89</v>
      </c>
      <c r="AY49" s="535" t="s">
        <v>304</v>
      </c>
      <c r="AZ49" s="543" t="s">
        <v>305</v>
      </c>
      <c r="BA49" s="536">
        <v>78.52368559</v>
      </c>
      <c r="BB49" s="536">
        <v>24.33518953</v>
      </c>
      <c r="BC49" s="536">
        <v>173.4928372</v>
      </c>
      <c r="BD49" s="537" t="s">
        <v>202</v>
      </c>
      <c r="BS49" s="534" t="s">
        <v>296</v>
      </c>
      <c r="BT49" s="535" t="s">
        <v>294</v>
      </c>
      <c r="BU49" s="535" t="s">
        <v>317</v>
      </c>
      <c r="BV49" s="535" t="s">
        <v>26</v>
      </c>
      <c r="BW49" s="535" t="s">
        <v>298</v>
      </c>
      <c r="BX49" s="535" t="s">
        <v>307</v>
      </c>
      <c r="BY49" s="535" t="s">
        <v>304</v>
      </c>
      <c r="BZ49" s="543" t="s">
        <v>305</v>
      </c>
      <c r="CA49" s="536">
        <v>29812.0385</v>
      </c>
      <c r="CB49" s="536">
        <v>10578.47747</v>
      </c>
      <c r="CC49" s="536">
        <v>73480.88019</v>
      </c>
      <c r="CD49" s="537" t="s">
        <v>202</v>
      </c>
      <c r="CE49" s="525"/>
    </row>
    <row r="50">
      <c r="A50" s="509"/>
      <c r="B50" s="526" t="s">
        <v>288</v>
      </c>
      <c r="C50" s="527" t="s">
        <v>289</v>
      </c>
      <c r="D50" s="527" t="s">
        <v>302</v>
      </c>
      <c r="E50" s="530">
        <v>2019.0</v>
      </c>
      <c r="F50" s="527" t="s">
        <v>291</v>
      </c>
      <c r="G50" s="527" t="s">
        <v>89</v>
      </c>
      <c r="H50" s="532">
        <v>5147150.259</v>
      </c>
      <c r="I50" s="532">
        <v>5655762.747</v>
      </c>
      <c r="J50" s="533">
        <v>4620509.514</v>
      </c>
      <c r="K50" s="516"/>
      <c r="L50" s="534" t="s">
        <v>292</v>
      </c>
      <c r="M50" s="535" t="s">
        <v>321</v>
      </c>
      <c r="N50" s="535" t="s">
        <v>294</v>
      </c>
      <c r="O50" s="535" t="s">
        <v>319</v>
      </c>
      <c r="P50" s="535" t="s">
        <v>296</v>
      </c>
      <c r="Q50" s="535" t="s">
        <v>89</v>
      </c>
      <c r="R50" s="535">
        <v>2019.0</v>
      </c>
      <c r="S50" s="536">
        <v>308.9785411</v>
      </c>
      <c r="T50" s="536">
        <v>607.748432261799</v>
      </c>
      <c r="U50" s="537">
        <v>118.862689413137</v>
      </c>
      <c r="W50" s="534" t="s">
        <v>292</v>
      </c>
      <c r="X50" s="535" t="s">
        <v>8</v>
      </c>
      <c r="Y50" s="535" t="s">
        <v>294</v>
      </c>
      <c r="Z50" s="535" t="s">
        <v>295</v>
      </c>
      <c r="AA50" s="535" t="s">
        <v>296</v>
      </c>
      <c r="AB50" s="535" t="s">
        <v>297</v>
      </c>
      <c r="AC50" s="535">
        <v>2019.0</v>
      </c>
      <c r="AD50" s="536">
        <v>168.6683554</v>
      </c>
      <c r="AE50" s="536">
        <v>347.0081191</v>
      </c>
      <c r="AF50" s="537">
        <v>62.75571067</v>
      </c>
      <c r="AH50" s="538" t="s">
        <v>298</v>
      </c>
      <c r="AI50" s="539" t="s">
        <v>383</v>
      </c>
      <c r="AJ50" s="539" t="s">
        <v>294</v>
      </c>
      <c r="AK50" s="539" t="s">
        <v>300</v>
      </c>
      <c r="AL50" s="539" t="s">
        <v>296</v>
      </c>
      <c r="AM50" s="539" t="s">
        <v>297</v>
      </c>
      <c r="AN50" s="540">
        <v>2019.0</v>
      </c>
      <c r="AO50" s="541">
        <v>4505.205277</v>
      </c>
      <c r="AP50" s="541">
        <v>29764.73607</v>
      </c>
      <c r="AQ50" s="542">
        <v>41.42639578</v>
      </c>
      <c r="AS50" s="534" t="s">
        <v>296</v>
      </c>
      <c r="AT50" s="535" t="s">
        <v>294</v>
      </c>
      <c r="AU50" s="535" t="s">
        <v>325</v>
      </c>
      <c r="AV50" s="535" t="s">
        <v>367</v>
      </c>
      <c r="AW50" s="535" t="s">
        <v>292</v>
      </c>
      <c r="AX50" s="535" t="s">
        <v>89</v>
      </c>
      <c r="AY50" s="535" t="s">
        <v>304</v>
      </c>
      <c r="AZ50" s="543" t="s">
        <v>305</v>
      </c>
      <c r="BA50" s="536">
        <v>409.2170163</v>
      </c>
      <c r="BB50" s="536">
        <v>142.6871851</v>
      </c>
      <c r="BC50" s="536">
        <v>817.1352725</v>
      </c>
      <c r="BD50" s="537" t="s">
        <v>202</v>
      </c>
      <c r="BS50" s="534" t="s">
        <v>296</v>
      </c>
      <c r="BT50" s="535" t="s">
        <v>294</v>
      </c>
      <c r="BU50" s="535" t="s">
        <v>309</v>
      </c>
      <c r="BV50" s="535" t="s">
        <v>427</v>
      </c>
      <c r="BW50" s="535" t="s">
        <v>298</v>
      </c>
      <c r="BX50" s="535" t="s">
        <v>307</v>
      </c>
      <c r="BY50" s="535" t="s">
        <v>304</v>
      </c>
      <c r="BZ50" s="543" t="s">
        <v>305</v>
      </c>
      <c r="CA50" s="536">
        <v>120864.0504</v>
      </c>
      <c r="CB50" s="536">
        <v>52268.12774</v>
      </c>
      <c r="CC50" s="536">
        <v>185875.287</v>
      </c>
      <c r="CD50" s="537" t="s">
        <v>202</v>
      </c>
      <c r="CE50" s="525"/>
    </row>
    <row r="51">
      <c r="A51" s="509"/>
      <c r="B51" s="544" t="s">
        <v>312</v>
      </c>
      <c r="C51" s="545" t="s">
        <v>289</v>
      </c>
      <c r="D51" s="545" t="s">
        <v>290</v>
      </c>
      <c r="E51" s="546">
        <v>2019.0</v>
      </c>
      <c r="F51" s="545" t="s">
        <v>291</v>
      </c>
      <c r="G51" s="545" t="s">
        <v>89</v>
      </c>
      <c r="H51" s="547">
        <v>2634237.585</v>
      </c>
      <c r="I51" s="547">
        <v>2941774.583</v>
      </c>
      <c r="J51" s="548">
        <v>2335516.001</v>
      </c>
      <c r="K51" s="516"/>
      <c r="L51" s="534" t="s">
        <v>292</v>
      </c>
      <c r="M51" s="535" t="s">
        <v>321</v>
      </c>
      <c r="N51" s="535" t="s">
        <v>294</v>
      </c>
      <c r="O51" s="535" t="s">
        <v>327</v>
      </c>
      <c r="P51" s="535" t="s">
        <v>296</v>
      </c>
      <c r="Q51" s="535" t="s">
        <v>89</v>
      </c>
      <c r="R51" s="535">
        <v>2019.0</v>
      </c>
      <c r="S51" s="536">
        <v>2633.19843763844</v>
      </c>
      <c r="T51" s="536">
        <v>4718.31236300957</v>
      </c>
      <c r="U51" s="537">
        <v>1169.16507801462</v>
      </c>
      <c r="W51" s="573" t="s">
        <v>292</v>
      </c>
      <c r="X51" s="574" t="s">
        <v>9</v>
      </c>
      <c r="Y51" s="574" t="s">
        <v>294</v>
      </c>
      <c r="Z51" s="574" t="s">
        <v>295</v>
      </c>
      <c r="AA51" s="574" t="s">
        <v>296</v>
      </c>
      <c r="AB51" s="574" t="s">
        <v>297</v>
      </c>
      <c r="AC51" s="575">
        <v>2019.0</v>
      </c>
      <c r="AD51" s="576">
        <v>245.2239618</v>
      </c>
      <c r="AE51" s="576">
        <v>437.9089626</v>
      </c>
      <c r="AF51" s="578">
        <v>92.54278924</v>
      </c>
      <c r="AH51" s="549" t="s">
        <v>298</v>
      </c>
      <c r="AI51" s="550" t="s">
        <v>426</v>
      </c>
      <c r="AJ51" s="550" t="s">
        <v>294</v>
      </c>
      <c r="AK51" s="550" t="s">
        <v>300</v>
      </c>
      <c r="AL51" s="550" t="s">
        <v>296</v>
      </c>
      <c r="AM51" s="550" t="s">
        <v>297</v>
      </c>
      <c r="AN51" s="551">
        <v>2019.0</v>
      </c>
      <c r="AO51" s="552">
        <v>29839.07359</v>
      </c>
      <c r="AP51" s="552">
        <v>55533.26402</v>
      </c>
      <c r="AQ51" s="553">
        <v>15847.42494</v>
      </c>
      <c r="AS51" s="534" t="s">
        <v>296</v>
      </c>
      <c r="AT51" s="535" t="s">
        <v>294</v>
      </c>
      <c r="AU51" s="535" t="s">
        <v>332</v>
      </c>
      <c r="AV51" s="535" t="s">
        <v>367</v>
      </c>
      <c r="AW51" s="535" t="s">
        <v>292</v>
      </c>
      <c r="AX51" s="535" t="s">
        <v>89</v>
      </c>
      <c r="AY51" s="535" t="s">
        <v>304</v>
      </c>
      <c r="AZ51" s="543" t="s">
        <v>305</v>
      </c>
      <c r="BA51" s="536">
        <v>3244.502672</v>
      </c>
      <c r="BB51" s="536">
        <v>1217.406128</v>
      </c>
      <c r="BC51" s="536">
        <v>6194.529275</v>
      </c>
      <c r="BD51" s="537" t="s">
        <v>202</v>
      </c>
      <c r="BS51" s="534" t="s">
        <v>296</v>
      </c>
      <c r="BT51" s="535" t="s">
        <v>294</v>
      </c>
      <c r="BU51" s="535" t="s">
        <v>317</v>
      </c>
      <c r="BV51" s="535" t="s">
        <v>427</v>
      </c>
      <c r="BW51" s="535" t="s">
        <v>298</v>
      </c>
      <c r="BX51" s="535" t="s">
        <v>307</v>
      </c>
      <c r="BY51" s="535" t="s">
        <v>304</v>
      </c>
      <c r="BZ51" s="543" t="s">
        <v>305</v>
      </c>
      <c r="CA51" s="536">
        <v>45307.76647</v>
      </c>
      <c r="CB51" s="536">
        <v>19893.47109</v>
      </c>
      <c r="CC51" s="536">
        <v>91539.15119</v>
      </c>
      <c r="CD51" s="537" t="s">
        <v>202</v>
      </c>
      <c r="CE51" s="525"/>
    </row>
    <row r="52">
      <c r="A52" s="509"/>
      <c r="B52" s="526" t="s">
        <v>312</v>
      </c>
      <c r="C52" s="527" t="s">
        <v>289</v>
      </c>
      <c r="D52" s="527" t="s">
        <v>310</v>
      </c>
      <c r="E52" s="530">
        <v>2019.0</v>
      </c>
      <c r="F52" s="527" t="s">
        <v>291</v>
      </c>
      <c r="G52" s="527" t="s">
        <v>89</v>
      </c>
      <c r="H52" s="532">
        <v>5.936761009E7</v>
      </c>
      <c r="I52" s="532">
        <v>6.629854779E7</v>
      </c>
      <c r="J52" s="533">
        <v>5.26353447E7</v>
      </c>
      <c r="K52" s="516"/>
      <c r="L52" s="534" t="s">
        <v>292</v>
      </c>
      <c r="M52" s="535" t="s">
        <v>321</v>
      </c>
      <c r="N52" s="535" t="s">
        <v>294</v>
      </c>
      <c r="O52" s="535" t="s">
        <v>335</v>
      </c>
      <c r="P52" s="535" t="s">
        <v>296</v>
      </c>
      <c r="Q52" s="535" t="s">
        <v>89</v>
      </c>
      <c r="R52" s="535">
        <v>2019.0</v>
      </c>
      <c r="S52" s="536">
        <v>13263.9685744262</v>
      </c>
      <c r="T52" s="536">
        <v>24203.4238210202</v>
      </c>
      <c r="U52" s="537">
        <v>5733.22032620848</v>
      </c>
      <c r="W52" s="534" t="s">
        <v>292</v>
      </c>
      <c r="X52" s="535" t="s">
        <v>480</v>
      </c>
      <c r="Y52" s="535" t="s">
        <v>294</v>
      </c>
      <c r="Z52" s="535" t="s">
        <v>295</v>
      </c>
      <c r="AA52" s="535" t="s">
        <v>296</v>
      </c>
      <c r="AB52" s="535" t="s">
        <v>297</v>
      </c>
      <c r="AC52" s="535">
        <v>2019.0</v>
      </c>
      <c r="AD52" s="536">
        <v>143.5902146</v>
      </c>
      <c r="AE52" s="536">
        <v>280.7935528</v>
      </c>
      <c r="AF52" s="537">
        <v>57.12181675</v>
      </c>
      <c r="AH52" s="538" t="s">
        <v>298</v>
      </c>
      <c r="AI52" s="539" t="s">
        <v>356</v>
      </c>
      <c r="AJ52" s="539" t="s">
        <v>294</v>
      </c>
      <c r="AK52" s="539" t="s">
        <v>323</v>
      </c>
      <c r="AL52" s="539" t="s">
        <v>296</v>
      </c>
      <c r="AM52" s="539" t="s">
        <v>297</v>
      </c>
      <c r="AN52" s="540">
        <v>2019.0</v>
      </c>
      <c r="AO52" s="541">
        <v>71817.49631</v>
      </c>
      <c r="AP52" s="541">
        <v>131526.597</v>
      </c>
      <c r="AQ52" s="542">
        <v>28837.6049</v>
      </c>
      <c r="AS52" s="534" t="s">
        <v>296</v>
      </c>
      <c r="AT52" s="535" t="s">
        <v>294</v>
      </c>
      <c r="AU52" s="535" t="s">
        <v>302</v>
      </c>
      <c r="AV52" s="535" t="s">
        <v>372</v>
      </c>
      <c r="AW52" s="535" t="s">
        <v>292</v>
      </c>
      <c r="AX52" s="535" t="s">
        <v>89</v>
      </c>
      <c r="AY52" s="535" t="s">
        <v>304</v>
      </c>
      <c r="AZ52" s="543" t="s">
        <v>305</v>
      </c>
      <c r="BA52" s="536">
        <v>775.5997929</v>
      </c>
      <c r="BB52" s="536">
        <v>425.891304</v>
      </c>
      <c r="BC52" s="536">
        <v>1237.409253</v>
      </c>
      <c r="BD52" s="537" t="s">
        <v>202</v>
      </c>
      <c r="BS52" s="534" t="s">
        <v>296</v>
      </c>
      <c r="BT52" s="535" t="s">
        <v>294</v>
      </c>
      <c r="BU52" s="535" t="s">
        <v>309</v>
      </c>
      <c r="BV52" s="535" t="s">
        <v>430</v>
      </c>
      <c r="BW52" s="535" t="s">
        <v>298</v>
      </c>
      <c r="BX52" s="535" t="s">
        <v>307</v>
      </c>
      <c r="BY52" s="535" t="s">
        <v>304</v>
      </c>
      <c r="BZ52" s="543" t="s">
        <v>305</v>
      </c>
      <c r="CA52" s="536">
        <v>67976.31352</v>
      </c>
      <c r="CB52" s="536">
        <v>23276.04898</v>
      </c>
      <c r="CC52" s="536">
        <v>150324.9838</v>
      </c>
      <c r="CD52" s="537" t="s">
        <v>202</v>
      </c>
      <c r="CE52" s="525"/>
    </row>
    <row r="53">
      <c r="A53" s="509"/>
      <c r="B53" s="544" t="s">
        <v>312</v>
      </c>
      <c r="C53" s="545" t="s">
        <v>289</v>
      </c>
      <c r="D53" s="545" t="s">
        <v>318</v>
      </c>
      <c r="E53" s="546">
        <v>2019.0</v>
      </c>
      <c r="F53" s="545" t="s">
        <v>291</v>
      </c>
      <c r="G53" s="545" t="s">
        <v>89</v>
      </c>
      <c r="H53" s="547">
        <v>4.404892384E7</v>
      </c>
      <c r="I53" s="547">
        <v>4.919146447E7</v>
      </c>
      <c r="J53" s="548">
        <v>3.90537919E7</v>
      </c>
      <c r="K53" s="516"/>
      <c r="L53" s="534" t="s">
        <v>292</v>
      </c>
      <c r="M53" s="535" t="s">
        <v>321</v>
      </c>
      <c r="N53" s="535" t="s">
        <v>294</v>
      </c>
      <c r="O53" s="535" t="s">
        <v>300</v>
      </c>
      <c r="P53" s="535" t="s">
        <v>296</v>
      </c>
      <c r="Q53" s="535" t="s">
        <v>89</v>
      </c>
      <c r="R53" s="535">
        <v>2019.0</v>
      </c>
      <c r="S53" s="536">
        <v>467.1653724</v>
      </c>
      <c r="T53" s="536">
        <v>982.7080781</v>
      </c>
      <c r="U53" s="537">
        <v>179.646404538505</v>
      </c>
      <c r="W53" s="534" t="s">
        <v>292</v>
      </c>
      <c r="X53" s="535" t="s">
        <v>330</v>
      </c>
      <c r="Y53" s="535" t="s">
        <v>294</v>
      </c>
      <c r="Z53" s="535" t="s">
        <v>295</v>
      </c>
      <c r="AA53" s="535" t="s">
        <v>296</v>
      </c>
      <c r="AB53" s="535" t="s">
        <v>297</v>
      </c>
      <c r="AC53" s="535">
        <v>2019.0</v>
      </c>
      <c r="AD53" s="536">
        <v>88.52773523</v>
      </c>
      <c r="AE53" s="536">
        <v>187.0012469</v>
      </c>
      <c r="AF53" s="537">
        <v>27.83077022</v>
      </c>
      <c r="AH53" s="549" t="s">
        <v>298</v>
      </c>
      <c r="AI53" s="550" t="s">
        <v>451</v>
      </c>
      <c r="AJ53" s="550" t="s">
        <v>294</v>
      </c>
      <c r="AK53" s="550" t="s">
        <v>323</v>
      </c>
      <c r="AL53" s="550" t="s">
        <v>296</v>
      </c>
      <c r="AM53" s="550" t="s">
        <v>297</v>
      </c>
      <c r="AN53" s="551">
        <v>2019.0</v>
      </c>
      <c r="AO53" s="552">
        <v>22877.45793</v>
      </c>
      <c r="AP53" s="552">
        <v>40624.07446</v>
      </c>
      <c r="AQ53" s="553">
        <v>9413.754965</v>
      </c>
      <c r="AS53" s="534" t="s">
        <v>296</v>
      </c>
      <c r="AT53" s="535" t="s">
        <v>294</v>
      </c>
      <c r="AU53" s="535" t="s">
        <v>315</v>
      </c>
      <c r="AV53" s="535" t="s">
        <v>372</v>
      </c>
      <c r="AW53" s="535" t="s">
        <v>292</v>
      </c>
      <c r="AX53" s="535" t="s">
        <v>89</v>
      </c>
      <c r="AY53" s="535" t="s">
        <v>304</v>
      </c>
      <c r="AZ53" s="543" t="s">
        <v>305</v>
      </c>
      <c r="BA53" s="536">
        <v>49.71820538</v>
      </c>
      <c r="BB53" s="536">
        <v>20.43253589</v>
      </c>
      <c r="BC53" s="536">
        <v>93.26024019</v>
      </c>
      <c r="BD53" s="537" t="s">
        <v>202</v>
      </c>
      <c r="BS53" s="534" t="s">
        <v>296</v>
      </c>
      <c r="BT53" s="535" t="s">
        <v>294</v>
      </c>
      <c r="BU53" s="535" t="s">
        <v>317</v>
      </c>
      <c r="BV53" s="535" t="s">
        <v>430</v>
      </c>
      <c r="BW53" s="535" t="s">
        <v>298</v>
      </c>
      <c r="BX53" s="535" t="s">
        <v>307</v>
      </c>
      <c r="BY53" s="535" t="s">
        <v>304</v>
      </c>
      <c r="BZ53" s="543" t="s">
        <v>305</v>
      </c>
      <c r="CA53" s="536">
        <v>26747.67191</v>
      </c>
      <c r="CB53" s="536">
        <v>11991.19346</v>
      </c>
      <c r="CC53" s="536">
        <v>47585.40052</v>
      </c>
      <c r="CD53" s="537" t="s">
        <v>202</v>
      </c>
      <c r="CE53" s="525"/>
    </row>
    <row r="54">
      <c r="A54" s="509"/>
      <c r="B54" s="526" t="s">
        <v>312</v>
      </c>
      <c r="C54" s="527" t="s">
        <v>289</v>
      </c>
      <c r="D54" s="527" t="s">
        <v>309</v>
      </c>
      <c r="E54" s="530">
        <v>2019.0</v>
      </c>
      <c r="F54" s="527" t="s">
        <v>291</v>
      </c>
      <c r="G54" s="527" t="s">
        <v>89</v>
      </c>
      <c r="H54" s="532">
        <v>1.111167414E7</v>
      </c>
      <c r="I54" s="532">
        <v>1.240891891E7</v>
      </c>
      <c r="J54" s="533">
        <v>9851614.338</v>
      </c>
      <c r="K54" s="516"/>
      <c r="L54" s="534" t="s">
        <v>292</v>
      </c>
      <c r="M54" s="535" t="s">
        <v>374</v>
      </c>
      <c r="N54" s="535" t="s">
        <v>294</v>
      </c>
      <c r="O54" s="535" t="s">
        <v>295</v>
      </c>
      <c r="P54" s="535" t="s">
        <v>296</v>
      </c>
      <c r="Q54" s="535" t="s">
        <v>89</v>
      </c>
      <c r="R54" s="535">
        <v>2019.0</v>
      </c>
      <c r="S54" s="536">
        <v>734.008940129447</v>
      </c>
      <c r="T54" s="536">
        <v>1400.83854305014</v>
      </c>
      <c r="U54" s="537">
        <v>261.612544496525</v>
      </c>
      <c r="W54" s="681" t="s">
        <v>292</v>
      </c>
      <c r="X54" s="682" t="s">
        <v>520</v>
      </c>
      <c r="Y54" s="682" t="s">
        <v>294</v>
      </c>
      <c r="Z54" s="682" t="s">
        <v>295</v>
      </c>
      <c r="AA54" s="682" t="s">
        <v>296</v>
      </c>
      <c r="AB54" s="682" t="s">
        <v>297</v>
      </c>
      <c r="AC54" s="682">
        <v>2019.0</v>
      </c>
      <c r="AD54" s="684">
        <v>57.20433832</v>
      </c>
      <c r="AE54" s="684">
        <v>156.3990869</v>
      </c>
      <c r="AF54" s="685">
        <v>6.415952106</v>
      </c>
      <c r="AH54" s="538" t="s">
        <v>298</v>
      </c>
      <c r="AI54" s="539" t="s">
        <v>451</v>
      </c>
      <c r="AJ54" s="539" t="s">
        <v>294</v>
      </c>
      <c r="AK54" s="539" t="s">
        <v>300</v>
      </c>
      <c r="AL54" s="539" t="s">
        <v>296</v>
      </c>
      <c r="AM54" s="539" t="s">
        <v>297</v>
      </c>
      <c r="AN54" s="540">
        <v>2019.0</v>
      </c>
      <c r="AO54" s="541">
        <v>10463.39189</v>
      </c>
      <c r="AP54" s="541">
        <v>16650.0131</v>
      </c>
      <c r="AQ54" s="542">
        <v>5582.639605</v>
      </c>
      <c r="AS54" s="534" t="s">
        <v>296</v>
      </c>
      <c r="AT54" s="535" t="s">
        <v>294</v>
      </c>
      <c r="AU54" s="535" t="s">
        <v>325</v>
      </c>
      <c r="AV54" s="535" t="s">
        <v>372</v>
      </c>
      <c r="AW54" s="535" t="s">
        <v>292</v>
      </c>
      <c r="AX54" s="535" t="s">
        <v>89</v>
      </c>
      <c r="AY54" s="535" t="s">
        <v>304</v>
      </c>
      <c r="AZ54" s="543" t="s">
        <v>305</v>
      </c>
      <c r="BA54" s="536">
        <v>255.8474299</v>
      </c>
      <c r="BB54" s="536">
        <v>115.5970699</v>
      </c>
      <c r="BC54" s="536">
        <v>452.7971753</v>
      </c>
      <c r="BD54" s="537" t="s">
        <v>202</v>
      </c>
      <c r="BS54" s="534" t="s">
        <v>296</v>
      </c>
      <c r="BT54" s="535" t="s">
        <v>294</v>
      </c>
      <c r="BU54" s="535" t="s">
        <v>309</v>
      </c>
      <c r="BV54" s="535" t="s">
        <v>27</v>
      </c>
      <c r="BW54" s="535" t="s">
        <v>298</v>
      </c>
      <c r="BX54" s="535" t="s">
        <v>307</v>
      </c>
      <c r="BY54" s="535" t="s">
        <v>304</v>
      </c>
      <c r="BZ54" s="543" t="s">
        <v>305</v>
      </c>
      <c r="CA54" s="536">
        <v>89798.63281</v>
      </c>
      <c r="CB54" s="536">
        <v>15862.24663</v>
      </c>
      <c r="CC54" s="536">
        <v>181615.0751</v>
      </c>
      <c r="CD54" s="537" t="s">
        <v>202</v>
      </c>
      <c r="CE54" s="525"/>
    </row>
    <row r="55">
      <c r="A55" s="509"/>
      <c r="B55" s="544" t="s">
        <v>312</v>
      </c>
      <c r="C55" s="545" t="s">
        <v>289</v>
      </c>
      <c r="D55" s="545" t="s">
        <v>334</v>
      </c>
      <c r="E55" s="546">
        <v>2019.0</v>
      </c>
      <c r="F55" s="545" t="s">
        <v>291</v>
      </c>
      <c r="G55" s="545" t="s">
        <v>89</v>
      </c>
      <c r="H55" s="547">
        <v>1.538484401E7</v>
      </c>
      <c r="I55" s="547">
        <v>1.718096474E7</v>
      </c>
      <c r="J55" s="548">
        <v>1.36402083E7</v>
      </c>
      <c r="K55" s="516"/>
      <c r="L55" s="534" t="s">
        <v>292</v>
      </c>
      <c r="M55" s="535" t="s">
        <v>374</v>
      </c>
      <c r="N55" s="535" t="s">
        <v>294</v>
      </c>
      <c r="O55" s="535" t="s">
        <v>311</v>
      </c>
      <c r="P55" s="535" t="s">
        <v>296</v>
      </c>
      <c r="Q55" s="535" t="s">
        <v>89</v>
      </c>
      <c r="R55" s="535">
        <v>2019.0</v>
      </c>
      <c r="S55" s="536">
        <v>0.0</v>
      </c>
      <c r="T55" s="536">
        <v>0.0</v>
      </c>
      <c r="U55" s="537">
        <v>0.0</v>
      </c>
      <c r="AH55" s="549" t="s">
        <v>298</v>
      </c>
      <c r="AI55" s="550" t="s">
        <v>374</v>
      </c>
      <c r="AJ55" s="550" t="s">
        <v>294</v>
      </c>
      <c r="AK55" s="550" t="s">
        <v>300</v>
      </c>
      <c r="AL55" s="550" t="s">
        <v>296</v>
      </c>
      <c r="AM55" s="550" t="s">
        <v>297</v>
      </c>
      <c r="AN55" s="551">
        <v>2019.0</v>
      </c>
      <c r="AO55" s="552">
        <v>28330.38812</v>
      </c>
      <c r="AP55" s="552">
        <v>55372.85894</v>
      </c>
      <c r="AQ55" s="553">
        <v>14662.15815</v>
      </c>
      <c r="AS55" s="534" t="s">
        <v>296</v>
      </c>
      <c r="AT55" s="535" t="s">
        <v>294</v>
      </c>
      <c r="AU55" s="535" t="s">
        <v>332</v>
      </c>
      <c r="AV55" s="535" t="s">
        <v>372</v>
      </c>
      <c r="AW55" s="535" t="s">
        <v>292</v>
      </c>
      <c r="AX55" s="535" t="s">
        <v>89</v>
      </c>
      <c r="AY55" s="535" t="s">
        <v>304</v>
      </c>
      <c r="AZ55" s="543" t="s">
        <v>305</v>
      </c>
      <c r="BA55" s="536">
        <v>2130.826591</v>
      </c>
      <c r="BB55" s="536">
        <v>1018.963155</v>
      </c>
      <c r="BC55" s="536">
        <v>3763.779812</v>
      </c>
      <c r="BD55" s="537" t="s">
        <v>202</v>
      </c>
      <c r="BS55" s="534" t="s">
        <v>296</v>
      </c>
      <c r="BT55" s="535" t="s">
        <v>294</v>
      </c>
      <c r="BU55" s="535" t="s">
        <v>317</v>
      </c>
      <c r="BV55" s="535" t="s">
        <v>27</v>
      </c>
      <c r="BW55" s="535" t="s">
        <v>298</v>
      </c>
      <c r="BX55" s="535" t="s">
        <v>307</v>
      </c>
      <c r="BY55" s="535" t="s">
        <v>304</v>
      </c>
      <c r="BZ55" s="543" t="s">
        <v>305</v>
      </c>
      <c r="CA55" s="536">
        <v>33528.33274</v>
      </c>
      <c r="CB55" s="536">
        <v>11744.67837</v>
      </c>
      <c r="CC55" s="536">
        <v>69036.72781</v>
      </c>
      <c r="CD55" s="537" t="s">
        <v>202</v>
      </c>
      <c r="CE55" s="525"/>
    </row>
    <row r="56">
      <c r="A56" s="509"/>
      <c r="B56" s="526" t="s">
        <v>312</v>
      </c>
      <c r="C56" s="527" t="s">
        <v>289</v>
      </c>
      <c r="D56" s="527" t="s">
        <v>339</v>
      </c>
      <c r="E56" s="530">
        <v>2019.0</v>
      </c>
      <c r="F56" s="527" t="s">
        <v>291</v>
      </c>
      <c r="G56" s="527" t="s">
        <v>89</v>
      </c>
      <c r="H56" s="532">
        <v>3.070353027E7</v>
      </c>
      <c r="I56" s="532">
        <v>3.428804807E7</v>
      </c>
      <c r="J56" s="533">
        <v>2.72217611E7</v>
      </c>
      <c r="K56" s="516"/>
      <c r="L56" s="534" t="s">
        <v>292</v>
      </c>
      <c r="M56" s="535" t="s">
        <v>374</v>
      </c>
      <c r="N56" s="535" t="s">
        <v>294</v>
      </c>
      <c r="O56" s="535" t="s">
        <v>319</v>
      </c>
      <c r="P56" s="535" t="s">
        <v>296</v>
      </c>
      <c r="Q56" s="535" t="s">
        <v>89</v>
      </c>
      <c r="R56" s="535">
        <v>2019.0</v>
      </c>
      <c r="S56" s="536">
        <v>56.4815944398086</v>
      </c>
      <c r="T56" s="536">
        <v>116.915988649266</v>
      </c>
      <c r="U56" s="537">
        <v>19.7894116712519</v>
      </c>
      <c r="AH56" s="538" t="s">
        <v>298</v>
      </c>
      <c r="AI56" s="539" t="s">
        <v>9</v>
      </c>
      <c r="AJ56" s="539" t="s">
        <v>294</v>
      </c>
      <c r="AK56" s="539" t="s">
        <v>300</v>
      </c>
      <c r="AL56" s="539" t="s">
        <v>296</v>
      </c>
      <c r="AM56" s="539" t="s">
        <v>297</v>
      </c>
      <c r="AN56" s="540">
        <v>2019.0</v>
      </c>
      <c r="AO56" s="541">
        <v>27394.99883</v>
      </c>
      <c r="AP56" s="541">
        <v>55512.53985</v>
      </c>
      <c r="AQ56" s="542">
        <v>13774.02072</v>
      </c>
      <c r="AS56" s="534" t="s">
        <v>296</v>
      </c>
      <c r="AT56" s="535" t="s">
        <v>294</v>
      </c>
      <c r="AU56" s="535" t="s">
        <v>302</v>
      </c>
      <c r="AV56" s="535" t="s">
        <v>377</v>
      </c>
      <c r="AW56" s="535" t="s">
        <v>292</v>
      </c>
      <c r="AX56" s="535" t="s">
        <v>89</v>
      </c>
      <c r="AY56" s="535" t="s">
        <v>304</v>
      </c>
      <c r="AZ56" s="543" t="s">
        <v>305</v>
      </c>
      <c r="BA56" s="536">
        <v>1067.642133</v>
      </c>
      <c r="BB56" s="536">
        <v>518.5561805</v>
      </c>
      <c r="BC56" s="536">
        <v>1907.57923</v>
      </c>
      <c r="BD56" s="537" t="s">
        <v>202</v>
      </c>
      <c r="BS56" s="534" t="s">
        <v>296</v>
      </c>
      <c r="BT56" s="535" t="s">
        <v>294</v>
      </c>
      <c r="BU56" s="535" t="s">
        <v>309</v>
      </c>
      <c r="BV56" s="535" t="s">
        <v>439</v>
      </c>
      <c r="BW56" s="535" t="s">
        <v>298</v>
      </c>
      <c r="BX56" s="535" t="s">
        <v>307</v>
      </c>
      <c r="BY56" s="535" t="s">
        <v>304</v>
      </c>
      <c r="BZ56" s="543" t="s">
        <v>305</v>
      </c>
      <c r="CA56" s="536">
        <v>90724.59867</v>
      </c>
      <c r="CB56" s="536">
        <v>31442.10822</v>
      </c>
      <c r="CC56" s="536">
        <v>153622.4152</v>
      </c>
      <c r="CD56" s="537" t="s">
        <v>202</v>
      </c>
      <c r="CE56" s="525"/>
    </row>
    <row r="57">
      <c r="A57" s="509"/>
      <c r="B57" s="544" t="s">
        <v>312</v>
      </c>
      <c r="C57" s="545" t="s">
        <v>289</v>
      </c>
      <c r="D57" s="545" t="s">
        <v>344</v>
      </c>
      <c r="E57" s="546">
        <v>2019.0</v>
      </c>
      <c r="F57" s="545" t="s">
        <v>291</v>
      </c>
      <c r="G57" s="545" t="s">
        <v>89</v>
      </c>
      <c r="H57" s="547">
        <v>4.531533335E7</v>
      </c>
      <c r="I57" s="547">
        <v>5.060572236E7</v>
      </c>
      <c r="J57" s="548">
        <v>4.017659103E7</v>
      </c>
      <c r="K57" s="516"/>
      <c r="L57" s="534" t="s">
        <v>292</v>
      </c>
      <c r="M57" s="535" t="s">
        <v>374</v>
      </c>
      <c r="N57" s="535" t="s">
        <v>294</v>
      </c>
      <c r="O57" s="535" t="s">
        <v>327</v>
      </c>
      <c r="P57" s="535" t="s">
        <v>296</v>
      </c>
      <c r="Q57" s="535" t="s">
        <v>89</v>
      </c>
      <c r="R57" s="535">
        <v>2019.0</v>
      </c>
      <c r="S57" s="536">
        <v>218.836639237928</v>
      </c>
      <c r="T57" s="536">
        <v>449.945618486436</v>
      </c>
      <c r="U57" s="537">
        <v>77.5548947425678</v>
      </c>
      <c r="AH57" s="549" t="s">
        <v>298</v>
      </c>
      <c r="AI57" s="550" t="s">
        <v>356</v>
      </c>
      <c r="AJ57" s="550" t="s">
        <v>294</v>
      </c>
      <c r="AK57" s="550" t="s">
        <v>300</v>
      </c>
      <c r="AL57" s="550" t="s">
        <v>296</v>
      </c>
      <c r="AM57" s="550" t="s">
        <v>297</v>
      </c>
      <c r="AN57" s="551">
        <v>2019.0</v>
      </c>
      <c r="AO57" s="552">
        <v>27944.26639</v>
      </c>
      <c r="AP57" s="552">
        <v>48179.80962</v>
      </c>
      <c r="AQ57" s="553">
        <v>15016.7685</v>
      </c>
      <c r="AS57" s="534" t="s">
        <v>296</v>
      </c>
      <c r="AT57" s="535" t="s">
        <v>294</v>
      </c>
      <c r="AU57" s="535" t="s">
        <v>315</v>
      </c>
      <c r="AV57" s="535" t="s">
        <v>377</v>
      </c>
      <c r="AW57" s="535" t="s">
        <v>292</v>
      </c>
      <c r="AX57" s="535" t="s">
        <v>89</v>
      </c>
      <c r="AY57" s="535" t="s">
        <v>304</v>
      </c>
      <c r="AZ57" s="543" t="s">
        <v>305</v>
      </c>
      <c r="BA57" s="536">
        <v>79.29263083</v>
      </c>
      <c r="BB57" s="536">
        <v>29.00947587</v>
      </c>
      <c r="BC57" s="536">
        <v>189.3581992</v>
      </c>
      <c r="BD57" s="537" t="s">
        <v>202</v>
      </c>
      <c r="BS57" s="534" t="s">
        <v>296</v>
      </c>
      <c r="BT57" s="535" t="s">
        <v>294</v>
      </c>
      <c r="BU57" s="535" t="s">
        <v>317</v>
      </c>
      <c r="BV57" s="535" t="s">
        <v>439</v>
      </c>
      <c r="BW57" s="535" t="s">
        <v>298</v>
      </c>
      <c r="BX57" s="535" t="s">
        <v>307</v>
      </c>
      <c r="BY57" s="535" t="s">
        <v>304</v>
      </c>
      <c r="BZ57" s="543" t="s">
        <v>305</v>
      </c>
      <c r="CA57" s="536">
        <v>35092.10204</v>
      </c>
      <c r="CB57" s="536">
        <v>14722.6582</v>
      </c>
      <c r="CC57" s="536">
        <v>75465.44833</v>
      </c>
      <c r="CD57" s="537" t="s">
        <v>202</v>
      </c>
      <c r="CE57" s="525"/>
    </row>
    <row r="58">
      <c r="A58" s="509"/>
      <c r="B58" s="526" t="s">
        <v>312</v>
      </c>
      <c r="C58" s="527" t="s">
        <v>289</v>
      </c>
      <c r="D58" s="527" t="s">
        <v>349</v>
      </c>
      <c r="E58" s="530">
        <v>2019.0</v>
      </c>
      <c r="F58" s="527" t="s">
        <v>291</v>
      </c>
      <c r="G58" s="527" t="s">
        <v>89</v>
      </c>
      <c r="H58" s="532">
        <v>1.531868626E7</v>
      </c>
      <c r="I58" s="532">
        <v>1.710708333E7</v>
      </c>
      <c r="J58" s="533">
        <v>1.358155281E7</v>
      </c>
      <c r="K58" s="516"/>
      <c r="L58" s="534" t="s">
        <v>292</v>
      </c>
      <c r="M58" s="535" t="s">
        <v>374</v>
      </c>
      <c r="N58" s="535" t="s">
        <v>294</v>
      </c>
      <c r="O58" s="535" t="s">
        <v>335</v>
      </c>
      <c r="P58" s="535" t="s">
        <v>296</v>
      </c>
      <c r="Q58" s="535" t="s">
        <v>89</v>
      </c>
      <c r="R58" s="535">
        <v>2019.0</v>
      </c>
      <c r="S58" s="536">
        <v>2102.12897480825</v>
      </c>
      <c r="T58" s="536">
        <v>4389.46533708673</v>
      </c>
      <c r="U58" s="537">
        <v>726.9688919</v>
      </c>
      <c r="AH58" s="538" t="s">
        <v>298</v>
      </c>
      <c r="AI58" s="539" t="s">
        <v>383</v>
      </c>
      <c r="AJ58" s="539" t="s">
        <v>294</v>
      </c>
      <c r="AK58" s="539" t="s">
        <v>323</v>
      </c>
      <c r="AL58" s="539" t="s">
        <v>296</v>
      </c>
      <c r="AM58" s="539" t="s">
        <v>297</v>
      </c>
      <c r="AN58" s="540">
        <v>2019.0</v>
      </c>
      <c r="AO58" s="541">
        <v>7180.625699</v>
      </c>
      <c r="AP58" s="541">
        <v>54294.484</v>
      </c>
      <c r="AQ58" s="542">
        <v>23.17438913</v>
      </c>
      <c r="AS58" s="534" t="s">
        <v>296</v>
      </c>
      <c r="AT58" s="535" t="s">
        <v>294</v>
      </c>
      <c r="AU58" s="535" t="s">
        <v>325</v>
      </c>
      <c r="AV58" s="535" t="s">
        <v>377</v>
      </c>
      <c r="AW58" s="535" t="s">
        <v>292</v>
      </c>
      <c r="AX58" s="535" t="s">
        <v>89</v>
      </c>
      <c r="AY58" s="535" t="s">
        <v>304</v>
      </c>
      <c r="AZ58" s="543" t="s">
        <v>305</v>
      </c>
      <c r="BA58" s="536">
        <v>386.7152164</v>
      </c>
      <c r="BB58" s="536">
        <v>154.8282377</v>
      </c>
      <c r="BC58" s="536">
        <v>770.2187653</v>
      </c>
      <c r="BD58" s="537" t="s">
        <v>202</v>
      </c>
      <c r="BS58" s="534" t="s">
        <v>296</v>
      </c>
      <c r="BT58" s="535" t="s">
        <v>294</v>
      </c>
      <c r="BU58" s="535" t="s">
        <v>309</v>
      </c>
      <c r="BV58" s="535" t="s">
        <v>444</v>
      </c>
      <c r="BW58" s="535" t="s">
        <v>298</v>
      </c>
      <c r="BX58" s="535" t="s">
        <v>307</v>
      </c>
      <c r="BY58" s="535" t="s">
        <v>304</v>
      </c>
      <c r="BZ58" s="543" t="s">
        <v>305</v>
      </c>
      <c r="CA58" s="536">
        <v>114787.0462</v>
      </c>
      <c r="CB58" s="536">
        <v>57893.42856</v>
      </c>
      <c r="CC58" s="536">
        <v>179212.2845</v>
      </c>
      <c r="CD58" s="537" t="s">
        <v>202</v>
      </c>
      <c r="CE58" s="525"/>
    </row>
    <row r="59">
      <c r="A59" s="509"/>
      <c r="B59" s="544" t="s">
        <v>312</v>
      </c>
      <c r="C59" s="545" t="s">
        <v>289</v>
      </c>
      <c r="D59" s="545" t="s">
        <v>355</v>
      </c>
      <c r="E59" s="546">
        <v>2019.0</v>
      </c>
      <c r="F59" s="545" t="s">
        <v>291</v>
      </c>
      <c r="G59" s="545" t="s">
        <v>89</v>
      </c>
      <c r="H59" s="547">
        <v>6.780309651E7</v>
      </c>
      <c r="I59" s="547">
        <v>7.572423933E7</v>
      </c>
      <c r="J59" s="548">
        <v>6.011563481E7</v>
      </c>
      <c r="K59" s="516"/>
      <c r="L59" s="534" t="s">
        <v>292</v>
      </c>
      <c r="M59" s="535" t="s">
        <v>374</v>
      </c>
      <c r="N59" s="535" t="s">
        <v>294</v>
      </c>
      <c r="O59" s="535" t="s">
        <v>300</v>
      </c>
      <c r="P59" s="535" t="s">
        <v>296</v>
      </c>
      <c r="Q59" s="535" t="s">
        <v>89</v>
      </c>
      <c r="R59" s="535">
        <v>2019.0</v>
      </c>
      <c r="S59" s="536">
        <v>139.076900054175</v>
      </c>
      <c r="T59" s="536">
        <v>279.681625018567</v>
      </c>
      <c r="U59" s="537">
        <v>52.0171638798926</v>
      </c>
      <c r="AH59" s="549" t="s">
        <v>298</v>
      </c>
      <c r="AI59" s="550" t="s">
        <v>508</v>
      </c>
      <c r="AJ59" s="550" t="s">
        <v>294</v>
      </c>
      <c r="AK59" s="550" t="s">
        <v>323</v>
      </c>
      <c r="AL59" s="550" t="s">
        <v>296</v>
      </c>
      <c r="AM59" s="550" t="s">
        <v>297</v>
      </c>
      <c r="AN59" s="551">
        <v>2019.0</v>
      </c>
      <c r="AO59" s="552">
        <v>2644.069139</v>
      </c>
      <c r="AP59" s="552">
        <v>4248.524309</v>
      </c>
      <c r="AQ59" s="553">
        <v>875.0029833</v>
      </c>
      <c r="AS59" s="534" t="s">
        <v>296</v>
      </c>
      <c r="AT59" s="535" t="s">
        <v>294</v>
      </c>
      <c r="AU59" s="535" t="s">
        <v>332</v>
      </c>
      <c r="AV59" s="535" t="s">
        <v>377</v>
      </c>
      <c r="AW59" s="535" t="s">
        <v>292</v>
      </c>
      <c r="AX59" s="535" t="s">
        <v>89</v>
      </c>
      <c r="AY59" s="535" t="s">
        <v>304</v>
      </c>
      <c r="AZ59" s="543" t="s">
        <v>305</v>
      </c>
      <c r="BA59" s="536">
        <v>3556.37119</v>
      </c>
      <c r="BB59" s="536">
        <v>1482.272475</v>
      </c>
      <c r="BC59" s="536">
        <v>7748.696565</v>
      </c>
      <c r="BD59" s="537" t="s">
        <v>202</v>
      </c>
      <c r="BS59" s="534" t="s">
        <v>296</v>
      </c>
      <c r="BT59" s="535" t="s">
        <v>294</v>
      </c>
      <c r="BU59" s="535" t="s">
        <v>317</v>
      </c>
      <c r="BV59" s="535" t="s">
        <v>444</v>
      </c>
      <c r="BW59" s="535" t="s">
        <v>298</v>
      </c>
      <c r="BX59" s="535" t="s">
        <v>307</v>
      </c>
      <c r="BY59" s="535" t="s">
        <v>304</v>
      </c>
      <c r="BZ59" s="543" t="s">
        <v>305</v>
      </c>
      <c r="CA59" s="536">
        <v>43169.96736</v>
      </c>
      <c r="CB59" s="536">
        <v>22793.7659</v>
      </c>
      <c r="CC59" s="536">
        <v>80634.29646</v>
      </c>
      <c r="CD59" s="537" t="s">
        <v>202</v>
      </c>
      <c r="CE59" s="525"/>
    </row>
    <row r="60">
      <c r="A60" s="509"/>
      <c r="B60" s="526" t="s">
        <v>312</v>
      </c>
      <c r="C60" s="527" t="s">
        <v>289</v>
      </c>
      <c r="D60" s="527" t="s">
        <v>358</v>
      </c>
      <c r="E60" s="530">
        <v>2019.0</v>
      </c>
      <c r="F60" s="527" t="s">
        <v>291</v>
      </c>
      <c r="G60" s="527" t="s">
        <v>89</v>
      </c>
      <c r="H60" s="532">
        <v>8.616487862E7</v>
      </c>
      <c r="I60" s="532">
        <v>9.622429325E7</v>
      </c>
      <c r="J60" s="533">
        <v>7.639381273E7</v>
      </c>
      <c r="K60" s="516"/>
      <c r="L60" s="534" t="s">
        <v>292</v>
      </c>
      <c r="M60" s="535" t="s">
        <v>351</v>
      </c>
      <c r="N60" s="535" t="s">
        <v>294</v>
      </c>
      <c r="O60" s="535" t="s">
        <v>295</v>
      </c>
      <c r="P60" s="535" t="s">
        <v>296</v>
      </c>
      <c r="Q60" s="535" t="s">
        <v>89</v>
      </c>
      <c r="R60" s="535">
        <v>2019.0</v>
      </c>
      <c r="S60" s="536">
        <v>5.277809007</v>
      </c>
      <c r="T60" s="536">
        <v>36.7530114370804</v>
      </c>
      <c r="U60" s="537">
        <v>0.0141403294044523</v>
      </c>
      <c r="AH60" s="538" t="s">
        <v>298</v>
      </c>
      <c r="AI60" s="539" t="s">
        <v>443</v>
      </c>
      <c r="AJ60" s="539" t="s">
        <v>294</v>
      </c>
      <c r="AK60" s="539" t="s">
        <v>323</v>
      </c>
      <c r="AL60" s="539" t="s">
        <v>296</v>
      </c>
      <c r="AM60" s="539" t="s">
        <v>297</v>
      </c>
      <c r="AN60" s="540">
        <v>2019.0</v>
      </c>
      <c r="AO60" s="541">
        <v>0.0</v>
      </c>
      <c r="AP60" s="541">
        <v>0.0</v>
      </c>
      <c r="AQ60" s="542">
        <v>0.0</v>
      </c>
      <c r="AS60" s="534" t="s">
        <v>296</v>
      </c>
      <c r="AT60" s="535" t="s">
        <v>294</v>
      </c>
      <c r="AU60" s="535" t="s">
        <v>302</v>
      </c>
      <c r="AV60" s="535" t="s">
        <v>24</v>
      </c>
      <c r="AW60" s="535" t="s">
        <v>292</v>
      </c>
      <c r="AX60" s="535" t="s">
        <v>89</v>
      </c>
      <c r="AY60" s="535" t="s">
        <v>304</v>
      </c>
      <c r="AZ60" s="543" t="s">
        <v>305</v>
      </c>
      <c r="BA60" s="536">
        <v>1882.032542</v>
      </c>
      <c r="BB60" s="536">
        <v>794.7212596</v>
      </c>
      <c r="BC60" s="536">
        <v>3313.616296</v>
      </c>
      <c r="BD60" s="537" t="s">
        <v>202</v>
      </c>
      <c r="BS60" s="534" t="s">
        <v>296</v>
      </c>
      <c r="BT60" s="535" t="s">
        <v>294</v>
      </c>
      <c r="BU60" s="535" t="s">
        <v>309</v>
      </c>
      <c r="BV60" s="535" t="s">
        <v>448</v>
      </c>
      <c r="BW60" s="535" t="s">
        <v>298</v>
      </c>
      <c r="BX60" s="535" t="s">
        <v>307</v>
      </c>
      <c r="BY60" s="535" t="s">
        <v>304</v>
      </c>
      <c r="BZ60" s="543" t="s">
        <v>305</v>
      </c>
      <c r="CA60" s="536">
        <v>113608.2279</v>
      </c>
      <c r="CB60" s="536">
        <v>32822.61072</v>
      </c>
      <c r="CC60" s="536">
        <v>196185.9975</v>
      </c>
      <c r="CD60" s="537" t="s">
        <v>202</v>
      </c>
      <c r="CE60" s="525"/>
    </row>
    <row r="61">
      <c r="A61" s="509"/>
      <c r="B61" s="544" t="s">
        <v>312</v>
      </c>
      <c r="C61" s="545" t="s">
        <v>289</v>
      </c>
      <c r="D61" s="545" t="s">
        <v>362</v>
      </c>
      <c r="E61" s="546">
        <v>2019.0</v>
      </c>
      <c r="F61" s="545" t="s">
        <v>291</v>
      </c>
      <c r="G61" s="545" t="s">
        <v>89</v>
      </c>
      <c r="H61" s="547">
        <v>9.988947616E7</v>
      </c>
      <c r="I61" s="547">
        <v>1.115591321E8</v>
      </c>
      <c r="J61" s="548">
        <v>8.856408598E7</v>
      </c>
      <c r="K61" s="516"/>
      <c r="L61" s="534" t="s">
        <v>292</v>
      </c>
      <c r="M61" s="535" t="s">
        <v>351</v>
      </c>
      <c r="N61" s="535" t="s">
        <v>294</v>
      </c>
      <c r="O61" s="535" t="s">
        <v>311</v>
      </c>
      <c r="P61" s="535" t="s">
        <v>296</v>
      </c>
      <c r="Q61" s="535" t="s">
        <v>89</v>
      </c>
      <c r="R61" s="535">
        <v>2019.0</v>
      </c>
      <c r="S61" s="536">
        <v>0.0</v>
      </c>
      <c r="T61" s="536">
        <v>0.0</v>
      </c>
      <c r="U61" s="537">
        <v>0.0</v>
      </c>
      <c r="AH61" s="549" t="s">
        <v>298</v>
      </c>
      <c r="AI61" s="550" t="s">
        <v>321</v>
      </c>
      <c r="AJ61" s="550" t="s">
        <v>294</v>
      </c>
      <c r="AK61" s="550" t="s">
        <v>300</v>
      </c>
      <c r="AL61" s="550" t="s">
        <v>296</v>
      </c>
      <c r="AM61" s="550" t="s">
        <v>297</v>
      </c>
      <c r="AN61" s="551">
        <v>2019.0</v>
      </c>
      <c r="AO61" s="552">
        <v>42747.54558</v>
      </c>
      <c r="AP61" s="552">
        <v>78705.92881</v>
      </c>
      <c r="AQ61" s="553">
        <v>26041.85759</v>
      </c>
      <c r="AS61" s="534" t="s">
        <v>296</v>
      </c>
      <c r="AT61" s="535" t="s">
        <v>294</v>
      </c>
      <c r="AU61" s="535" t="s">
        <v>315</v>
      </c>
      <c r="AV61" s="535" t="s">
        <v>24</v>
      </c>
      <c r="AW61" s="535" t="s">
        <v>292</v>
      </c>
      <c r="AX61" s="535" t="s">
        <v>89</v>
      </c>
      <c r="AY61" s="535" t="s">
        <v>304</v>
      </c>
      <c r="AZ61" s="543" t="s">
        <v>305</v>
      </c>
      <c r="BA61" s="536">
        <v>112.9551112</v>
      </c>
      <c r="BB61" s="536">
        <v>35.44949314</v>
      </c>
      <c r="BC61" s="536">
        <v>247.8869951</v>
      </c>
      <c r="BD61" s="537" t="s">
        <v>202</v>
      </c>
      <c r="BS61" s="534" t="s">
        <v>296</v>
      </c>
      <c r="BT61" s="535" t="s">
        <v>294</v>
      </c>
      <c r="BU61" s="535" t="s">
        <v>317</v>
      </c>
      <c r="BV61" s="535" t="s">
        <v>448</v>
      </c>
      <c r="BW61" s="535" t="s">
        <v>298</v>
      </c>
      <c r="BX61" s="535" t="s">
        <v>307</v>
      </c>
      <c r="BY61" s="535" t="s">
        <v>304</v>
      </c>
      <c r="BZ61" s="543" t="s">
        <v>305</v>
      </c>
      <c r="CA61" s="536">
        <v>42822.54029</v>
      </c>
      <c r="CB61" s="536">
        <v>16970.64624</v>
      </c>
      <c r="CC61" s="536">
        <v>86099.49675</v>
      </c>
      <c r="CD61" s="537" t="s">
        <v>202</v>
      </c>
      <c r="CE61" s="525"/>
    </row>
    <row r="62">
      <c r="A62" s="509"/>
      <c r="B62" s="526" t="s">
        <v>312</v>
      </c>
      <c r="C62" s="527" t="s">
        <v>289</v>
      </c>
      <c r="D62" s="527" t="s">
        <v>366</v>
      </c>
      <c r="E62" s="530">
        <v>2019.0</v>
      </c>
      <c r="F62" s="527" t="s">
        <v>291</v>
      </c>
      <c r="G62" s="527" t="s">
        <v>89</v>
      </c>
      <c r="H62" s="532">
        <v>1.461180309E7</v>
      </c>
      <c r="I62" s="532">
        <v>1.631767429E7</v>
      </c>
      <c r="J62" s="533">
        <v>1.295482993E7</v>
      </c>
      <c r="K62" s="516"/>
      <c r="L62" s="534" t="s">
        <v>292</v>
      </c>
      <c r="M62" s="535" t="s">
        <v>351</v>
      </c>
      <c r="N62" s="535" t="s">
        <v>294</v>
      </c>
      <c r="O62" s="535" t="s">
        <v>319</v>
      </c>
      <c r="P62" s="535" t="s">
        <v>296</v>
      </c>
      <c r="Q62" s="535" t="s">
        <v>89</v>
      </c>
      <c r="R62" s="535">
        <v>2019.0</v>
      </c>
      <c r="S62" s="536">
        <v>0.287362088901018</v>
      </c>
      <c r="T62" s="536">
        <v>1.71514571790994</v>
      </c>
      <c r="U62" s="537">
        <v>4.40924E-4</v>
      </c>
      <c r="AH62" s="538" t="s">
        <v>298</v>
      </c>
      <c r="AI62" s="539" t="s">
        <v>321</v>
      </c>
      <c r="AJ62" s="539" t="s">
        <v>294</v>
      </c>
      <c r="AK62" s="539" t="s">
        <v>323</v>
      </c>
      <c r="AL62" s="539" t="s">
        <v>296</v>
      </c>
      <c r="AM62" s="539" t="s">
        <v>297</v>
      </c>
      <c r="AN62" s="540">
        <v>2019.0</v>
      </c>
      <c r="AO62" s="541">
        <v>113806.9455</v>
      </c>
      <c r="AP62" s="541">
        <v>151668.6422</v>
      </c>
      <c r="AQ62" s="542">
        <v>77613.77307</v>
      </c>
      <c r="AS62" s="534" t="s">
        <v>296</v>
      </c>
      <c r="AT62" s="535" t="s">
        <v>294</v>
      </c>
      <c r="AU62" s="535" t="s">
        <v>325</v>
      </c>
      <c r="AV62" s="535" t="s">
        <v>24</v>
      </c>
      <c r="AW62" s="535" t="s">
        <v>292</v>
      </c>
      <c r="AX62" s="535" t="s">
        <v>89</v>
      </c>
      <c r="AY62" s="535" t="s">
        <v>304</v>
      </c>
      <c r="AZ62" s="543" t="s">
        <v>305</v>
      </c>
      <c r="BA62" s="536">
        <v>590.6183608</v>
      </c>
      <c r="BB62" s="536">
        <v>199.5397186</v>
      </c>
      <c r="BC62" s="536">
        <v>1211.307212</v>
      </c>
      <c r="BD62" s="537" t="s">
        <v>202</v>
      </c>
      <c r="BS62" s="534" t="s">
        <v>296</v>
      </c>
      <c r="BT62" s="535" t="s">
        <v>294</v>
      </c>
      <c r="BU62" s="535" t="s">
        <v>309</v>
      </c>
      <c r="BV62" s="535" t="s">
        <v>455</v>
      </c>
      <c r="BW62" s="535" t="s">
        <v>298</v>
      </c>
      <c r="BX62" s="535" t="s">
        <v>307</v>
      </c>
      <c r="BY62" s="535" t="s">
        <v>304</v>
      </c>
      <c r="BZ62" s="543" t="s">
        <v>305</v>
      </c>
      <c r="CA62" s="536">
        <v>118840.9576</v>
      </c>
      <c r="CB62" s="536">
        <v>43143.59078</v>
      </c>
      <c r="CC62" s="536">
        <v>191769.1747</v>
      </c>
      <c r="CD62" s="537" t="s">
        <v>202</v>
      </c>
      <c r="CE62" s="525"/>
    </row>
    <row r="63">
      <c r="A63" s="509"/>
      <c r="B63" s="544" t="s">
        <v>312</v>
      </c>
      <c r="C63" s="545" t="s">
        <v>289</v>
      </c>
      <c r="D63" s="545" t="s">
        <v>368</v>
      </c>
      <c r="E63" s="546">
        <v>2019.0</v>
      </c>
      <c r="F63" s="545" t="s">
        <v>291</v>
      </c>
      <c r="G63" s="545" t="s">
        <v>89</v>
      </c>
      <c r="H63" s="547">
        <v>8.528043635E7</v>
      </c>
      <c r="I63" s="547">
        <v>9.523659578E7</v>
      </c>
      <c r="J63" s="548">
        <v>7.560966589E7</v>
      </c>
      <c r="K63" s="516"/>
      <c r="L63" s="534" t="s">
        <v>292</v>
      </c>
      <c r="M63" s="535" t="s">
        <v>351</v>
      </c>
      <c r="N63" s="535" t="s">
        <v>294</v>
      </c>
      <c r="O63" s="535" t="s">
        <v>327</v>
      </c>
      <c r="P63" s="535" t="s">
        <v>296</v>
      </c>
      <c r="Q63" s="535" t="s">
        <v>89</v>
      </c>
      <c r="R63" s="535">
        <v>2019.0</v>
      </c>
      <c r="S63" s="536">
        <v>3.20429934067768</v>
      </c>
      <c r="T63" s="536">
        <v>22.8241953201124</v>
      </c>
      <c r="U63" s="537">
        <v>0.008560918</v>
      </c>
      <c r="AH63" s="549" t="s">
        <v>298</v>
      </c>
      <c r="AI63" s="550" t="s">
        <v>465</v>
      </c>
      <c r="AJ63" s="550" t="s">
        <v>294</v>
      </c>
      <c r="AK63" s="550" t="s">
        <v>323</v>
      </c>
      <c r="AL63" s="550" t="s">
        <v>296</v>
      </c>
      <c r="AM63" s="550" t="s">
        <v>297</v>
      </c>
      <c r="AN63" s="551">
        <v>2019.0</v>
      </c>
      <c r="AO63" s="552">
        <v>42479.5591</v>
      </c>
      <c r="AP63" s="552">
        <v>69048.14174</v>
      </c>
      <c r="AQ63" s="553">
        <v>19018.49489</v>
      </c>
      <c r="AS63" s="534" t="s">
        <v>296</v>
      </c>
      <c r="AT63" s="535" t="s">
        <v>294</v>
      </c>
      <c r="AU63" s="535" t="s">
        <v>332</v>
      </c>
      <c r="AV63" s="535" t="s">
        <v>24</v>
      </c>
      <c r="AW63" s="535" t="s">
        <v>292</v>
      </c>
      <c r="AX63" s="535" t="s">
        <v>89</v>
      </c>
      <c r="AY63" s="535" t="s">
        <v>304</v>
      </c>
      <c r="AZ63" s="543" t="s">
        <v>305</v>
      </c>
      <c r="BA63" s="536">
        <v>4417.546406</v>
      </c>
      <c r="BB63" s="536">
        <v>1780.183699</v>
      </c>
      <c r="BC63" s="536">
        <v>8246.294132</v>
      </c>
      <c r="BD63" s="537" t="s">
        <v>202</v>
      </c>
      <c r="BS63" s="534" t="s">
        <v>296</v>
      </c>
      <c r="BT63" s="535" t="s">
        <v>294</v>
      </c>
      <c r="BU63" s="535" t="s">
        <v>317</v>
      </c>
      <c r="BV63" s="535" t="s">
        <v>455</v>
      </c>
      <c r="BW63" s="535" t="s">
        <v>298</v>
      </c>
      <c r="BX63" s="535" t="s">
        <v>307</v>
      </c>
      <c r="BY63" s="535" t="s">
        <v>304</v>
      </c>
      <c r="BZ63" s="543" t="s">
        <v>305</v>
      </c>
      <c r="CA63" s="536">
        <v>45392.5508</v>
      </c>
      <c r="CB63" s="536">
        <v>14921.57492</v>
      </c>
      <c r="CC63" s="536">
        <v>92520.51555</v>
      </c>
      <c r="CD63" s="537" t="s">
        <v>202</v>
      </c>
      <c r="CE63" s="525"/>
    </row>
    <row r="64">
      <c r="A64" s="509"/>
      <c r="B64" s="526" t="s">
        <v>312</v>
      </c>
      <c r="C64" s="527" t="s">
        <v>289</v>
      </c>
      <c r="D64" s="527" t="s">
        <v>373</v>
      </c>
      <c r="E64" s="530">
        <v>2019.0</v>
      </c>
      <c r="F64" s="527" t="s">
        <v>291</v>
      </c>
      <c r="G64" s="527" t="s">
        <v>89</v>
      </c>
      <c r="H64" s="532">
        <v>1.389366423E7</v>
      </c>
      <c r="I64" s="532">
        <v>1.551569552E7</v>
      </c>
      <c r="J64" s="533">
        <v>1.231812776E7</v>
      </c>
      <c r="K64" s="516"/>
      <c r="L64" s="534" t="s">
        <v>292</v>
      </c>
      <c r="M64" s="535" t="s">
        <v>351</v>
      </c>
      <c r="N64" s="535" t="s">
        <v>294</v>
      </c>
      <c r="O64" s="535" t="s">
        <v>335</v>
      </c>
      <c r="P64" s="535" t="s">
        <v>296</v>
      </c>
      <c r="Q64" s="535" t="s">
        <v>89</v>
      </c>
      <c r="R64" s="535">
        <v>2019.0</v>
      </c>
      <c r="S64" s="536">
        <v>8.53162509861646</v>
      </c>
      <c r="T64" s="536">
        <v>54.3007562356333</v>
      </c>
      <c r="U64" s="537">
        <v>0.0184398518051267</v>
      </c>
      <c r="AH64" s="538" t="s">
        <v>298</v>
      </c>
      <c r="AI64" s="539" t="s">
        <v>399</v>
      </c>
      <c r="AJ64" s="539" t="s">
        <v>294</v>
      </c>
      <c r="AK64" s="539" t="s">
        <v>323</v>
      </c>
      <c r="AL64" s="539" t="s">
        <v>296</v>
      </c>
      <c r="AM64" s="539" t="s">
        <v>297</v>
      </c>
      <c r="AN64" s="540">
        <v>2019.0</v>
      </c>
      <c r="AO64" s="541">
        <v>28676.33497</v>
      </c>
      <c r="AP64" s="541">
        <v>80677.29155</v>
      </c>
      <c r="AQ64" s="542">
        <v>5590.342158</v>
      </c>
      <c r="AS64" s="534" t="s">
        <v>296</v>
      </c>
      <c r="AT64" s="535" t="s">
        <v>294</v>
      </c>
      <c r="AU64" s="535" t="s">
        <v>302</v>
      </c>
      <c r="AV64" s="535" t="s">
        <v>385</v>
      </c>
      <c r="AW64" s="535" t="s">
        <v>292</v>
      </c>
      <c r="AX64" s="535" t="s">
        <v>89</v>
      </c>
      <c r="AY64" s="535" t="s">
        <v>304</v>
      </c>
      <c r="AZ64" s="543" t="s">
        <v>305</v>
      </c>
      <c r="BA64" s="536">
        <v>2410.020534</v>
      </c>
      <c r="BB64" s="536">
        <v>721.7842016</v>
      </c>
      <c r="BC64" s="536">
        <v>5278.986217</v>
      </c>
      <c r="BD64" s="537" t="s">
        <v>202</v>
      </c>
      <c r="BS64" s="534" t="s">
        <v>296</v>
      </c>
      <c r="BT64" s="535" t="s">
        <v>294</v>
      </c>
      <c r="BU64" s="535" t="s">
        <v>309</v>
      </c>
      <c r="BV64" s="535" t="s">
        <v>28</v>
      </c>
      <c r="BW64" s="535" t="s">
        <v>298</v>
      </c>
      <c r="BX64" s="535" t="s">
        <v>307</v>
      </c>
      <c r="BY64" s="535" t="s">
        <v>304</v>
      </c>
      <c r="BZ64" s="543" t="s">
        <v>305</v>
      </c>
      <c r="CA64" s="536">
        <v>130288.462</v>
      </c>
      <c r="CB64" s="536">
        <v>62633.28827</v>
      </c>
      <c r="CC64" s="536">
        <v>190413.634</v>
      </c>
      <c r="CD64" s="537" t="s">
        <v>202</v>
      </c>
      <c r="CE64" s="525"/>
    </row>
    <row r="65">
      <c r="A65" s="509"/>
      <c r="B65" s="544" t="s">
        <v>312</v>
      </c>
      <c r="C65" s="545" t="s">
        <v>289</v>
      </c>
      <c r="D65" s="545" t="s">
        <v>379</v>
      </c>
      <c r="E65" s="546">
        <v>2019.0</v>
      </c>
      <c r="F65" s="545" t="s">
        <v>291</v>
      </c>
      <c r="G65" s="545" t="s">
        <v>89</v>
      </c>
      <c r="H65" s="547">
        <v>5.62328337E7</v>
      </c>
      <c r="I65" s="547">
        <v>6.28022727E7</v>
      </c>
      <c r="J65" s="548">
        <v>4.985719928E7</v>
      </c>
      <c r="K65" s="516"/>
      <c r="L65" s="534" t="s">
        <v>292</v>
      </c>
      <c r="M65" s="535" t="s">
        <v>351</v>
      </c>
      <c r="N65" s="535" t="s">
        <v>294</v>
      </c>
      <c r="O65" s="535" t="s">
        <v>300</v>
      </c>
      <c r="P65" s="535" t="s">
        <v>296</v>
      </c>
      <c r="Q65" s="535" t="s">
        <v>89</v>
      </c>
      <c r="R65" s="535">
        <v>2019.0</v>
      </c>
      <c r="S65" s="536">
        <v>0.017473196</v>
      </c>
      <c r="T65" s="536">
        <v>0.094457019</v>
      </c>
      <c r="U65" s="537">
        <v>1.99616473466041E-5</v>
      </c>
      <c r="AH65" s="549" t="s">
        <v>298</v>
      </c>
      <c r="AI65" s="550" t="s">
        <v>399</v>
      </c>
      <c r="AJ65" s="550" t="s">
        <v>294</v>
      </c>
      <c r="AK65" s="550" t="s">
        <v>300</v>
      </c>
      <c r="AL65" s="550" t="s">
        <v>296</v>
      </c>
      <c r="AM65" s="550" t="s">
        <v>297</v>
      </c>
      <c r="AN65" s="551">
        <v>2019.0</v>
      </c>
      <c r="AO65" s="552">
        <v>12906.88516</v>
      </c>
      <c r="AP65" s="552">
        <v>30335.17822</v>
      </c>
      <c r="AQ65" s="553">
        <v>2909.023953</v>
      </c>
      <c r="AS65" s="534" t="s">
        <v>296</v>
      </c>
      <c r="AT65" s="535" t="s">
        <v>294</v>
      </c>
      <c r="AU65" s="535" t="s">
        <v>315</v>
      </c>
      <c r="AV65" s="535" t="s">
        <v>385</v>
      </c>
      <c r="AW65" s="535" t="s">
        <v>292</v>
      </c>
      <c r="AX65" s="535" t="s">
        <v>89</v>
      </c>
      <c r="AY65" s="535" t="s">
        <v>304</v>
      </c>
      <c r="AZ65" s="543" t="s">
        <v>305</v>
      </c>
      <c r="BA65" s="536">
        <v>73.71028241</v>
      </c>
      <c r="BB65" s="536">
        <v>18.41675223</v>
      </c>
      <c r="BC65" s="536">
        <v>209.1556865</v>
      </c>
      <c r="BD65" s="537" t="s">
        <v>202</v>
      </c>
      <c r="BS65" s="534" t="s">
        <v>296</v>
      </c>
      <c r="BT65" s="535" t="s">
        <v>294</v>
      </c>
      <c r="BU65" s="535" t="s">
        <v>317</v>
      </c>
      <c r="BV65" s="535" t="s">
        <v>28</v>
      </c>
      <c r="BW65" s="535" t="s">
        <v>298</v>
      </c>
      <c r="BX65" s="535" t="s">
        <v>307</v>
      </c>
      <c r="BY65" s="535" t="s">
        <v>304</v>
      </c>
      <c r="BZ65" s="543" t="s">
        <v>305</v>
      </c>
      <c r="CA65" s="536">
        <v>48687.08739</v>
      </c>
      <c r="CB65" s="536">
        <v>21857.38928</v>
      </c>
      <c r="CC65" s="536">
        <v>92267.61373</v>
      </c>
      <c r="CD65" s="537" t="s">
        <v>202</v>
      </c>
      <c r="CE65" s="525"/>
    </row>
    <row r="66">
      <c r="A66" s="509"/>
      <c r="B66" s="526" t="s">
        <v>312</v>
      </c>
      <c r="C66" s="527" t="s">
        <v>289</v>
      </c>
      <c r="D66" s="527" t="s">
        <v>382</v>
      </c>
      <c r="E66" s="530">
        <v>2019.0</v>
      </c>
      <c r="F66" s="527" t="s">
        <v>291</v>
      </c>
      <c r="G66" s="527" t="s">
        <v>89</v>
      </c>
      <c r="H66" s="532">
        <v>1.281923593E7</v>
      </c>
      <c r="I66" s="532">
        <v>1.431583189E7</v>
      </c>
      <c r="J66" s="533">
        <v>1.136553924E7</v>
      </c>
      <c r="K66" s="516"/>
      <c r="L66" s="534" t="s">
        <v>292</v>
      </c>
      <c r="M66" s="535" t="s">
        <v>409</v>
      </c>
      <c r="N66" s="535" t="s">
        <v>294</v>
      </c>
      <c r="O66" s="535" t="s">
        <v>295</v>
      </c>
      <c r="P66" s="535" t="s">
        <v>296</v>
      </c>
      <c r="Q66" s="535" t="s">
        <v>89</v>
      </c>
      <c r="R66" s="535">
        <v>2019.0</v>
      </c>
      <c r="S66" s="536">
        <v>228.368028870374</v>
      </c>
      <c r="T66" s="536">
        <v>457.127432383671</v>
      </c>
      <c r="U66" s="537">
        <v>90.0050262768499</v>
      </c>
      <c r="AH66" s="538" t="s">
        <v>298</v>
      </c>
      <c r="AI66" s="539" t="s">
        <v>7</v>
      </c>
      <c r="AJ66" s="539" t="s">
        <v>294</v>
      </c>
      <c r="AK66" s="539" t="s">
        <v>300</v>
      </c>
      <c r="AL66" s="539" t="s">
        <v>296</v>
      </c>
      <c r="AM66" s="539" t="s">
        <v>297</v>
      </c>
      <c r="AN66" s="540">
        <v>2019.0</v>
      </c>
      <c r="AO66" s="541">
        <v>30218.50354</v>
      </c>
      <c r="AP66" s="541">
        <v>49149.48959</v>
      </c>
      <c r="AQ66" s="542">
        <v>18693.55117</v>
      </c>
      <c r="AS66" s="534" t="s">
        <v>296</v>
      </c>
      <c r="AT66" s="535" t="s">
        <v>294</v>
      </c>
      <c r="AU66" s="535" t="s">
        <v>325</v>
      </c>
      <c r="AV66" s="535" t="s">
        <v>385</v>
      </c>
      <c r="AW66" s="535" t="s">
        <v>292</v>
      </c>
      <c r="AX66" s="535" t="s">
        <v>89</v>
      </c>
      <c r="AY66" s="535" t="s">
        <v>304</v>
      </c>
      <c r="AZ66" s="543" t="s">
        <v>305</v>
      </c>
      <c r="BA66" s="536">
        <v>416.0710738</v>
      </c>
      <c r="BB66" s="536">
        <v>102.7147051</v>
      </c>
      <c r="BC66" s="536">
        <v>1098.812641</v>
      </c>
      <c r="BD66" s="537" t="s">
        <v>202</v>
      </c>
      <c r="BS66" s="534" t="s">
        <v>296</v>
      </c>
      <c r="BT66" s="535" t="s">
        <v>294</v>
      </c>
      <c r="BU66" s="535" t="s">
        <v>309</v>
      </c>
      <c r="BV66" s="535" t="s">
        <v>29</v>
      </c>
      <c r="BW66" s="535" t="s">
        <v>298</v>
      </c>
      <c r="BX66" s="535" t="s">
        <v>307</v>
      </c>
      <c r="BY66" s="535" t="s">
        <v>304</v>
      </c>
      <c r="BZ66" s="543" t="s">
        <v>305</v>
      </c>
      <c r="CA66" s="536">
        <v>63655.29509</v>
      </c>
      <c r="CB66" s="536">
        <v>11866.66556</v>
      </c>
      <c r="CC66" s="536">
        <v>156110.8841</v>
      </c>
      <c r="CD66" s="537" t="s">
        <v>202</v>
      </c>
      <c r="CE66" s="525"/>
    </row>
    <row r="67">
      <c r="A67" s="509"/>
      <c r="B67" s="544" t="s">
        <v>312</v>
      </c>
      <c r="C67" s="545" t="s">
        <v>289</v>
      </c>
      <c r="D67" s="545" t="s">
        <v>387</v>
      </c>
      <c r="E67" s="546">
        <v>2019.0</v>
      </c>
      <c r="F67" s="545" t="s">
        <v>291</v>
      </c>
      <c r="G67" s="545" t="s">
        <v>89</v>
      </c>
      <c r="H67" s="547">
        <v>1.116158267E7</v>
      </c>
      <c r="I67" s="547">
        <v>1.246465406E7</v>
      </c>
      <c r="J67" s="548">
        <v>9895863.258</v>
      </c>
      <c r="K67" s="516"/>
      <c r="L67" s="534" t="s">
        <v>292</v>
      </c>
      <c r="M67" s="535" t="s">
        <v>409</v>
      </c>
      <c r="N67" s="535" t="s">
        <v>294</v>
      </c>
      <c r="O67" s="535" t="s">
        <v>311</v>
      </c>
      <c r="P67" s="535" t="s">
        <v>296</v>
      </c>
      <c r="Q67" s="535" t="s">
        <v>89</v>
      </c>
      <c r="R67" s="535">
        <v>2019.0</v>
      </c>
      <c r="S67" s="536">
        <v>0.0</v>
      </c>
      <c r="T67" s="536">
        <v>0.0</v>
      </c>
      <c r="U67" s="537">
        <v>0.0</v>
      </c>
      <c r="AH67" s="549" t="s">
        <v>298</v>
      </c>
      <c r="AI67" s="550" t="s">
        <v>443</v>
      </c>
      <c r="AJ67" s="550" t="s">
        <v>294</v>
      </c>
      <c r="AK67" s="550" t="s">
        <v>300</v>
      </c>
      <c r="AL67" s="550" t="s">
        <v>296</v>
      </c>
      <c r="AM67" s="550" t="s">
        <v>297</v>
      </c>
      <c r="AN67" s="551">
        <v>2019.0</v>
      </c>
      <c r="AO67" s="552">
        <v>0.0</v>
      </c>
      <c r="AP67" s="552">
        <v>0.0</v>
      </c>
      <c r="AQ67" s="553">
        <v>0.0</v>
      </c>
      <c r="AS67" s="534" t="s">
        <v>296</v>
      </c>
      <c r="AT67" s="535" t="s">
        <v>294</v>
      </c>
      <c r="AU67" s="535" t="s">
        <v>332</v>
      </c>
      <c r="AV67" s="535" t="s">
        <v>385</v>
      </c>
      <c r="AW67" s="535" t="s">
        <v>292</v>
      </c>
      <c r="AX67" s="535" t="s">
        <v>89</v>
      </c>
      <c r="AY67" s="535" t="s">
        <v>304</v>
      </c>
      <c r="AZ67" s="543" t="s">
        <v>305</v>
      </c>
      <c r="BA67" s="536">
        <v>3450.201066</v>
      </c>
      <c r="BB67" s="536">
        <v>982.5534259</v>
      </c>
      <c r="BC67" s="536">
        <v>8062.705097</v>
      </c>
      <c r="BD67" s="537" t="s">
        <v>202</v>
      </c>
      <c r="BS67" s="534" t="s">
        <v>296</v>
      </c>
      <c r="BT67" s="535" t="s">
        <v>294</v>
      </c>
      <c r="BU67" s="535" t="s">
        <v>317</v>
      </c>
      <c r="BV67" s="535" t="s">
        <v>29</v>
      </c>
      <c r="BW67" s="535" t="s">
        <v>298</v>
      </c>
      <c r="BX67" s="535" t="s">
        <v>307</v>
      </c>
      <c r="BY67" s="535" t="s">
        <v>304</v>
      </c>
      <c r="BZ67" s="543" t="s">
        <v>305</v>
      </c>
      <c r="CA67" s="536">
        <v>25166.99536</v>
      </c>
      <c r="CB67" s="536">
        <v>7997.280959</v>
      </c>
      <c r="CC67" s="536">
        <v>53936.61963</v>
      </c>
      <c r="CD67" s="537" t="s">
        <v>202</v>
      </c>
      <c r="CE67" s="525"/>
    </row>
    <row r="68">
      <c r="A68" s="509"/>
      <c r="B68" s="526" t="s">
        <v>312</v>
      </c>
      <c r="C68" s="527" t="s">
        <v>289</v>
      </c>
      <c r="D68" s="527" t="s">
        <v>392</v>
      </c>
      <c r="E68" s="530">
        <v>2019.0</v>
      </c>
      <c r="F68" s="527" t="s">
        <v>291</v>
      </c>
      <c r="G68" s="527" t="s">
        <v>89</v>
      </c>
      <c r="H68" s="532">
        <v>9879913.094</v>
      </c>
      <c r="I68" s="532">
        <v>1.103335454E7</v>
      </c>
      <c r="J68" s="533">
        <v>8759534.543</v>
      </c>
      <c r="K68" s="516"/>
      <c r="L68" s="534" t="s">
        <v>292</v>
      </c>
      <c r="M68" s="535" t="s">
        <v>409</v>
      </c>
      <c r="N68" s="535" t="s">
        <v>294</v>
      </c>
      <c r="O68" s="535" t="s">
        <v>319</v>
      </c>
      <c r="P68" s="535" t="s">
        <v>296</v>
      </c>
      <c r="Q68" s="535" t="s">
        <v>89</v>
      </c>
      <c r="R68" s="535">
        <v>2019.0</v>
      </c>
      <c r="S68" s="536">
        <v>26.2932520929312</v>
      </c>
      <c r="T68" s="536">
        <v>57.2897400609695</v>
      </c>
      <c r="U68" s="537">
        <v>9.46701325770943</v>
      </c>
      <c r="AH68" s="538" t="s">
        <v>298</v>
      </c>
      <c r="AI68" s="539" t="s">
        <v>5</v>
      </c>
      <c r="AJ68" s="539" t="s">
        <v>294</v>
      </c>
      <c r="AK68" s="539" t="s">
        <v>323</v>
      </c>
      <c r="AL68" s="539" t="s">
        <v>296</v>
      </c>
      <c r="AM68" s="539" t="s">
        <v>297</v>
      </c>
      <c r="AN68" s="540">
        <v>2019.0</v>
      </c>
      <c r="AO68" s="541">
        <v>94642.58735</v>
      </c>
      <c r="AP68" s="541">
        <v>138932.1299</v>
      </c>
      <c r="AQ68" s="542">
        <v>57567.77585</v>
      </c>
      <c r="AS68" s="534" t="s">
        <v>296</v>
      </c>
      <c r="AT68" s="535" t="s">
        <v>294</v>
      </c>
      <c r="AU68" s="535" t="s">
        <v>302</v>
      </c>
      <c r="AV68" s="535" t="s">
        <v>390</v>
      </c>
      <c r="AW68" s="535" t="s">
        <v>292</v>
      </c>
      <c r="AX68" s="535" t="s">
        <v>89</v>
      </c>
      <c r="AY68" s="535" t="s">
        <v>304</v>
      </c>
      <c r="AZ68" s="543" t="s">
        <v>305</v>
      </c>
      <c r="BA68" s="536">
        <v>3557.503594</v>
      </c>
      <c r="BB68" s="536">
        <v>2158.620443</v>
      </c>
      <c r="BC68" s="536">
        <v>5317.865456</v>
      </c>
      <c r="BD68" s="537" t="s">
        <v>202</v>
      </c>
      <c r="BS68" s="534" t="s">
        <v>296</v>
      </c>
      <c r="BT68" s="535" t="s">
        <v>294</v>
      </c>
      <c r="BU68" s="535" t="s">
        <v>309</v>
      </c>
      <c r="BV68" s="535" t="s">
        <v>471</v>
      </c>
      <c r="BW68" s="535" t="s">
        <v>298</v>
      </c>
      <c r="BX68" s="535" t="s">
        <v>307</v>
      </c>
      <c r="BY68" s="535" t="s">
        <v>304</v>
      </c>
      <c r="BZ68" s="543" t="s">
        <v>305</v>
      </c>
      <c r="CA68" s="536">
        <v>85289.8337</v>
      </c>
      <c r="CB68" s="536">
        <v>20682.52475</v>
      </c>
      <c r="CC68" s="536">
        <v>177303.7165</v>
      </c>
      <c r="CD68" s="537" t="s">
        <v>202</v>
      </c>
      <c r="CE68" s="525"/>
    </row>
    <row r="69">
      <c r="A69" s="509"/>
      <c r="B69" s="544" t="s">
        <v>312</v>
      </c>
      <c r="C69" s="545" t="s">
        <v>289</v>
      </c>
      <c r="D69" s="545" t="s">
        <v>398</v>
      </c>
      <c r="E69" s="546">
        <v>2019.0</v>
      </c>
      <c r="F69" s="545" t="s">
        <v>291</v>
      </c>
      <c r="G69" s="545" t="s">
        <v>89</v>
      </c>
      <c r="H69" s="547">
        <v>8479993.355</v>
      </c>
      <c r="I69" s="547">
        <v>9469999.615</v>
      </c>
      <c r="J69" s="548">
        <v>7518365.193</v>
      </c>
      <c r="K69" s="516"/>
      <c r="L69" s="534" t="s">
        <v>292</v>
      </c>
      <c r="M69" s="535" t="s">
        <v>409</v>
      </c>
      <c r="N69" s="535" t="s">
        <v>294</v>
      </c>
      <c r="O69" s="535" t="s">
        <v>327</v>
      </c>
      <c r="P69" s="535" t="s">
        <v>296</v>
      </c>
      <c r="Q69" s="535" t="s">
        <v>89</v>
      </c>
      <c r="R69" s="535">
        <v>2019.0</v>
      </c>
      <c r="S69" s="536">
        <v>88.4865967953021</v>
      </c>
      <c r="T69" s="536">
        <v>178.835870156438</v>
      </c>
      <c r="U69" s="537">
        <v>33.1991181895109</v>
      </c>
      <c r="AH69" s="549" t="s">
        <v>298</v>
      </c>
      <c r="AI69" s="550" t="s">
        <v>5</v>
      </c>
      <c r="AJ69" s="550" t="s">
        <v>294</v>
      </c>
      <c r="AK69" s="550" t="s">
        <v>300</v>
      </c>
      <c r="AL69" s="550" t="s">
        <v>296</v>
      </c>
      <c r="AM69" s="550" t="s">
        <v>297</v>
      </c>
      <c r="AN69" s="551">
        <v>2019.0</v>
      </c>
      <c r="AO69" s="552">
        <v>35845.96564</v>
      </c>
      <c r="AP69" s="552">
        <v>64867.69378</v>
      </c>
      <c r="AQ69" s="553">
        <v>19481.8862</v>
      </c>
      <c r="AS69" s="534" t="s">
        <v>296</v>
      </c>
      <c r="AT69" s="535" t="s">
        <v>294</v>
      </c>
      <c r="AU69" s="535" t="s">
        <v>315</v>
      </c>
      <c r="AV69" s="535" t="s">
        <v>390</v>
      </c>
      <c r="AW69" s="535" t="s">
        <v>292</v>
      </c>
      <c r="AX69" s="535" t="s">
        <v>89</v>
      </c>
      <c r="AY69" s="535" t="s">
        <v>304</v>
      </c>
      <c r="AZ69" s="543" t="s">
        <v>305</v>
      </c>
      <c r="BA69" s="536">
        <v>319.2516969</v>
      </c>
      <c r="BB69" s="536">
        <v>146.3176599</v>
      </c>
      <c r="BC69" s="536">
        <v>555.5500478</v>
      </c>
      <c r="BD69" s="537" t="s">
        <v>202</v>
      </c>
      <c r="BS69" s="534" t="s">
        <v>296</v>
      </c>
      <c r="BT69" s="535" t="s">
        <v>294</v>
      </c>
      <c r="BU69" s="535" t="s">
        <v>317</v>
      </c>
      <c r="BV69" s="535" t="s">
        <v>471</v>
      </c>
      <c r="BW69" s="535" t="s">
        <v>298</v>
      </c>
      <c r="BX69" s="535" t="s">
        <v>307</v>
      </c>
      <c r="BY69" s="535" t="s">
        <v>304</v>
      </c>
      <c r="BZ69" s="543" t="s">
        <v>305</v>
      </c>
      <c r="CA69" s="536">
        <v>33581.78062</v>
      </c>
      <c r="CB69" s="536">
        <v>10913.29145</v>
      </c>
      <c r="CC69" s="536">
        <v>75799.73392</v>
      </c>
      <c r="CD69" s="537" t="s">
        <v>202</v>
      </c>
      <c r="CE69" s="525"/>
    </row>
    <row r="70">
      <c r="A70" s="509"/>
      <c r="B70" s="526" t="s">
        <v>312</v>
      </c>
      <c r="C70" s="527" t="s">
        <v>289</v>
      </c>
      <c r="D70" s="527" t="s">
        <v>402</v>
      </c>
      <c r="E70" s="530">
        <v>2019.0</v>
      </c>
      <c r="F70" s="527" t="s">
        <v>291</v>
      </c>
      <c r="G70" s="527" t="s">
        <v>89</v>
      </c>
      <c r="H70" s="532">
        <v>4.562043635E7</v>
      </c>
      <c r="I70" s="532">
        <v>5.095007482E7</v>
      </c>
      <c r="J70" s="533">
        <v>4.044802719E7</v>
      </c>
      <c r="K70" s="516"/>
      <c r="L70" s="534" t="s">
        <v>292</v>
      </c>
      <c r="M70" s="535" t="s">
        <v>409</v>
      </c>
      <c r="N70" s="535" t="s">
        <v>294</v>
      </c>
      <c r="O70" s="535" t="s">
        <v>335</v>
      </c>
      <c r="P70" s="535" t="s">
        <v>296</v>
      </c>
      <c r="Q70" s="535" t="s">
        <v>89</v>
      </c>
      <c r="R70" s="535">
        <v>2019.0</v>
      </c>
      <c r="S70" s="536">
        <v>714.8195765</v>
      </c>
      <c r="T70" s="536">
        <v>1615.12932195012</v>
      </c>
      <c r="U70" s="537">
        <v>247.8956433</v>
      </c>
      <c r="AH70" s="538" t="s">
        <v>298</v>
      </c>
      <c r="AI70" s="539" t="s">
        <v>347</v>
      </c>
      <c r="AJ70" s="539" t="s">
        <v>294</v>
      </c>
      <c r="AK70" s="539" t="s">
        <v>300</v>
      </c>
      <c r="AL70" s="539" t="s">
        <v>296</v>
      </c>
      <c r="AM70" s="539" t="s">
        <v>297</v>
      </c>
      <c r="AN70" s="540">
        <v>2019.0</v>
      </c>
      <c r="AO70" s="541">
        <v>19680.90142</v>
      </c>
      <c r="AP70" s="541">
        <v>35733.01152</v>
      </c>
      <c r="AQ70" s="542">
        <v>9996.240076</v>
      </c>
      <c r="AS70" s="534" t="s">
        <v>296</v>
      </c>
      <c r="AT70" s="535" t="s">
        <v>294</v>
      </c>
      <c r="AU70" s="535" t="s">
        <v>325</v>
      </c>
      <c r="AV70" s="535" t="s">
        <v>390</v>
      </c>
      <c r="AW70" s="535" t="s">
        <v>292</v>
      </c>
      <c r="AX70" s="535" t="s">
        <v>89</v>
      </c>
      <c r="AY70" s="535" t="s">
        <v>304</v>
      </c>
      <c r="AZ70" s="543" t="s">
        <v>305</v>
      </c>
      <c r="BA70" s="536">
        <v>1415.968139</v>
      </c>
      <c r="BB70" s="536">
        <v>747.9788949</v>
      </c>
      <c r="BC70" s="536">
        <v>2268.422991</v>
      </c>
      <c r="BD70" s="537" t="s">
        <v>202</v>
      </c>
      <c r="BS70" s="534" t="s">
        <v>296</v>
      </c>
      <c r="BT70" s="535" t="s">
        <v>294</v>
      </c>
      <c r="BU70" s="535" t="s">
        <v>309</v>
      </c>
      <c r="BV70" s="535" t="s">
        <v>30</v>
      </c>
      <c r="BW70" s="535" t="s">
        <v>298</v>
      </c>
      <c r="BX70" s="535" t="s">
        <v>307</v>
      </c>
      <c r="BY70" s="535" t="s">
        <v>304</v>
      </c>
      <c r="BZ70" s="543" t="s">
        <v>305</v>
      </c>
      <c r="CA70" s="536">
        <v>69580.73086</v>
      </c>
      <c r="CB70" s="536">
        <v>16901.97398</v>
      </c>
      <c r="CC70" s="536">
        <v>164706.9856</v>
      </c>
      <c r="CD70" s="537" t="s">
        <v>202</v>
      </c>
      <c r="CE70" s="525"/>
    </row>
    <row r="71">
      <c r="A71" s="509"/>
      <c r="B71" s="544" t="s">
        <v>312</v>
      </c>
      <c r="C71" s="545" t="s">
        <v>289</v>
      </c>
      <c r="D71" s="545" t="s">
        <v>407</v>
      </c>
      <c r="E71" s="546">
        <v>2019.0</v>
      </c>
      <c r="F71" s="545" t="s">
        <v>291</v>
      </c>
      <c r="G71" s="545" t="s">
        <v>89</v>
      </c>
      <c r="H71" s="547">
        <v>1.49181681E7</v>
      </c>
      <c r="I71" s="547">
        <v>1.665980623E7</v>
      </c>
      <c r="J71" s="548">
        <v>1.322645326E7</v>
      </c>
      <c r="K71" s="516"/>
      <c r="L71" s="534" t="s">
        <v>292</v>
      </c>
      <c r="M71" s="535" t="s">
        <v>409</v>
      </c>
      <c r="N71" s="535" t="s">
        <v>294</v>
      </c>
      <c r="O71" s="535" t="s">
        <v>300</v>
      </c>
      <c r="P71" s="535" t="s">
        <v>296</v>
      </c>
      <c r="Q71" s="535" t="s">
        <v>89</v>
      </c>
      <c r="R71" s="535">
        <v>2019.0</v>
      </c>
      <c r="S71" s="536">
        <v>36.8856696276396</v>
      </c>
      <c r="T71" s="536">
        <v>74.736743662199</v>
      </c>
      <c r="U71" s="537">
        <v>13.0532450310973</v>
      </c>
      <c r="AH71" s="549" t="s">
        <v>298</v>
      </c>
      <c r="AI71" s="550" t="s">
        <v>9</v>
      </c>
      <c r="AJ71" s="550" t="s">
        <v>294</v>
      </c>
      <c r="AK71" s="550" t="s">
        <v>323</v>
      </c>
      <c r="AL71" s="550" t="s">
        <v>296</v>
      </c>
      <c r="AM71" s="550" t="s">
        <v>297</v>
      </c>
      <c r="AN71" s="551">
        <v>2019.0</v>
      </c>
      <c r="AO71" s="552">
        <v>70718.77021</v>
      </c>
      <c r="AP71" s="552">
        <v>112322.2948</v>
      </c>
      <c r="AQ71" s="553">
        <v>28877.85769</v>
      </c>
      <c r="AS71" s="534" t="s">
        <v>296</v>
      </c>
      <c r="AT71" s="535" t="s">
        <v>294</v>
      </c>
      <c r="AU71" s="535" t="s">
        <v>332</v>
      </c>
      <c r="AV71" s="535" t="s">
        <v>390</v>
      </c>
      <c r="AW71" s="535" t="s">
        <v>292</v>
      </c>
      <c r="AX71" s="535" t="s">
        <v>89</v>
      </c>
      <c r="AY71" s="535" t="s">
        <v>304</v>
      </c>
      <c r="AZ71" s="543" t="s">
        <v>305</v>
      </c>
      <c r="BA71" s="536">
        <v>12007.13298</v>
      </c>
      <c r="BB71" s="536">
        <v>6743.649271</v>
      </c>
      <c r="BC71" s="536">
        <v>18943.90789</v>
      </c>
      <c r="BD71" s="537" t="s">
        <v>202</v>
      </c>
      <c r="BS71" s="534" t="s">
        <v>296</v>
      </c>
      <c r="BT71" s="535" t="s">
        <v>294</v>
      </c>
      <c r="BU71" s="535" t="s">
        <v>317</v>
      </c>
      <c r="BV71" s="535" t="s">
        <v>30</v>
      </c>
      <c r="BW71" s="535" t="s">
        <v>298</v>
      </c>
      <c r="BX71" s="535" t="s">
        <v>307</v>
      </c>
      <c r="BY71" s="535" t="s">
        <v>304</v>
      </c>
      <c r="BZ71" s="543" t="s">
        <v>305</v>
      </c>
      <c r="CA71" s="536">
        <v>28680.35419</v>
      </c>
      <c r="CB71" s="536">
        <v>7680.509877</v>
      </c>
      <c r="CC71" s="536">
        <v>71218.63575</v>
      </c>
      <c r="CD71" s="537" t="s">
        <v>202</v>
      </c>
      <c r="CE71" s="525"/>
    </row>
    <row r="72">
      <c r="A72" s="509"/>
      <c r="B72" s="526" t="s">
        <v>312</v>
      </c>
      <c r="C72" s="527" t="s">
        <v>289</v>
      </c>
      <c r="D72" s="527" t="s">
        <v>414</v>
      </c>
      <c r="E72" s="530">
        <v>2019.0</v>
      </c>
      <c r="F72" s="527" t="s">
        <v>291</v>
      </c>
      <c r="G72" s="527" t="s">
        <v>89</v>
      </c>
      <c r="H72" s="532">
        <v>7197602.58</v>
      </c>
      <c r="I72" s="532">
        <v>8037894.702</v>
      </c>
      <c r="J72" s="533">
        <v>6381397.066</v>
      </c>
      <c r="K72" s="516"/>
      <c r="L72" s="534" t="s">
        <v>292</v>
      </c>
      <c r="M72" s="535" t="s">
        <v>511</v>
      </c>
      <c r="N72" s="535" t="s">
        <v>294</v>
      </c>
      <c r="O72" s="535" t="s">
        <v>295</v>
      </c>
      <c r="P72" s="535" t="s">
        <v>296</v>
      </c>
      <c r="Q72" s="535" t="s">
        <v>89</v>
      </c>
      <c r="R72" s="535">
        <v>2019.0</v>
      </c>
      <c r="S72" s="536">
        <v>1998.88561425981</v>
      </c>
      <c r="T72" s="536">
        <v>5576.13783898101</v>
      </c>
      <c r="U72" s="537">
        <v>298.268397460855</v>
      </c>
      <c r="AH72" s="538" t="s">
        <v>298</v>
      </c>
      <c r="AI72" s="539" t="s">
        <v>328</v>
      </c>
      <c r="AJ72" s="539" t="s">
        <v>294</v>
      </c>
      <c r="AK72" s="539" t="s">
        <v>323</v>
      </c>
      <c r="AL72" s="539" t="s">
        <v>296</v>
      </c>
      <c r="AM72" s="539" t="s">
        <v>297</v>
      </c>
      <c r="AN72" s="540">
        <v>2019.0</v>
      </c>
      <c r="AO72" s="541">
        <v>3.526070323</v>
      </c>
      <c r="AP72" s="541">
        <v>12.87906215</v>
      </c>
      <c r="AQ72" s="542">
        <v>0.483410071</v>
      </c>
      <c r="AS72" s="534" t="s">
        <v>296</v>
      </c>
      <c r="AT72" s="535" t="s">
        <v>294</v>
      </c>
      <c r="AU72" s="535" t="s">
        <v>302</v>
      </c>
      <c r="AV72" s="535" t="s">
        <v>396</v>
      </c>
      <c r="AW72" s="535" t="s">
        <v>292</v>
      </c>
      <c r="AX72" s="535" t="s">
        <v>89</v>
      </c>
      <c r="AY72" s="535" t="s">
        <v>304</v>
      </c>
      <c r="AZ72" s="543" t="s">
        <v>305</v>
      </c>
      <c r="BA72" s="536">
        <v>2451.814706</v>
      </c>
      <c r="BB72" s="536">
        <v>654.415219</v>
      </c>
      <c r="BC72" s="536">
        <v>6703.602128</v>
      </c>
      <c r="BD72" s="537" t="s">
        <v>202</v>
      </c>
      <c r="BS72" s="534" t="s">
        <v>296</v>
      </c>
      <c r="BT72" s="535" t="s">
        <v>294</v>
      </c>
      <c r="BU72" s="535" t="s">
        <v>309</v>
      </c>
      <c r="BV72" s="535" t="s">
        <v>482</v>
      </c>
      <c r="BW72" s="535" t="s">
        <v>298</v>
      </c>
      <c r="BX72" s="535" t="s">
        <v>307</v>
      </c>
      <c r="BY72" s="535" t="s">
        <v>304</v>
      </c>
      <c r="BZ72" s="543" t="s">
        <v>305</v>
      </c>
      <c r="CA72" s="536">
        <v>103002.5105</v>
      </c>
      <c r="CB72" s="536">
        <v>36901.13127</v>
      </c>
      <c r="CC72" s="536">
        <v>163518.7317</v>
      </c>
      <c r="CD72" s="537" t="s">
        <v>202</v>
      </c>
      <c r="CE72" s="525"/>
    </row>
    <row r="73">
      <c r="A73" s="509"/>
      <c r="B73" s="544" t="s">
        <v>312</v>
      </c>
      <c r="C73" s="545" t="s">
        <v>289</v>
      </c>
      <c r="D73" s="545" t="s">
        <v>417</v>
      </c>
      <c r="E73" s="546">
        <v>2019.0</v>
      </c>
      <c r="F73" s="545" t="s">
        <v>291</v>
      </c>
      <c r="G73" s="545" t="s">
        <v>89</v>
      </c>
      <c r="H73" s="547">
        <v>2.208187299E7</v>
      </c>
      <c r="I73" s="547">
        <v>2.465984582E7</v>
      </c>
      <c r="J73" s="548">
        <v>1.957779662E7</v>
      </c>
      <c r="K73" s="516"/>
      <c r="L73" s="534" t="s">
        <v>292</v>
      </c>
      <c r="M73" s="535" t="s">
        <v>511</v>
      </c>
      <c r="N73" s="535" t="s">
        <v>294</v>
      </c>
      <c r="O73" s="535" t="s">
        <v>311</v>
      </c>
      <c r="P73" s="535" t="s">
        <v>296</v>
      </c>
      <c r="Q73" s="535" t="s">
        <v>89</v>
      </c>
      <c r="R73" s="535">
        <v>2019.0</v>
      </c>
      <c r="S73" s="536">
        <v>0.0</v>
      </c>
      <c r="T73" s="536">
        <v>0.0</v>
      </c>
      <c r="U73" s="537">
        <v>0.0</v>
      </c>
      <c r="AH73" s="549" t="s">
        <v>298</v>
      </c>
      <c r="AI73" s="550" t="s">
        <v>328</v>
      </c>
      <c r="AJ73" s="550" t="s">
        <v>294</v>
      </c>
      <c r="AK73" s="550" t="s">
        <v>300</v>
      </c>
      <c r="AL73" s="550" t="s">
        <v>296</v>
      </c>
      <c r="AM73" s="550" t="s">
        <v>297</v>
      </c>
      <c r="AN73" s="551">
        <v>2019.0</v>
      </c>
      <c r="AO73" s="552">
        <v>6.274248982</v>
      </c>
      <c r="AP73" s="552">
        <v>22.78960181</v>
      </c>
      <c r="AQ73" s="553">
        <v>0.866144106</v>
      </c>
      <c r="AS73" s="534" t="s">
        <v>296</v>
      </c>
      <c r="AT73" s="535" t="s">
        <v>294</v>
      </c>
      <c r="AU73" s="535" t="s">
        <v>315</v>
      </c>
      <c r="AV73" s="535" t="s">
        <v>396</v>
      </c>
      <c r="AW73" s="535" t="s">
        <v>292</v>
      </c>
      <c r="AX73" s="535" t="s">
        <v>89</v>
      </c>
      <c r="AY73" s="535" t="s">
        <v>304</v>
      </c>
      <c r="AZ73" s="543" t="s">
        <v>305</v>
      </c>
      <c r="BA73" s="536">
        <v>46.11093473</v>
      </c>
      <c r="BB73" s="536">
        <v>11.63957973</v>
      </c>
      <c r="BC73" s="536">
        <v>145.5155867</v>
      </c>
      <c r="BD73" s="537" t="s">
        <v>202</v>
      </c>
      <c r="BS73" s="534" t="s">
        <v>296</v>
      </c>
      <c r="BT73" s="535" t="s">
        <v>294</v>
      </c>
      <c r="BU73" s="535" t="s">
        <v>317</v>
      </c>
      <c r="BV73" s="535" t="s">
        <v>482</v>
      </c>
      <c r="BW73" s="535" t="s">
        <v>298</v>
      </c>
      <c r="BX73" s="535" t="s">
        <v>307</v>
      </c>
      <c r="BY73" s="535" t="s">
        <v>304</v>
      </c>
      <c r="BZ73" s="543" t="s">
        <v>305</v>
      </c>
      <c r="CA73" s="536">
        <v>39004.67808</v>
      </c>
      <c r="CB73" s="536">
        <v>15866.29165</v>
      </c>
      <c r="CC73" s="536">
        <v>74038.02382</v>
      </c>
      <c r="CD73" s="537" t="s">
        <v>202</v>
      </c>
      <c r="CE73" s="525"/>
    </row>
    <row r="74">
      <c r="A74" s="509"/>
      <c r="B74" s="526" t="s">
        <v>312</v>
      </c>
      <c r="C74" s="527" t="s">
        <v>289</v>
      </c>
      <c r="D74" s="527" t="s">
        <v>300</v>
      </c>
      <c r="E74" s="530">
        <v>2019.0</v>
      </c>
      <c r="F74" s="527" t="s">
        <v>291</v>
      </c>
      <c r="G74" s="527" t="s">
        <v>89</v>
      </c>
      <c r="H74" s="532">
        <v>3.030301211E7</v>
      </c>
      <c r="I74" s="532">
        <v>3.384077098E7</v>
      </c>
      <c r="J74" s="533">
        <v>2.686666156E7</v>
      </c>
      <c r="K74" s="516"/>
      <c r="L74" s="534" t="s">
        <v>292</v>
      </c>
      <c r="M74" s="535" t="s">
        <v>511</v>
      </c>
      <c r="N74" s="535" t="s">
        <v>294</v>
      </c>
      <c r="O74" s="535" t="s">
        <v>319</v>
      </c>
      <c r="P74" s="535" t="s">
        <v>296</v>
      </c>
      <c r="Q74" s="535" t="s">
        <v>89</v>
      </c>
      <c r="R74" s="535">
        <v>2019.0</v>
      </c>
      <c r="S74" s="536">
        <v>172.952600356542</v>
      </c>
      <c r="T74" s="536">
        <v>510.348916751013</v>
      </c>
      <c r="U74" s="537">
        <v>21.0257157645582</v>
      </c>
      <c r="AH74" s="538" t="s">
        <v>298</v>
      </c>
      <c r="AI74" s="539" t="s">
        <v>393</v>
      </c>
      <c r="AJ74" s="539" t="s">
        <v>294</v>
      </c>
      <c r="AK74" s="539" t="s">
        <v>323</v>
      </c>
      <c r="AL74" s="539" t="s">
        <v>296</v>
      </c>
      <c r="AM74" s="539" t="s">
        <v>297</v>
      </c>
      <c r="AN74" s="540">
        <v>2019.0</v>
      </c>
      <c r="AO74" s="541">
        <v>1901.56604</v>
      </c>
      <c r="AP74" s="541">
        <v>7063.89962</v>
      </c>
      <c r="AQ74" s="542">
        <v>331.5369922</v>
      </c>
      <c r="AS74" s="534" t="s">
        <v>296</v>
      </c>
      <c r="AT74" s="535" t="s">
        <v>294</v>
      </c>
      <c r="AU74" s="535" t="s">
        <v>325</v>
      </c>
      <c r="AV74" s="535" t="s">
        <v>396</v>
      </c>
      <c r="AW74" s="535" t="s">
        <v>292</v>
      </c>
      <c r="AX74" s="535" t="s">
        <v>89</v>
      </c>
      <c r="AY74" s="535" t="s">
        <v>304</v>
      </c>
      <c r="AZ74" s="543" t="s">
        <v>305</v>
      </c>
      <c r="BA74" s="536">
        <v>293.5229117</v>
      </c>
      <c r="BB74" s="536">
        <v>71.57913858</v>
      </c>
      <c r="BC74" s="536">
        <v>912.2293272</v>
      </c>
      <c r="BD74" s="537" t="s">
        <v>202</v>
      </c>
      <c r="BS74" s="534" t="s">
        <v>296</v>
      </c>
      <c r="BT74" s="535" t="s">
        <v>294</v>
      </c>
      <c r="BU74" s="535" t="s">
        <v>309</v>
      </c>
      <c r="BV74" s="535" t="s">
        <v>487</v>
      </c>
      <c r="BW74" s="535" t="s">
        <v>298</v>
      </c>
      <c r="BX74" s="535" t="s">
        <v>307</v>
      </c>
      <c r="BY74" s="535" t="s">
        <v>304</v>
      </c>
      <c r="BZ74" s="543" t="s">
        <v>305</v>
      </c>
      <c r="CA74" s="536">
        <v>47178.40043</v>
      </c>
      <c r="CB74" s="536">
        <v>7952.14572</v>
      </c>
      <c r="CC74" s="536">
        <v>113612.3096</v>
      </c>
      <c r="CD74" s="537" t="s">
        <v>202</v>
      </c>
      <c r="CE74" s="525"/>
    </row>
    <row r="75">
      <c r="A75" s="509"/>
      <c r="B75" s="544" t="s">
        <v>312</v>
      </c>
      <c r="C75" s="545" t="s">
        <v>289</v>
      </c>
      <c r="D75" s="545" t="s">
        <v>429</v>
      </c>
      <c r="E75" s="546">
        <v>2019.0</v>
      </c>
      <c r="F75" s="545" t="s">
        <v>291</v>
      </c>
      <c r="G75" s="545" t="s">
        <v>89</v>
      </c>
      <c r="H75" s="547">
        <v>2.18478401E7</v>
      </c>
      <c r="I75" s="547">
        <v>2.440022887E7</v>
      </c>
      <c r="J75" s="548">
        <v>1.937074919E7</v>
      </c>
      <c r="K75" s="516"/>
      <c r="L75" s="534" t="s">
        <v>292</v>
      </c>
      <c r="M75" s="535" t="s">
        <v>511</v>
      </c>
      <c r="N75" s="535" t="s">
        <v>294</v>
      </c>
      <c r="O75" s="535" t="s">
        <v>327</v>
      </c>
      <c r="P75" s="535" t="s">
        <v>296</v>
      </c>
      <c r="Q75" s="535" t="s">
        <v>89</v>
      </c>
      <c r="R75" s="535">
        <v>2019.0</v>
      </c>
      <c r="S75" s="536">
        <v>846.392246162451</v>
      </c>
      <c r="T75" s="536">
        <v>2433.88104879776</v>
      </c>
      <c r="U75" s="537">
        <v>115.786941333062</v>
      </c>
      <c r="AH75" s="549" t="s">
        <v>298</v>
      </c>
      <c r="AI75" s="550" t="s">
        <v>351</v>
      </c>
      <c r="AJ75" s="550" t="s">
        <v>294</v>
      </c>
      <c r="AK75" s="550" t="s">
        <v>300</v>
      </c>
      <c r="AL75" s="550" t="s">
        <v>296</v>
      </c>
      <c r="AM75" s="550" t="s">
        <v>297</v>
      </c>
      <c r="AN75" s="551">
        <v>2019.0</v>
      </c>
      <c r="AO75" s="552">
        <v>678.2276522</v>
      </c>
      <c r="AP75" s="552">
        <v>2483.352297</v>
      </c>
      <c r="AQ75" s="553">
        <v>0.679612552</v>
      </c>
      <c r="AS75" s="534" t="s">
        <v>296</v>
      </c>
      <c r="AT75" s="535" t="s">
        <v>294</v>
      </c>
      <c r="AU75" s="535" t="s">
        <v>332</v>
      </c>
      <c r="AV75" s="535" t="s">
        <v>396</v>
      </c>
      <c r="AW75" s="535" t="s">
        <v>292</v>
      </c>
      <c r="AX75" s="535" t="s">
        <v>89</v>
      </c>
      <c r="AY75" s="535" t="s">
        <v>304</v>
      </c>
      <c r="AZ75" s="543" t="s">
        <v>305</v>
      </c>
      <c r="BA75" s="536">
        <v>3109.209833</v>
      </c>
      <c r="BB75" s="536">
        <v>861.5986344</v>
      </c>
      <c r="BC75" s="536">
        <v>8773.525232</v>
      </c>
      <c r="BD75" s="537" t="s">
        <v>202</v>
      </c>
      <c r="BS75" s="534" t="s">
        <v>296</v>
      </c>
      <c r="BT75" s="535" t="s">
        <v>294</v>
      </c>
      <c r="BU75" s="535" t="s">
        <v>317</v>
      </c>
      <c r="BV75" s="535" t="s">
        <v>487</v>
      </c>
      <c r="BW75" s="535" t="s">
        <v>298</v>
      </c>
      <c r="BX75" s="535" t="s">
        <v>307</v>
      </c>
      <c r="BY75" s="535" t="s">
        <v>304</v>
      </c>
      <c r="BZ75" s="543" t="s">
        <v>305</v>
      </c>
      <c r="CA75" s="536">
        <v>19663.11256</v>
      </c>
      <c r="CB75" s="536">
        <v>4939.332199</v>
      </c>
      <c r="CC75" s="536">
        <v>47072.16764</v>
      </c>
      <c r="CD75" s="537" t="s">
        <v>202</v>
      </c>
      <c r="CE75" s="525"/>
    </row>
    <row r="76">
      <c r="A76" s="509"/>
      <c r="B76" s="526" t="s">
        <v>312</v>
      </c>
      <c r="C76" s="527" t="s">
        <v>289</v>
      </c>
      <c r="D76" s="527" t="s">
        <v>432</v>
      </c>
      <c r="E76" s="530">
        <v>2019.0</v>
      </c>
      <c r="F76" s="527" t="s">
        <v>291</v>
      </c>
      <c r="G76" s="527" t="s">
        <v>89</v>
      </c>
      <c r="H76" s="532">
        <v>6031291.507</v>
      </c>
      <c r="I76" s="532">
        <v>6735421.345</v>
      </c>
      <c r="J76" s="533">
        <v>5347345.244</v>
      </c>
      <c r="K76" s="516"/>
      <c r="L76" s="534" t="s">
        <v>292</v>
      </c>
      <c r="M76" s="535" t="s">
        <v>511</v>
      </c>
      <c r="N76" s="535" t="s">
        <v>294</v>
      </c>
      <c r="O76" s="535" t="s">
        <v>335</v>
      </c>
      <c r="P76" s="535" t="s">
        <v>296</v>
      </c>
      <c r="Q76" s="535" t="s">
        <v>89</v>
      </c>
      <c r="R76" s="535">
        <v>2019.0</v>
      </c>
      <c r="S76" s="536">
        <v>6739.52609179029</v>
      </c>
      <c r="T76" s="536">
        <v>18087.744348623</v>
      </c>
      <c r="U76" s="537">
        <v>934.546669576749</v>
      </c>
      <c r="AH76" s="538" t="s">
        <v>298</v>
      </c>
      <c r="AI76" s="539" t="s">
        <v>351</v>
      </c>
      <c r="AJ76" s="539" t="s">
        <v>294</v>
      </c>
      <c r="AK76" s="539" t="s">
        <v>323</v>
      </c>
      <c r="AL76" s="539" t="s">
        <v>296</v>
      </c>
      <c r="AM76" s="539" t="s">
        <v>297</v>
      </c>
      <c r="AN76" s="540">
        <v>2019.0</v>
      </c>
      <c r="AO76" s="541">
        <v>1052.229213</v>
      </c>
      <c r="AP76" s="541">
        <v>2538.030031</v>
      </c>
      <c r="AQ76" s="542">
        <v>0.376611149</v>
      </c>
      <c r="AS76" s="534" t="s">
        <v>296</v>
      </c>
      <c r="AT76" s="535" t="s">
        <v>294</v>
      </c>
      <c r="AU76" s="535" t="s">
        <v>302</v>
      </c>
      <c r="AV76" s="535" t="s">
        <v>400</v>
      </c>
      <c r="AW76" s="535" t="s">
        <v>292</v>
      </c>
      <c r="AX76" s="535" t="s">
        <v>89</v>
      </c>
      <c r="AY76" s="535" t="s">
        <v>304</v>
      </c>
      <c r="AZ76" s="543" t="s">
        <v>305</v>
      </c>
      <c r="BA76" s="536">
        <v>5051.798193</v>
      </c>
      <c r="BB76" s="536">
        <v>1682.363984</v>
      </c>
      <c r="BC76" s="536">
        <v>10101.49577</v>
      </c>
      <c r="BD76" s="537" t="s">
        <v>202</v>
      </c>
      <c r="BS76" s="534" t="s">
        <v>296</v>
      </c>
      <c r="BT76" s="535" t="s">
        <v>294</v>
      </c>
      <c r="BU76" s="535" t="s">
        <v>309</v>
      </c>
      <c r="BV76" s="535" t="s">
        <v>491</v>
      </c>
      <c r="BW76" s="535" t="s">
        <v>298</v>
      </c>
      <c r="BX76" s="535" t="s">
        <v>307</v>
      </c>
      <c r="BY76" s="535" t="s">
        <v>304</v>
      </c>
      <c r="BZ76" s="543" t="s">
        <v>305</v>
      </c>
      <c r="CA76" s="536">
        <v>65787.55436</v>
      </c>
      <c r="CB76" s="536">
        <v>12926.98279</v>
      </c>
      <c r="CC76" s="536">
        <v>148477.1222</v>
      </c>
      <c r="CD76" s="537" t="s">
        <v>202</v>
      </c>
      <c r="CE76" s="525"/>
    </row>
    <row r="77">
      <c r="A77" s="509"/>
      <c r="B77" s="544" t="s">
        <v>312</v>
      </c>
      <c r="C77" s="545" t="s">
        <v>289</v>
      </c>
      <c r="D77" s="545" t="s">
        <v>435</v>
      </c>
      <c r="E77" s="546">
        <v>2019.0</v>
      </c>
      <c r="F77" s="545" t="s">
        <v>291</v>
      </c>
      <c r="G77" s="545" t="s">
        <v>89</v>
      </c>
      <c r="H77" s="547">
        <v>4971113.732</v>
      </c>
      <c r="I77" s="547">
        <v>5551471.936</v>
      </c>
      <c r="J77" s="548">
        <v>4407391.243</v>
      </c>
      <c r="K77" s="516"/>
      <c r="L77" s="534" t="s">
        <v>292</v>
      </c>
      <c r="M77" s="535" t="s">
        <v>511</v>
      </c>
      <c r="N77" s="535" t="s">
        <v>294</v>
      </c>
      <c r="O77" s="535" t="s">
        <v>300</v>
      </c>
      <c r="P77" s="535" t="s">
        <v>296</v>
      </c>
      <c r="Q77" s="535" t="s">
        <v>89</v>
      </c>
      <c r="R77" s="535">
        <v>2019.0</v>
      </c>
      <c r="S77" s="536">
        <v>280.562923499757</v>
      </c>
      <c r="T77" s="536">
        <v>816.384125053985</v>
      </c>
      <c r="U77" s="537">
        <v>36.9241627262707</v>
      </c>
      <c r="AH77" s="549" t="s">
        <v>298</v>
      </c>
      <c r="AI77" s="550" t="s">
        <v>6</v>
      </c>
      <c r="AJ77" s="550" t="s">
        <v>294</v>
      </c>
      <c r="AK77" s="550" t="s">
        <v>323</v>
      </c>
      <c r="AL77" s="550" t="s">
        <v>296</v>
      </c>
      <c r="AM77" s="550" t="s">
        <v>297</v>
      </c>
      <c r="AN77" s="551">
        <v>2019.0</v>
      </c>
      <c r="AO77" s="552">
        <v>83471.63637</v>
      </c>
      <c r="AP77" s="552">
        <v>110652.2395</v>
      </c>
      <c r="AQ77" s="553">
        <v>57911.8779</v>
      </c>
      <c r="AS77" s="534" t="s">
        <v>296</v>
      </c>
      <c r="AT77" s="535" t="s">
        <v>294</v>
      </c>
      <c r="AU77" s="535" t="s">
        <v>315</v>
      </c>
      <c r="AV77" s="535" t="s">
        <v>400</v>
      </c>
      <c r="AW77" s="535" t="s">
        <v>292</v>
      </c>
      <c r="AX77" s="535" t="s">
        <v>89</v>
      </c>
      <c r="AY77" s="535" t="s">
        <v>304</v>
      </c>
      <c r="AZ77" s="543" t="s">
        <v>305</v>
      </c>
      <c r="BA77" s="536">
        <v>184.6760881</v>
      </c>
      <c r="BB77" s="536">
        <v>49.85061471</v>
      </c>
      <c r="BC77" s="536">
        <v>470.2464988</v>
      </c>
      <c r="BD77" s="537" t="s">
        <v>202</v>
      </c>
      <c r="BS77" s="681" t="s">
        <v>296</v>
      </c>
      <c r="BT77" s="682" t="s">
        <v>294</v>
      </c>
      <c r="BU77" s="682" t="s">
        <v>317</v>
      </c>
      <c r="BV77" s="682" t="s">
        <v>491</v>
      </c>
      <c r="BW77" s="682" t="s">
        <v>298</v>
      </c>
      <c r="BX77" s="682" t="s">
        <v>307</v>
      </c>
      <c r="BY77" s="682" t="s">
        <v>304</v>
      </c>
      <c r="BZ77" s="683" t="s">
        <v>305</v>
      </c>
      <c r="CA77" s="684">
        <v>26962.50831</v>
      </c>
      <c r="CB77" s="684">
        <v>6685.17975</v>
      </c>
      <c r="CC77" s="684">
        <v>57261.47126</v>
      </c>
      <c r="CD77" s="685" t="s">
        <v>202</v>
      </c>
      <c r="CE77" s="525"/>
    </row>
    <row r="78">
      <c r="A78" s="509"/>
      <c r="B78" s="526" t="s">
        <v>312</v>
      </c>
      <c r="C78" s="527" t="s">
        <v>289</v>
      </c>
      <c r="D78" s="527" t="s">
        <v>442</v>
      </c>
      <c r="E78" s="530">
        <v>2019.0</v>
      </c>
      <c r="F78" s="527" t="s">
        <v>291</v>
      </c>
      <c r="G78" s="527" t="s">
        <v>89</v>
      </c>
      <c r="H78" s="532">
        <v>3881865.169</v>
      </c>
      <c r="I78" s="532">
        <v>4335057.837</v>
      </c>
      <c r="J78" s="533">
        <v>3441663.07</v>
      </c>
      <c r="K78" s="516"/>
      <c r="L78" s="534" t="s">
        <v>292</v>
      </c>
      <c r="M78" s="535" t="s">
        <v>9</v>
      </c>
      <c r="N78" s="535" t="s">
        <v>294</v>
      </c>
      <c r="O78" s="535" t="s">
        <v>295</v>
      </c>
      <c r="P78" s="535" t="s">
        <v>296</v>
      </c>
      <c r="Q78" s="535" t="s">
        <v>89</v>
      </c>
      <c r="R78" s="535">
        <v>2019.0</v>
      </c>
      <c r="S78" s="536">
        <v>17385.7653828228</v>
      </c>
      <c r="T78" s="536">
        <v>31046.6498711786</v>
      </c>
      <c r="U78" s="537">
        <v>6561.05222956203</v>
      </c>
      <c r="AH78" s="538" t="s">
        <v>298</v>
      </c>
      <c r="AI78" s="539" t="s">
        <v>6</v>
      </c>
      <c r="AJ78" s="539" t="s">
        <v>294</v>
      </c>
      <c r="AK78" s="539" t="s">
        <v>300</v>
      </c>
      <c r="AL78" s="539" t="s">
        <v>296</v>
      </c>
      <c r="AM78" s="539" t="s">
        <v>297</v>
      </c>
      <c r="AN78" s="540">
        <v>2019.0</v>
      </c>
      <c r="AO78" s="541">
        <v>32584.04475</v>
      </c>
      <c r="AP78" s="541">
        <v>50940.58144</v>
      </c>
      <c r="AQ78" s="542">
        <v>20759.73495</v>
      </c>
      <c r="AS78" s="534" t="s">
        <v>296</v>
      </c>
      <c r="AT78" s="535" t="s">
        <v>294</v>
      </c>
      <c r="AU78" s="535" t="s">
        <v>325</v>
      </c>
      <c r="AV78" s="535" t="s">
        <v>400</v>
      </c>
      <c r="AW78" s="535" t="s">
        <v>292</v>
      </c>
      <c r="AX78" s="535" t="s">
        <v>89</v>
      </c>
      <c r="AY78" s="535" t="s">
        <v>304</v>
      </c>
      <c r="AZ78" s="543" t="s">
        <v>305</v>
      </c>
      <c r="BA78" s="536">
        <v>1090.761934</v>
      </c>
      <c r="BB78" s="536">
        <v>302.8175357</v>
      </c>
      <c r="BC78" s="536">
        <v>2635.117977</v>
      </c>
      <c r="BD78" s="537" t="s">
        <v>202</v>
      </c>
      <c r="CE78" s="525"/>
    </row>
    <row r="79">
      <c r="A79" s="509"/>
      <c r="B79" s="544" t="s">
        <v>312</v>
      </c>
      <c r="C79" s="545" t="s">
        <v>289</v>
      </c>
      <c r="D79" s="545" t="s">
        <v>445</v>
      </c>
      <c r="E79" s="546">
        <v>2019.0</v>
      </c>
      <c r="F79" s="545" t="s">
        <v>291</v>
      </c>
      <c r="G79" s="545" t="s">
        <v>89</v>
      </c>
      <c r="H79" s="547">
        <v>6867936.508</v>
      </c>
      <c r="I79" s="547">
        <v>7670287.857</v>
      </c>
      <c r="J79" s="548">
        <v>6089255.273</v>
      </c>
      <c r="K79" s="516"/>
      <c r="L79" s="534" t="s">
        <v>292</v>
      </c>
      <c r="M79" s="535" t="s">
        <v>9</v>
      </c>
      <c r="N79" s="535" t="s">
        <v>294</v>
      </c>
      <c r="O79" s="535" t="s">
        <v>311</v>
      </c>
      <c r="P79" s="535" t="s">
        <v>296</v>
      </c>
      <c r="Q79" s="535" t="s">
        <v>89</v>
      </c>
      <c r="R79" s="535">
        <v>2019.0</v>
      </c>
      <c r="S79" s="536">
        <v>0.0</v>
      </c>
      <c r="T79" s="536">
        <v>0.0</v>
      </c>
      <c r="U79" s="537">
        <v>0.0</v>
      </c>
      <c r="AH79" s="549" t="s">
        <v>298</v>
      </c>
      <c r="AI79" s="550" t="s">
        <v>419</v>
      </c>
      <c r="AJ79" s="550" t="s">
        <v>294</v>
      </c>
      <c r="AK79" s="550" t="s">
        <v>323</v>
      </c>
      <c r="AL79" s="550" t="s">
        <v>296</v>
      </c>
      <c r="AM79" s="550" t="s">
        <v>297</v>
      </c>
      <c r="AN79" s="551">
        <v>2019.0</v>
      </c>
      <c r="AO79" s="552">
        <v>67042.50948</v>
      </c>
      <c r="AP79" s="552">
        <v>109229.1047</v>
      </c>
      <c r="AQ79" s="553">
        <v>30489.65427</v>
      </c>
      <c r="AS79" s="534" t="s">
        <v>296</v>
      </c>
      <c r="AT79" s="535" t="s">
        <v>294</v>
      </c>
      <c r="AU79" s="535" t="s">
        <v>332</v>
      </c>
      <c r="AV79" s="535" t="s">
        <v>400</v>
      </c>
      <c r="AW79" s="535" t="s">
        <v>292</v>
      </c>
      <c r="AX79" s="535" t="s">
        <v>89</v>
      </c>
      <c r="AY79" s="535" t="s">
        <v>304</v>
      </c>
      <c r="AZ79" s="543" t="s">
        <v>305</v>
      </c>
      <c r="BA79" s="536">
        <v>8362.186213</v>
      </c>
      <c r="BB79" s="536">
        <v>2740.154155</v>
      </c>
      <c r="BC79" s="536">
        <v>17195.67479</v>
      </c>
      <c r="BD79" s="537" t="s">
        <v>202</v>
      </c>
      <c r="CE79" s="525"/>
    </row>
    <row r="80">
      <c r="A80" s="509"/>
      <c r="B80" s="526" t="s">
        <v>312</v>
      </c>
      <c r="C80" s="527" t="s">
        <v>289</v>
      </c>
      <c r="D80" s="527" t="s">
        <v>450</v>
      </c>
      <c r="E80" s="530">
        <v>2019.0</v>
      </c>
      <c r="F80" s="527" t="s">
        <v>291</v>
      </c>
      <c r="G80" s="527" t="s">
        <v>89</v>
      </c>
      <c r="H80" s="532">
        <v>2986261.329</v>
      </c>
      <c r="I80" s="532">
        <v>3334895.731</v>
      </c>
      <c r="J80" s="533">
        <v>2647620.381</v>
      </c>
      <c r="K80" s="516"/>
      <c r="L80" s="534" t="s">
        <v>292</v>
      </c>
      <c r="M80" s="535" t="s">
        <v>9</v>
      </c>
      <c r="N80" s="535" t="s">
        <v>294</v>
      </c>
      <c r="O80" s="535" t="s">
        <v>319</v>
      </c>
      <c r="P80" s="535" t="s">
        <v>296</v>
      </c>
      <c r="Q80" s="535" t="s">
        <v>89</v>
      </c>
      <c r="R80" s="535">
        <v>2019.0</v>
      </c>
      <c r="S80" s="536">
        <v>1000.24332971205</v>
      </c>
      <c r="T80" s="536">
        <v>2136.29649562139</v>
      </c>
      <c r="U80" s="537">
        <v>309.580735858187</v>
      </c>
      <c r="AH80" s="538" t="s">
        <v>298</v>
      </c>
      <c r="AI80" s="539" t="s">
        <v>479</v>
      </c>
      <c r="AJ80" s="539" t="s">
        <v>294</v>
      </c>
      <c r="AK80" s="539" t="s">
        <v>300</v>
      </c>
      <c r="AL80" s="539" t="s">
        <v>296</v>
      </c>
      <c r="AM80" s="539" t="s">
        <v>297</v>
      </c>
      <c r="AN80" s="540">
        <v>2019.0</v>
      </c>
      <c r="AO80" s="541">
        <v>8444.900805</v>
      </c>
      <c r="AP80" s="541">
        <v>59544.24188</v>
      </c>
      <c r="AQ80" s="542">
        <v>185.9292702</v>
      </c>
      <c r="AS80" s="534" t="s">
        <v>296</v>
      </c>
      <c r="AT80" s="535" t="s">
        <v>294</v>
      </c>
      <c r="AU80" s="535" t="s">
        <v>302</v>
      </c>
      <c r="AV80" s="535" t="s">
        <v>405</v>
      </c>
      <c r="AW80" s="535" t="s">
        <v>292</v>
      </c>
      <c r="AX80" s="535" t="s">
        <v>89</v>
      </c>
      <c r="AY80" s="535" t="s">
        <v>304</v>
      </c>
      <c r="AZ80" s="543" t="s">
        <v>305</v>
      </c>
      <c r="BA80" s="536">
        <v>7803.79544</v>
      </c>
      <c r="BB80" s="536">
        <v>1535.660339</v>
      </c>
      <c r="BC80" s="536">
        <v>22187.88904</v>
      </c>
      <c r="BD80" s="537" t="s">
        <v>202</v>
      </c>
      <c r="CE80" s="525"/>
    </row>
    <row r="81">
      <c r="A81" s="509"/>
      <c r="B81" s="544" t="s">
        <v>312</v>
      </c>
      <c r="C81" s="545" t="s">
        <v>289</v>
      </c>
      <c r="D81" s="545" t="s">
        <v>457</v>
      </c>
      <c r="E81" s="546">
        <v>2019.0</v>
      </c>
      <c r="F81" s="545" t="s">
        <v>291</v>
      </c>
      <c r="G81" s="545" t="s">
        <v>89</v>
      </c>
      <c r="H81" s="547">
        <v>6964174.078</v>
      </c>
      <c r="I81" s="547">
        <v>7777214.33</v>
      </c>
      <c r="J81" s="548">
        <v>6174439.271</v>
      </c>
      <c r="K81" s="516"/>
      <c r="L81" s="534" t="s">
        <v>292</v>
      </c>
      <c r="M81" s="535" t="s">
        <v>9</v>
      </c>
      <c r="N81" s="535" t="s">
        <v>294</v>
      </c>
      <c r="O81" s="535" t="s">
        <v>327</v>
      </c>
      <c r="P81" s="535" t="s">
        <v>296</v>
      </c>
      <c r="Q81" s="535" t="s">
        <v>89</v>
      </c>
      <c r="R81" s="535">
        <v>2019.0</v>
      </c>
      <c r="S81" s="536">
        <v>7448.54992846768</v>
      </c>
      <c r="T81" s="536">
        <v>13272.7258525442</v>
      </c>
      <c r="U81" s="537">
        <v>2882.13538834481</v>
      </c>
      <c r="AH81" s="549" t="s">
        <v>298</v>
      </c>
      <c r="AI81" s="550" t="s">
        <v>484</v>
      </c>
      <c r="AJ81" s="550" t="s">
        <v>294</v>
      </c>
      <c r="AK81" s="550" t="s">
        <v>323</v>
      </c>
      <c r="AL81" s="550" t="s">
        <v>296</v>
      </c>
      <c r="AM81" s="550" t="s">
        <v>297</v>
      </c>
      <c r="AN81" s="551">
        <v>2019.0</v>
      </c>
      <c r="AO81" s="552">
        <v>2.150873395</v>
      </c>
      <c r="AP81" s="552">
        <v>8.674100024</v>
      </c>
      <c r="AQ81" s="553">
        <v>0.318437063</v>
      </c>
      <c r="AS81" s="534" t="s">
        <v>296</v>
      </c>
      <c r="AT81" s="535" t="s">
        <v>294</v>
      </c>
      <c r="AU81" s="535" t="s">
        <v>315</v>
      </c>
      <c r="AV81" s="535" t="s">
        <v>405</v>
      </c>
      <c r="AW81" s="535" t="s">
        <v>292</v>
      </c>
      <c r="AX81" s="535" t="s">
        <v>89</v>
      </c>
      <c r="AY81" s="535" t="s">
        <v>304</v>
      </c>
      <c r="AZ81" s="543" t="s">
        <v>305</v>
      </c>
      <c r="BA81" s="536">
        <v>193.6851291</v>
      </c>
      <c r="BB81" s="536">
        <v>34.10997474</v>
      </c>
      <c r="BC81" s="536">
        <v>633.8809481</v>
      </c>
      <c r="BD81" s="537" t="s">
        <v>202</v>
      </c>
      <c r="CE81" s="525"/>
    </row>
    <row r="82">
      <c r="A82" s="509"/>
      <c r="B82" s="526" t="s">
        <v>312</v>
      </c>
      <c r="C82" s="527" t="s">
        <v>289</v>
      </c>
      <c r="D82" s="527" t="s">
        <v>463</v>
      </c>
      <c r="E82" s="530">
        <v>2019.0</v>
      </c>
      <c r="F82" s="527" t="s">
        <v>291</v>
      </c>
      <c r="G82" s="527" t="s">
        <v>89</v>
      </c>
      <c r="H82" s="532">
        <v>3977802.709</v>
      </c>
      <c r="I82" s="532">
        <v>4442512.213</v>
      </c>
      <c r="J82" s="533">
        <v>3526802.569</v>
      </c>
      <c r="K82" s="516"/>
      <c r="L82" s="534" t="s">
        <v>292</v>
      </c>
      <c r="M82" s="535" t="s">
        <v>9</v>
      </c>
      <c r="N82" s="535" t="s">
        <v>294</v>
      </c>
      <c r="O82" s="535" t="s">
        <v>335</v>
      </c>
      <c r="P82" s="535" t="s">
        <v>296</v>
      </c>
      <c r="Q82" s="535" t="s">
        <v>89</v>
      </c>
      <c r="R82" s="535">
        <v>2019.0</v>
      </c>
      <c r="S82" s="536">
        <v>22586.5925155698</v>
      </c>
      <c r="T82" s="536">
        <v>43010.4292895653</v>
      </c>
      <c r="U82" s="537">
        <v>7949.35686679955</v>
      </c>
      <c r="AH82" s="538" t="s">
        <v>298</v>
      </c>
      <c r="AI82" s="539" t="s">
        <v>447</v>
      </c>
      <c r="AJ82" s="539" t="s">
        <v>294</v>
      </c>
      <c r="AK82" s="539" t="s">
        <v>300</v>
      </c>
      <c r="AL82" s="539" t="s">
        <v>296</v>
      </c>
      <c r="AM82" s="539" t="s">
        <v>297</v>
      </c>
      <c r="AN82" s="540">
        <v>2019.0</v>
      </c>
      <c r="AO82" s="541">
        <v>42035.0543</v>
      </c>
      <c r="AP82" s="541">
        <v>69863.0908</v>
      </c>
      <c r="AQ82" s="542">
        <v>22032.81229</v>
      </c>
      <c r="AS82" s="534" t="s">
        <v>296</v>
      </c>
      <c r="AT82" s="535" t="s">
        <v>294</v>
      </c>
      <c r="AU82" s="535" t="s">
        <v>325</v>
      </c>
      <c r="AV82" s="535" t="s">
        <v>405</v>
      </c>
      <c r="AW82" s="535" t="s">
        <v>292</v>
      </c>
      <c r="AX82" s="535" t="s">
        <v>89</v>
      </c>
      <c r="AY82" s="535" t="s">
        <v>304</v>
      </c>
      <c r="AZ82" s="543" t="s">
        <v>305</v>
      </c>
      <c r="BA82" s="536">
        <v>1132.710224</v>
      </c>
      <c r="BB82" s="536">
        <v>193.4937381</v>
      </c>
      <c r="BC82" s="536">
        <v>3625.652037</v>
      </c>
      <c r="BD82" s="537" t="s">
        <v>202</v>
      </c>
      <c r="CE82" s="525"/>
    </row>
    <row r="83">
      <c r="A83" s="509"/>
      <c r="B83" s="544" t="s">
        <v>312</v>
      </c>
      <c r="C83" s="545" t="s">
        <v>289</v>
      </c>
      <c r="D83" s="545" t="s">
        <v>467</v>
      </c>
      <c r="E83" s="546">
        <v>2019.0</v>
      </c>
      <c r="F83" s="545" t="s">
        <v>291</v>
      </c>
      <c r="G83" s="545" t="s">
        <v>89</v>
      </c>
      <c r="H83" s="547">
        <v>2053049.718</v>
      </c>
      <c r="I83" s="547">
        <v>2292735.292</v>
      </c>
      <c r="J83" s="548">
        <v>1820234.627</v>
      </c>
      <c r="K83" s="516"/>
      <c r="L83" s="534" t="s">
        <v>292</v>
      </c>
      <c r="M83" s="535" t="s">
        <v>9</v>
      </c>
      <c r="N83" s="535" t="s">
        <v>294</v>
      </c>
      <c r="O83" s="535" t="s">
        <v>300</v>
      </c>
      <c r="P83" s="535" t="s">
        <v>296</v>
      </c>
      <c r="Q83" s="535" t="s">
        <v>89</v>
      </c>
      <c r="R83" s="535">
        <v>2019.0</v>
      </c>
      <c r="S83" s="536">
        <v>1231.12844983117</v>
      </c>
      <c r="T83" s="536">
        <v>2607.45409022571</v>
      </c>
      <c r="U83" s="537">
        <v>377.758064888196</v>
      </c>
      <c r="AH83" s="549" t="s">
        <v>298</v>
      </c>
      <c r="AI83" s="550" t="s">
        <v>479</v>
      </c>
      <c r="AJ83" s="550" t="s">
        <v>294</v>
      </c>
      <c r="AK83" s="550" t="s">
        <v>323</v>
      </c>
      <c r="AL83" s="550" t="s">
        <v>296</v>
      </c>
      <c r="AM83" s="550" t="s">
        <v>297</v>
      </c>
      <c r="AN83" s="551">
        <v>2019.0</v>
      </c>
      <c r="AO83" s="552">
        <v>14045.57554</v>
      </c>
      <c r="AP83" s="552">
        <v>115947.1341</v>
      </c>
      <c r="AQ83" s="553">
        <v>114.30997</v>
      </c>
      <c r="AS83" s="534" t="s">
        <v>296</v>
      </c>
      <c r="AT83" s="535" t="s">
        <v>294</v>
      </c>
      <c r="AU83" s="535" t="s">
        <v>332</v>
      </c>
      <c r="AV83" s="535" t="s">
        <v>405</v>
      </c>
      <c r="AW83" s="535" t="s">
        <v>292</v>
      </c>
      <c r="AX83" s="535" t="s">
        <v>89</v>
      </c>
      <c r="AY83" s="535" t="s">
        <v>304</v>
      </c>
      <c r="AZ83" s="543" t="s">
        <v>305</v>
      </c>
      <c r="BA83" s="536">
        <v>10157.75875</v>
      </c>
      <c r="BB83" s="536">
        <v>2021.770605</v>
      </c>
      <c r="BC83" s="536">
        <v>29669.43461</v>
      </c>
      <c r="BD83" s="537" t="s">
        <v>202</v>
      </c>
      <c r="CE83" s="525"/>
    </row>
    <row r="84">
      <c r="A84" s="509"/>
      <c r="B84" s="526" t="s">
        <v>312</v>
      </c>
      <c r="C84" s="527" t="s">
        <v>289</v>
      </c>
      <c r="D84" s="527" t="s">
        <v>473</v>
      </c>
      <c r="E84" s="530">
        <v>2019.0</v>
      </c>
      <c r="F84" s="527" t="s">
        <v>291</v>
      </c>
      <c r="G84" s="527" t="s">
        <v>89</v>
      </c>
      <c r="H84" s="532">
        <v>3248638.503</v>
      </c>
      <c r="I84" s="532">
        <v>3628162.903</v>
      </c>
      <c r="J84" s="533">
        <v>2880310.427</v>
      </c>
      <c r="K84" s="516"/>
      <c r="L84" s="534" t="s">
        <v>292</v>
      </c>
      <c r="M84" s="535" t="s">
        <v>426</v>
      </c>
      <c r="N84" s="535" t="s">
        <v>294</v>
      </c>
      <c r="O84" s="535" t="s">
        <v>295</v>
      </c>
      <c r="P84" s="535" t="s">
        <v>296</v>
      </c>
      <c r="Q84" s="535" t="s">
        <v>89</v>
      </c>
      <c r="R84" s="535">
        <v>2019.0</v>
      </c>
      <c r="S84" s="536">
        <v>8181.10253237805</v>
      </c>
      <c r="T84" s="536">
        <v>15280.0518904714</v>
      </c>
      <c r="U84" s="537">
        <v>3222.50767863912</v>
      </c>
      <c r="AH84" s="538" t="s">
        <v>298</v>
      </c>
      <c r="AI84" s="539" t="s">
        <v>514</v>
      </c>
      <c r="AJ84" s="539" t="s">
        <v>294</v>
      </c>
      <c r="AK84" s="539" t="s">
        <v>323</v>
      </c>
      <c r="AL84" s="539" t="s">
        <v>296</v>
      </c>
      <c r="AM84" s="539" t="s">
        <v>297</v>
      </c>
      <c r="AN84" s="540">
        <v>2019.0</v>
      </c>
      <c r="AO84" s="541">
        <v>97584.25745</v>
      </c>
      <c r="AP84" s="541">
        <v>162237.4782</v>
      </c>
      <c r="AQ84" s="542">
        <v>31987.04322</v>
      </c>
      <c r="AS84" s="534" t="s">
        <v>296</v>
      </c>
      <c r="AT84" s="535" t="s">
        <v>294</v>
      </c>
      <c r="AU84" s="535" t="s">
        <v>302</v>
      </c>
      <c r="AV84" s="535" t="s">
        <v>412</v>
      </c>
      <c r="AW84" s="535" t="s">
        <v>292</v>
      </c>
      <c r="AX84" s="535" t="s">
        <v>89</v>
      </c>
      <c r="AY84" s="535" t="s">
        <v>304</v>
      </c>
      <c r="AZ84" s="543" t="s">
        <v>305</v>
      </c>
      <c r="BA84" s="536">
        <v>4177.60125</v>
      </c>
      <c r="BB84" s="536">
        <v>810.414448</v>
      </c>
      <c r="BC84" s="536">
        <v>10506.42417</v>
      </c>
      <c r="BD84" s="537" t="s">
        <v>202</v>
      </c>
      <c r="CE84" s="525"/>
    </row>
    <row r="85">
      <c r="A85" s="509"/>
      <c r="B85" s="544" t="s">
        <v>312</v>
      </c>
      <c r="C85" s="545" t="s">
        <v>289</v>
      </c>
      <c r="D85" s="545" t="s">
        <v>477</v>
      </c>
      <c r="E85" s="546">
        <v>2019.0</v>
      </c>
      <c r="F85" s="545" t="s">
        <v>291</v>
      </c>
      <c r="G85" s="545" t="s">
        <v>89</v>
      </c>
      <c r="H85" s="547">
        <v>1924863.031</v>
      </c>
      <c r="I85" s="547">
        <v>2149583.307</v>
      </c>
      <c r="J85" s="548">
        <v>1706584.263</v>
      </c>
      <c r="K85" s="516"/>
      <c r="L85" s="534" t="s">
        <v>292</v>
      </c>
      <c r="M85" s="535" t="s">
        <v>426</v>
      </c>
      <c r="N85" s="535" t="s">
        <v>294</v>
      </c>
      <c r="O85" s="535" t="s">
        <v>311</v>
      </c>
      <c r="P85" s="535" t="s">
        <v>296</v>
      </c>
      <c r="Q85" s="535" t="s">
        <v>89</v>
      </c>
      <c r="R85" s="535">
        <v>2019.0</v>
      </c>
      <c r="S85" s="536">
        <v>0.0</v>
      </c>
      <c r="T85" s="536">
        <v>0.0</v>
      </c>
      <c r="U85" s="537">
        <v>0.0</v>
      </c>
      <c r="AH85" s="549" t="s">
        <v>298</v>
      </c>
      <c r="AI85" s="550" t="s">
        <v>514</v>
      </c>
      <c r="AJ85" s="550" t="s">
        <v>294</v>
      </c>
      <c r="AK85" s="550" t="s">
        <v>300</v>
      </c>
      <c r="AL85" s="550" t="s">
        <v>296</v>
      </c>
      <c r="AM85" s="550" t="s">
        <v>297</v>
      </c>
      <c r="AN85" s="551">
        <v>2019.0</v>
      </c>
      <c r="AO85" s="552">
        <v>35829.51797</v>
      </c>
      <c r="AP85" s="552">
        <v>67861.97013</v>
      </c>
      <c r="AQ85" s="553">
        <v>19084.83487</v>
      </c>
      <c r="AS85" s="534" t="s">
        <v>296</v>
      </c>
      <c r="AT85" s="535" t="s">
        <v>294</v>
      </c>
      <c r="AU85" s="535" t="s">
        <v>315</v>
      </c>
      <c r="AV85" s="535" t="s">
        <v>412</v>
      </c>
      <c r="AW85" s="535" t="s">
        <v>292</v>
      </c>
      <c r="AX85" s="535" t="s">
        <v>89</v>
      </c>
      <c r="AY85" s="535" t="s">
        <v>304</v>
      </c>
      <c r="AZ85" s="543" t="s">
        <v>305</v>
      </c>
      <c r="BA85" s="536">
        <v>90.67468746</v>
      </c>
      <c r="BB85" s="536">
        <v>15.9143368</v>
      </c>
      <c r="BC85" s="536">
        <v>254.8125558</v>
      </c>
      <c r="BD85" s="537" t="s">
        <v>202</v>
      </c>
      <c r="CE85" s="525"/>
    </row>
    <row r="86">
      <c r="A86" s="509"/>
      <c r="B86" s="526" t="s">
        <v>312</v>
      </c>
      <c r="C86" s="527" t="s">
        <v>289</v>
      </c>
      <c r="D86" s="527" t="s">
        <v>483</v>
      </c>
      <c r="E86" s="530">
        <v>2019.0</v>
      </c>
      <c r="F86" s="527" t="s">
        <v>291</v>
      </c>
      <c r="G86" s="527" t="s">
        <v>89</v>
      </c>
      <c r="H86" s="532">
        <v>1195678.653</v>
      </c>
      <c r="I86" s="532">
        <v>1335269.488</v>
      </c>
      <c r="J86" s="533">
        <v>1060089.129</v>
      </c>
      <c r="K86" s="516"/>
      <c r="L86" s="534" t="s">
        <v>292</v>
      </c>
      <c r="M86" s="535" t="s">
        <v>426</v>
      </c>
      <c r="N86" s="535" t="s">
        <v>294</v>
      </c>
      <c r="O86" s="535" t="s">
        <v>319</v>
      </c>
      <c r="P86" s="535" t="s">
        <v>296</v>
      </c>
      <c r="Q86" s="535" t="s">
        <v>89</v>
      </c>
      <c r="R86" s="535">
        <v>2019.0</v>
      </c>
      <c r="S86" s="536">
        <v>438.5803206</v>
      </c>
      <c r="T86" s="536">
        <v>957.988087339383</v>
      </c>
      <c r="U86" s="537">
        <v>155.464601773536</v>
      </c>
      <c r="AH86" s="538" t="s">
        <v>298</v>
      </c>
      <c r="AI86" s="539" t="s">
        <v>393</v>
      </c>
      <c r="AJ86" s="539" t="s">
        <v>294</v>
      </c>
      <c r="AK86" s="539" t="s">
        <v>300</v>
      </c>
      <c r="AL86" s="539" t="s">
        <v>296</v>
      </c>
      <c r="AM86" s="539" t="s">
        <v>297</v>
      </c>
      <c r="AN86" s="540">
        <v>2019.0</v>
      </c>
      <c r="AO86" s="541">
        <v>2036.434694</v>
      </c>
      <c r="AP86" s="541">
        <v>6185.88342</v>
      </c>
      <c r="AQ86" s="542">
        <v>514.51092</v>
      </c>
      <c r="AS86" s="534" t="s">
        <v>296</v>
      </c>
      <c r="AT86" s="535" t="s">
        <v>294</v>
      </c>
      <c r="AU86" s="535" t="s">
        <v>325</v>
      </c>
      <c r="AV86" s="535" t="s">
        <v>412</v>
      </c>
      <c r="AW86" s="535" t="s">
        <v>292</v>
      </c>
      <c r="AX86" s="535" t="s">
        <v>89</v>
      </c>
      <c r="AY86" s="535" t="s">
        <v>304</v>
      </c>
      <c r="AZ86" s="543" t="s">
        <v>305</v>
      </c>
      <c r="BA86" s="536">
        <v>578.2395635</v>
      </c>
      <c r="BB86" s="536">
        <v>101.6751864</v>
      </c>
      <c r="BC86" s="536">
        <v>1555.179917</v>
      </c>
      <c r="BD86" s="537" t="s">
        <v>202</v>
      </c>
      <c r="CE86" s="525"/>
    </row>
    <row r="87">
      <c r="A87" s="509"/>
      <c r="B87" s="544" t="s">
        <v>312</v>
      </c>
      <c r="C87" s="545" t="s">
        <v>289</v>
      </c>
      <c r="D87" s="545" t="s">
        <v>489</v>
      </c>
      <c r="E87" s="546">
        <v>2019.0</v>
      </c>
      <c r="F87" s="545" t="s">
        <v>291</v>
      </c>
      <c r="G87" s="545" t="s">
        <v>89</v>
      </c>
      <c r="H87" s="547">
        <v>729164.2063</v>
      </c>
      <c r="I87" s="547">
        <v>814349.3101</v>
      </c>
      <c r="J87" s="548">
        <v>646492.1426</v>
      </c>
      <c r="K87" s="516"/>
      <c r="L87" s="534" t="s">
        <v>292</v>
      </c>
      <c r="M87" s="535" t="s">
        <v>426</v>
      </c>
      <c r="N87" s="535" t="s">
        <v>294</v>
      </c>
      <c r="O87" s="535" t="s">
        <v>327</v>
      </c>
      <c r="P87" s="535" t="s">
        <v>296</v>
      </c>
      <c r="Q87" s="535" t="s">
        <v>89</v>
      </c>
      <c r="R87" s="535">
        <v>2019.0</v>
      </c>
      <c r="S87" s="536">
        <v>2497.84189873822</v>
      </c>
      <c r="T87" s="536">
        <v>4886.63022080424</v>
      </c>
      <c r="U87" s="537">
        <v>932.540289395783</v>
      </c>
      <c r="AH87" s="549" t="s">
        <v>298</v>
      </c>
      <c r="AI87" s="550" t="s">
        <v>552</v>
      </c>
      <c r="AJ87" s="550" t="s">
        <v>294</v>
      </c>
      <c r="AK87" s="550" t="s">
        <v>323</v>
      </c>
      <c r="AL87" s="550" t="s">
        <v>296</v>
      </c>
      <c r="AM87" s="550" t="s">
        <v>297</v>
      </c>
      <c r="AN87" s="551">
        <v>2019.0</v>
      </c>
      <c r="AO87" s="552">
        <v>99877.18419</v>
      </c>
      <c r="AP87" s="552">
        <v>155438.3231</v>
      </c>
      <c r="AQ87" s="553">
        <v>57468.95809</v>
      </c>
      <c r="AS87" s="534" t="s">
        <v>296</v>
      </c>
      <c r="AT87" s="535" t="s">
        <v>294</v>
      </c>
      <c r="AU87" s="535" t="s">
        <v>332</v>
      </c>
      <c r="AV87" s="535" t="s">
        <v>412</v>
      </c>
      <c r="AW87" s="535" t="s">
        <v>292</v>
      </c>
      <c r="AX87" s="535" t="s">
        <v>89</v>
      </c>
      <c r="AY87" s="535" t="s">
        <v>304</v>
      </c>
      <c r="AZ87" s="543" t="s">
        <v>305</v>
      </c>
      <c r="BA87" s="536">
        <v>5451.246257</v>
      </c>
      <c r="BB87" s="536">
        <v>1086.018185</v>
      </c>
      <c r="BC87" s="536">
        <v>13978.4158</v>
      </c>
      <c r="BD87" s="537" t="s">
        <v>202</v>
      </c>
      <c r="CE87" s="525"/>
    </row>
    <row r="88">
      <c r="A88" s="509"/>
      <c r="B88" s="526" t="s">
        <v>312</v>
      </c>
      <c r="C88" s="527" t="s">
        <v>289</v>
      </c>
      <c r="D88" s="527" t="s">
        <v>493</v>
      </c>
      <c r="E88" s="530">
        <v>2019.0</v>
      </c>
      <c r="F88" s="527" t="s">
        <v>291</v>
      </c>
      <c r="G88" s="527" t="s">
        <v>89</v>
      </c>
      <c r="H88" s="532">
        <v>550941.6851</v>
      </c>
      <c r="I88" s="532">
        <v>615261.9852</v>
      </c>
      <c r="J88" s="533">
        <v>488465.0984</v>
      </c>
      <c r="K88" s="516"/>
      <c r="L88" s="534" t="s">
        <v>292</v>
      </c>
      <c r="M88" s="535" t="s">
        <v>426</v>
      </c>
      <c r="N88" s="535" t="s">
        <v>294</v>
      </c>
      <c r="O88" s="535" t="s">
        <v>335</v>
      </c>
      <c r="P88" s="535" t="s">
        <v>296</v>
      </c>
      <c r="Q88" s="535" t="s">
        <v>89</v>
      </c>
      <c r="R88" s="535">
        <v>2019.0</v>
      </c>
      <c r="S88" s="536">
        <v>11336.5011165187</v>
      </c>
      <c r="T88" s="536">
        <v>22065.8090685382</v>
      </c>
      <c r="U88" s="537">
        <v>4354.09341174159</v>
      </c>
      <c r="AH88" s="538" t="s">
        <v>298</v>
      </c>
      <c r="AI88" s="539" t="s">
        <v>552</v>
      </c>
      <c r="AJ88" s="539" t="s">
        <v>294</v>
      </c>
      <c r="AK88" s="539" t="s">
        <v>300</v>
      </c>
      <c r="AL88" s="539" t="s">
        <v>296</v>
      </c>
      <c r="AM88" s="539" t="s">
        <v>297</v>
      </c>
      <c r="AN88" s="540">
        <v>2019.0</v>
      </c>
      <c r="AO88" s="541">
        <v>37591.98485</v>
      </c>
      <c r="AP88" s="541">
        <v>67350.40205</v>
      </c>
      <c r="AQ88" s="542">
        <v>21275.89583</v>
      </c>
      <c r="AS88" s="534" t="s">
        <v>296</v>
      </c>
      <c r="AT88" s="535" t="s">
        <v>294</v>
      </c>
      <c r="AU88" s="535" t="s">
        <v>302</v>
      </c>
      <c r="AV88" s="535" t="s">
        <v>25</v>
      </c>
      <c r="AW88" s="535" t="s">
        <v>292</v>
      </c>
      <c r="AX88" s="535" t="s">
        <v>89</v>
      </c>
      <c r="AY88" s="535" t="s">
        <v>304</v>
      </c>
      <c r="AZ88" s="543" t="s">
        <v>305</v>
      </c>
      <c r="BA88" s="536">
        <v>3140.509316</v>
      </c>
      <c r="BB88" s="536">
        <v>938.8708954</v>
      </c>
      <c r="BC88" s="536">
        <v>6431.594507</v>
      </c>
      <c r="BD88" s="537" t="s">
        <v>202</v>
      </c>
      <c r="CE88" s="525"/>
    </row>
    <row r="89">
      <c r="A89" s="509"/>
      <c r="B89" s="544" t="s">
        <v>312</v>
      </c>
      <c r="C89" s="545" t="s">
        <v>289</v>
      </c>
      <c r="D89" s="545" t="s">
        <v>496</v>
      </c>
      <c r="E89" s="546">
        <v>2019.0</v>
      </c>
      <c r="F89" s="545" t="s">
        <v>291</v>
      </c>
      <c r="G89" s="545" t="s">
        <v>89</v>
      </c>
      <c r="H89" s="547">
        <v>152687.7119</v>
      </c>
      <c r="I89" s="547">
        <v>170513.4087</v>
      </c>
      <c r="J89" s="548">
        <v>135372.9809</v>
      </c>
      <c r="K89" s="516"/>
      <c r="L89" s="534" t="s">
        <v>292</v>
      </c>
      <c r="M89" s="535" t="s">
        <v>426</v>
      </c>
      <c r="N89" s="535" t="s">
        <v>294</v>
      </c>
      <c r="O89" s="535" t="s">
        <v>300</v>
      </c>
      <c r="P89" s="535" t="s">
        <v>296</v>
      </c>
      <c r="Q89" s="535" t="s">
        <v>89</v>
      </c>
      <c r="R89" s="535">
        <v>2019.0</v>
      </c>
      <c r="S89" s="536">
        <v>267.926711625198</v>
      </c>
      <c r="T89" s="536">
        <v>590.632121085824</v>
      </c>
      <c r="U89" s="537">
        <v>89.7685767080616</v>
      </c>
      <c r="AH89" s="549" t="s">
        <v>298</v>
      </c>
      <c r="AI89" s="550" t="s">
        <v>439</v>
      </c>
      <c r="AJ89" s="550" t="s">
        <v>294</v>
      </c>
      <c r="AK89" s="550" t="s">
        <v>323</v>
      </c>
      <c r="AL89" s="550" t="s">
        <v>296</v>
      </c>
      <c r="AM89" s="550" t="s">
        <v>297</v>
      </c>
      <c r="AN89" s="551">
        <v>2019.0</v>
      </c>
      <c r="AO89" s="552">
        <v>52970.2486</v>
      </c>
      <c r="AP89" s="552">
        <v>99668.9284</v>
      </c>
      <c r="AQ89" s="553">
        <v>16478.09571</v>
      </c>
      <c r="AS89" s="534" t="s">
        <v>296</v>
      </c>
      <c r="AT89" s="535" t="s">
        <v>294</v>
      </c>
      <c r="AU89" s="535" t="s">
        <v>315</v>
      </c>
      <c r="AV89" s="535" t="s">
        <v>25</v>
      </c>
      <c r="AW89" s="535" t="s">
        <v>292</v>
      </c>
      <c r="AX89" s="535" t="s">
        <v>89</v>
      </c>
      <c r="AY89" s="535" t="s">
        <v>304</v>
      </c>
      <c r="AZ89" s="543" t="s">
        <v>305</v>
      </c>
      <c r="BA89" s="536">
        <v>84.23526307</v>
      </c>
      <c r="BB89" s="536">
        <v>21.6647918</v>
      </c>
      <c r="BC89" s="536">
        <v>206.6464466</v>
      </c>
      <c r="BD89" s="537" t="s">
        <v>202</v>
      </c>
      <c r="CE89" s="525"/>
    </row>
    <row r="90">
      <c r="A90" s="509"/>
      <c r="B90" s="526" t="s">
        <v>312</v>
      </c>
      <c r="C90" s="527" t="s">
        <v>289</v>
      </c>
      <c r="D90" s="527" t="s">
        <v>502</v>
      </c>
      <c r="E90" s="530">
        <v>2019.0</v>
      </c>
      <c r="F90" s="527" t="s">
        <v>291</v>
      </c>
      <c r="G90" s="527" t="s">
        <v>89</v>
      </c>
      <c r="H90" s="532">
        <v>25554.98038</v>
      </c>
      <c r="I90" s="532">
        <v>28538.425</v>
      </c>
      <c r="J90" s="533">
        <v>22657.0549</v>
      </c>
      <c r="K90" s="516"/>
      <c r="L90" s="534" t="s">
        <v>292</v>
      </c>
      <c r="M90" s="535" t="s">
        <v>419</v>
      </c>
      <c r="N90" s="535" t="s">
        <v>294</v>
      </c>
      <c r="O90" s="535" t="s">
        <v>295</v>
      </c>
      <c r="P90" s="535" t="s">
        <v>296</v>
      </c>
      <c r="Q90" s="535" t="s">
        <v>89</v>
      </c>
      <c r="R90" s="535">
        <v>2019.0</v>
      </c>
      <c r="S90" s="536">
        <v>10111.7116409318</v>
      </c>
      <c r="T90" s="536">
        <v>17188.5040209321</v>
      </c>
      <c r="U90" s="537">
        <v>4680.592042</v>
      </c>
      <c r="AH90" s="538" t="s">
        <v>298</v>
      </c>
      <c r="AI90" s="539" t="s">
        <v>439</v>
      </c>
      <c r="AJ90" s="539" t="s">
        <v>294</v>
      </c>
      <c r="AK90" s="539" t="s">
        <v>300</v>
      </c>
      <c r="AL90" s="539" t="s">
        <v>296</v>
      </c>
      <c r="AM90" s="539" t="s">
        <v>297</v>
      </c>
      <c r="AN90" s="540">
        <v>2019.0</v>
      </c>
      <c r="AO90" s="541">
        <v>22347.54872</v>
      </c>
      <c r="AP90" s="541">
        <v>45382.63426</v>
      </c>
      <c r="AQ90" s="542">
        <v>10481.43627</v>
      </c>
      <c r="AS90" s="534" t="s">
        <v>296</v>
      </c>
      <c r="AT90" s="535" t="s">
        <v>294</v>
      </c>
      <c r="AU90" s="535" t="s">
        <v>325</v>
      </c>
      <c r="AV90" s="535" t="s">
        <v>25</v>
      </c>
      <c r="AW90" s="535" t="s">
        <v>292</v>
      </c>
      <c r="AX90" s="535" t="s">
        <v>89</v>
      </c>
      <c r="AY90" s="535" t="s">
        <v>304</v>
      </c>
      <c r="AZ90" s="543" t="s">
        <v>305</v>
      </c>
      <c r="BA90" s="536">
        <v>501.3440327</v>
      </c>
      <c r="BB90" s="536">
        <v>140.0836011</v>
      </c>
      <c r="BC90" s="536">
        <v>1157.525543</v>
      </c>
      <c r="BD90" s="537" t="s">
        <v>202</v>
      </c>
      <c r="CE90" s="525"/>
    </row>
    <row r="91">
      <c r="A91" s="509"/>
      <c r="B91" s="544" t="s">
        <v>312</v>
      </c>
      <c r="C91" s="545" t="s">
        <v>289</v>
      </c>
      <c r="D91" s="545" t="s">
        <v>332</v>
      </c>
      <c r="E91" s="546">
        <v>2019.0</v>
      </c>
      <c r="F91" s="545" t="s">
        <v>291</v>
      </c>
      <c r="G91" s="545" t="s">
        <v>89</v>
      </c>
      <c r="H91" s="547">
        <v>1.592598495E8</v>
      </c>
      <c r="I91" s="547">
        <v>1.778528179E8</v>
      </c>
      <c r="J91" s="548">
        <v>1.411998405E8</v>
      </c>
      <c r="K91" s="516"/>
      <c r="L91" s="534" t="s">
        <v>292</v>
      </c>
      <c r="M91" s="535" t="s">
        <v>419</v>
      </c>
      <c r="N91" s="535" t="s">
        <v>294</v>
      </c>
      <c r="O91" s="535" t="s">
        <v>311</v>
      </c>
      <c r="P91" s="535" t="s">
        <v>296</v>
      </c>
      <c r="Q91" s="535" t="s">
        <v>89</v>
      </c>
      <c r="R91" s="535">
        <v>2019.0</v>
      </c>
      <c r="S91" s="536">
        <v>0.0</v>
      </c>
      <c r="T91" s="536">
        <v>0.0</v>
      </c>
      <c r="U91" s="537">
        <v>0.0</v>
      </c>
      <c r="AH91" s="549" t="s">
        <v>298</v>
      </c>
      <c r="AI91" s="550" t="s">
        <v>484</v>
      </c>
      <c r="AJ91" s="550" t="s">
        <v>294</v>
      </c>
      <c r="AK91" s="550" t="s">
        <v>300</v>
      </c>
      <c r="AL91" s="550" t="s">
        <v>296</v>
      </c>
      <c r="AM91" s="550" t="s">
        <v>297</v>
      </c>
      <c r="AN91" s="551">
        <v>2019.0</v>
      </c>
      <c r="AO91" s="552">
        <v>3.849763959</v>
      </c>
      <c r="AP91" s="552">
        <v>15.47314659</v>
      </c>
      <c r="AQ91" s="553">
        <v>0.572407085</v>
      </c>
      <c r="AS91" s="534" t="s">
        <v>296</v>
      </c>
      <c r="AT91" s="535" t="s">
        <v>294</v>
      </c>
      <c r="AU91" s="535" t="s">
        <v>332</v>
      </c>
      <c r="AV91" s="535" t="s">
        <v>25</v>
      </c>
      <c r="AW91" s="535" t="s">
        <v>292</v>
      </c>
      <c r="AX91" s="535" t="s">
        <v>89</v>
      </c>
      <c r="AY91" s="535" t="s">
        <v>304</v>
      </c>
      <c r="AZ91" s="543" t="s">
        <v>305</v>
      </c>
      <c r="BA91" s="536">
        <v>4606.794083</v>
      </c>
      <c r="BB91" s="536">
        <v>1381.951133</v>
      </c>
      <c r="BC91" s="536">
        <v>9658.485343</v>
      </c>
      <c r="BD91" s="537" t="s">
        <v>202</v>
      </c>
      <c r="CE91" s="525"/>
    </row>
    <row r="92">
      <c r="A92" s="509"/>
      <c r="B92" s="526" t="s">
        <v>312</v>
      </c>
      <c r="C92" s="527" t="s">
        <v>289</v>
      </c>
      <c r="D92" s="527" t="s">
        <v>510</v>
      </c>
      <c r="E92" s="530">
        <v>2019.0</v>
      </c>
      <c r="F92" s="527" t="s">
        <v>291</v>
      </c>
      <c r="G92" s="527" t="s">
        <v>89</v>
      </c>
      <c r="H92" s="532">
        <v>2659503.3</v>
      </c>
      <c r="I92" s="532">
        <v>2945596.346</v>
      </c>
      <c r="J92" s="533">
        <v>2378521.712</v>
      </c>
      <c r="K92" s="516"/>
      <c r="L92" s="534" t="s">
        <v>292</v>
      </c>
      <c r="M92" s="535" t="s">
        <v>419</v>
      </c>
      <c r="N92" s="535" t="s">
        <v>294</v>
      </c>
      <c r="O92" s="535" t="s">
        <v>319</v>
      </c>
      <c r="P92" s="535" t="s">
        <v>296</v>
      </c>
      <c r="Q92" s="535" t="s">
        <v>89</v>
      </c>
      <c r="R92" s="535">
        <v>2019.0</v>
      </c>
      <c r="S92" s="536">
        <v>550.221648142859</v>
      </c>
      <c r="T92" s="536">
        <v>1144.23196027891</v>
      </c>
      <c r="U92" s="537">
        <v>196.295195580843</v>
      </c>
      <c r="AH92" s="538" t="s">
        <v>298</v>
      </c>
      <c r="AI92" s="539" t="s">
        <v>426</v>
      </c>
      <c r="AJ92" s="539" t="s">
        <v>294</v>
      </c>
      <c r="AK92" s="539" t="s">
        <v>323</v>
      </c>
      <c r="AL92" s="539" t="s">
        <v>296</v>
      </c>
      <c r="AM92" s="539" t="s">
        <v>297</v>
      </c>
      <c r="AN92" s="540">
        <v>2019.0</v>
      </c>
      <c r="AO92" s="541">
        <v>77158.9659</v>
      </c>
      <c r="AP92" s="541">
        <v>134831.4588</v>
      </c>
      <c r="AQ92" s="542">
        <v>27146.2268</v>
      </c>
      <c r="AS92" s="534" t="s">
        <v>296</v>
      </c>
      <c r="AT92" s="535" t="s">
        <v>294</v>
      </c>
      <c r="AU92" s="535" t="s">
        <v>302</v>
      </c>
      <c r="AV92" s="535" t="s">
        <v>26</v>
      </c>
      <c r="AW92" s="535" t="s">
        <v>292</v>
      </c>
      <c r="AX92" s="535" t="s">
        <v>89</v>
      </c>
      <c r="AY92" s="535" t="s">
        <v>304</v>
      </c>
      <c r="AZ92" s="543" t="s">
        <v>305</v>
      </c>
      <c r="BA92" s="536">
        <v>800.9679515</v>
      </c>
      <c r="BB92" s="536">
        <v>371.2317431</v>
      </c>
      <c r="BC92" s="536">
        <v>1397.859018</v>
      </c>
      <c r="BD92" s="537" t="s">
        <v>202</v>
      </c>
      <c r="CE92" s="525"/>
    </row>
    <row r="93">
      <c r="A93" s="509"/>
      <c r="B93" s="544" t="s">
        <v>312</v>
      </c>
      <c r="C93" s="545" t="s">
        <v>289</v>
      </c>
      <c r="D93" s="545" t="s">
        <v>512</v>
      </c>
      <c r="E93" s="546">
        <v>2019.0</v>
      </c>
      <c r="F93" s="545" t="s">
        <v>291</v>
      </c>
      <c r="G93" s="545" t="s">
        <v>89</v>
      </c>
      <c r="H93" s="547">
        <v>51171.36562</v>
      </c>
      <c r="I93" s="547">
        <v>57145.42364</v>
      </c>
      <c r="J93" s="548">
        <v>45368.55137</v>
      </c>
      <c r="K93" s="516"/>
      <c r="L93" s="534" t="s">
        <v>292</v>
      </c>
      <c r="M93" s="535" t="s">
        <v>419</v>
      </c>
      <c r="N93" s="535" t="s">
        <v>294</v>
      </c>
      <c r="O93" s="535" t="s">
        <v>327</v>
      </c>
      <c r="P93" s="535" t="s">
        <v>296</v>
      </c>
      <c r="Q93" s="535" t="s">
        <v>89</v>
      </c>
      <c r="R93" s="535">
        <v>2019.0</v>
      </c>
      <c r="S93" s="536">
        <v>3600.05731091976</v>
      </c>
      <c r="T93" s="536">
        <v>6679.88677909057</v>
      </c>
      <c r="U93" s="537">
        <v>1575.02978771912</v>
      </c>
      <c r="AH93" s="549" t="s">
        <v>298</v>
      </c>
      <c r="AI93" s="550" t="s">
        <v>508</v>
      </c>
      <c r="AJ93" s="550" t="s">
        <v>294</v>
      </c>
      <c r="AK93" s="550" t="s">
        <v>300</v>
      </c>
      <c r="AL93" s="550" t="s">
        <v>296</v>
      </c>
      <c r="AM93" s="550" t="s">
        <v>297</v>
      </c>
      <c r="AN93" s="551">
        <v>2019.0</v>
      </c>
      <c r="AO93" s="552">
        <v>2536.418129</v>
      </c>
      <c r="AP93" s="552">
        <v>3697.734516</v>
      </c>
      <c r="AQ93" s="553">
        <v>1076.422209</v>
      </c>
      <c r="AS93" s="534" t="s">
        <v>296</v>
      </c>
      <c r="AT93" s="535" t="s">
        <v>294</v>
      </c>
      <c r="AU93" s="535" t="s">
        <v>315</v>
      </c>
      <c r="AV93" s="535" t="s">
        <v>26</v>
      </c>
      <c r="AW93" s="535" t="s">
        <v>292</v>
      </c>
      <c r="AX93" s="535" t="s">
        <v>89</v>
      </c>
      <c r="AY93" s="535" t="s">
        <v>304</v>
      </c>
      <c r="AZ93" s="543" t="s">
        <v>305</v>
      </c>
      <c r="BA93" s="536">
        <v>49.43917069</v>
      </c>
      <c r="BB93" s="536">
        <v>17.6071248</v>
      </c>
      <c r="BC93" s="536">
        <v>111.3955623</v>
      </c>
      <c r="BD93" s="537" t="s">
        <v>202</v>
      </c>
      <c r="CE93" s="525"/>
    </row>
    <row r="94">
      <c r="A94" s="509"/>
      <c r="B94" s="526" t="s">
        <v>312</v>
      </c>
      <c r="C94" s="527" t="s">
        <v>289</v>
      </c>
      <c r="D94" s="527" t="s">
        <v>515</v>
      </c>
      <c r="E94" s="530">
        <v>2019.0</v>
      </c>
      <c r="F94" s="527" t="s">
        <v>291</v>
      </c>
      <c r="G94" s="527" t="s">
        <v>89</v>
      </c>
      <c r="H94" s="532">
        <v>151995.0299</v>
      </c>
      <c r="I94" s="532">
        <v>169739.8588</v>
      </c>
      <c r="J94" s="533">
        <v>134758.8488</v>
      </c>
      <c r="K94" s="516"/>
      <c r="L94" s="534" t="s">
        <v>292</v>
      </c>
      <c r="M94" s="535" t="s">
        <v>419</v>
      </c>
      <c r="N94" s="535" t="s">
        <v>294</v>
      </c>
      <c r="O94" s="535" t="s">
        <v>335</v>
      </c>
      <c r="P94" s="535" t="s">
        <v>296</v>
      </c>
      <c r="Q94" s="535" t="s">
        <v>89</v>
      </c>
      <c r="R94" s="535">
        <v>2019.0</v>
      </c>
      <c r="S94" s="536">
        <v>21597.1037249132</v>
      </c>
      <c r="T94" s="536">
        <v>39990.2090976221</v>
      </c>
      <c r="U94" s="537">
        <v>9532.44124205688</v>
      </c>
      <c r="AH94" s="538" t="s">
        <v>298</v>
      </c>
      <c r="AI94" s="539" t="s">
        <v>7</v>
      </c>
      <c r="AJ94" s="539" t="s">
        <v>294</v>
      </c>
      <c r="AK94" s="539" t="s">
        <v>323</v>
      </c>
      <c r="AL94" s="539" t="s">
        <v>296</v>
      </c>
      <c r="AM94" s="539" t="s">
        <v>297</v>
      </c>
      <c r="AN94" s="540">
        <v>2019.0</v>
      </c>
      <c r="AO94" s="541">
        <v>75399.17222</v>
      </c>
      <c r="AP94" s="541">
        <v>116040.9437</v>
      </c>
      <c r="AQ94" s="542">
        <v>37873.78538</v>
      </c>
      <c r="AS94" s="534" t="s">
        <v>296</v>
      </c>
      <c r="AT94" s="535" t="s">
        <v>294</v>
      </c>
      <c r="AU94" s="535" t="s">
        <v>325</v>
      </c>
      <c r="AV94" s="535" t="s">
        <v>26</v>
      </c>
      <c r="AW94" s="535" t="s">
        <v>292</v>
      </c>
      <c r="AX94" s="535" t="s">
        <v>89</v>
      </c>
      <c r="AY94" s="535" t="s">
        <v>304</v>
      </c>
      <c r="AZ94" s="543" t="s">
        <v>305</v>
      </c>
      <c r="BA94" s="536">
        <v>249.8757855</v>
      </c>
      <c r="BB94" s="536">
        <v>98.54613115</v>
      </c>
      <c r="BC94" s="536">
        <v>499.2964502</v>
      </c>
      <c r="BD94" s="537" t="s">
        <v>202</v>
      </c>
      <c r="CE94" s="525"/>
    </row>
    <row r="95">
      <c r="A95" s="509"/>
      <c r="B95" s="544" t="s">
        <v>312</v>
      </c>
      <c r="C95" s="545" t="s">
        <v>289</v>
      </c>
      <c r="D95" s="545" t="s">
        <v>518</v>
      </c>
      <c r="E95" s="546">
        <v>2019.0</v>
      </c>
      <c r="F95" s="545" t="s">
        <v>291</v>
      </c>
      <c r="G95" s="545" t="s">
        <v>89</v>
      </c>
      <c r="H95" s="547">
        <v>203166.3955</v>
      </c>
      <c r="I95" s="547">
        <v>226885.2824</v>
      </c>
      <c r="J95" s="548">
        <v>180127.4002</v>
      </c>
      <c r="K95" s="516"/>
      <c r="L95" s="534" t="s">
        <v>292</v>
      </c>
      <c r="M95" s="535" t="s">
        <v>419</v>
      </c>
      <c r="N95" s="535" t="s">
        <v>294</v>
      </c>
      <c r="O95" s="535" t="s">
        <v>300</v>
      </c>
      <c r="P95" s="535" t="s">
        <v>296</v>
      </c>
      <c r="Q95" s="535" t="s">
        <v>89</v>
      </c>
      <c r="R95" s="535">
        <v>2019.0</v>
      </c>
      <c r="S95" s="536">
        <v>780.6218945</v>
      </c>
      <c r="T95" s="536">
        <v>1595.82491871947</v>
      </c>
      <c r="U95" s="537">
        <v>286.614018980895</v>
      </c>
      <c r="AH95" s="549" t="s">
        <v>298</v>
      </c>
      <c r="AI95" s="550" t="s">
        <v>8</v>
      </c>
      <c r="AJ95" s="550" t="s">
        <v>294</v>
      </c>
      <c r="AK95" s="550" t="s">
        <v>323</v>
      </c>
      <c r="AL95" s="550" t="s">
        <v>296</v>
      </c>
      <c r="AM95" s="550" t="s">
        <v>297</v>
      </c>
      <c r="AN95" s="551">
        <v>2019.0</v>
      </c>
      <c r="AO95" s="552">
        <v>79106.01535</v>
      </c>
      <c r="AP95" s="552">
        <v>119025.5431</v>
      </c>
      <c r="AQ95" s="553">
        <v>37467.76031</v>
      </c>
      <c r="AS95" s="534" t="s">
        <v>296</v>
      </c>
      <c r="AT95" s="535" t="s">
        <v>294</v>
      </c>
      <c r="AU95" s="535" t="s">
        <v>332</v>
      </c>
      <c r="AV95" s="535" t="s">
        <v>26</v>
      </c>
      <c r="AW95" s="535" t="s">
        <v>292</v>
      </c>
      <c r="AX95" s="535" t="s">
        <v>89</v>
      </c>
      <c r="AY95" s="535" t="s">
        <v>304</v>
      </c>
      <c r="AZ95" s="543" t="s">
        <v>305</v>
      </c>
      <c r="BA95" s="536">
        <v>2471.067612</v>
      </c>
      <c r="BB95" s="536">
        <v>943.7666059</v>
      </c>
      <c r="BC95" s="536">
        <v>5054.872732</v>
      </c>
      <c r="BD95" s="537" t="s">
        <v>202</v>
      </c>
      <c r="CE95" s="525"/>
    </row>
    <row r="96">
      <c r="A96" s="509"/>
      <c r="B96" s="526" t="s">
        <v>312</v>
      </c>
      <c r="C96" s="527" t="s">
        <v>289</v>
      </c>
      <c r="D96" s="527" t="s">
        <v>522</v>
      </c>
      <c r="E96" s="530">
        <v>2019.0</v>
      </c>
      <c r="F96" s="527" t="s">
        <v>291</v>
      </c>
      <c r="G96" s="527" t="s">
        <v>89</v>
      </c>
      <c r="H96" s="532">
        <v>2431071.19</v>
      </c>
      <c r="I96" s="532">
        <v>2714889.301</v>
      </c>
      <c r="J96" s="533">
        <v>2155388.601</v>
      </c>
      <c r="K96" s="516"/>
      <c r="L96" s="534" t="s">
        <v>292</v>
      </c>
      <c r="M96" s="535" t="s">
        <v>328</v>
      </c>
      <c r="N96" s="535" t="s">
        <v>294</v>
      </c>
      <c r="O96" s="535" t="s">
        <v>295</v>
      </c>
      <c r="P96" s="535" t="s">
        <v>296</v>
      </c>
      <c r="Q96" s="535" t="s">
        <v>89</v>
      </c>
      <c r="R96" s="535">
        <v>2019.0</v>
      </c>
      <c r="S96" s="536">
        <v>0.0</v>
      </c>
      <c r="T96" s="536">
        <v>0.0</v>
      </c>
      <c r="U96" s="537">
        <v>0.0</v>
      </c>
      <c r="AH96" s="538" t="s">
        <v>298</v>
      </c>
      <c r="AI96" s="539" t="s">
        <v>465</v>
      </c>
      <c r="AJ96" s="539" t="s">
        <v>294</v>
      </c>
      <c r="AK96" s="539" t="s">
        <v>300</v>
      </c>
      <c r="AL96" s="539" t="s">
        <v>296</v>
      </c>
      <c r="AM96" s="539" t="s">
        <v>297</v>
      </c>
      <c r="AN96" s="540">
        <v>2019.0</v>
      </c>
      <c r="AO96" s="541">
        <v>17907.04333</v>
      </c>
      <c r="AP96" s="541">
        <v>30814.27454</v>
      </c>
      <c r="AQ96" s="542">
        <v>10427.87903</v>
      </c>
      <c r="AS96" s="534" t="s">
        <v>296</v>
      </c>
      <c r="AT96" s="535" t="s">
        <v>294</v>
      </c>
      <c r="AU96" s="535" t="s">
        <v>302</v>
      </c>
      <c r="AV96" s="535" t="s">
        <v>427</v>
      </c>
      <c r="AW96" s="535" t="s">
        <v>292</v>
      </c>
      <c r="AX96" s="535" t="s">
        <v>89</v>
      </c>
      <c r="AY96" s="535" t="s">
        <v>304</v>
      </c>
      <c r="AZ96" s="543" t="s">
        <v>305</v>
      </c>
      <c r="BA96" s="536">
        <v>892.9062081</v>
      </c>
      <c r="BB96" s="536">
        <v>453.8941875</v>
      </c>
      <c r="BC96" s="536">
        <v>1385.431899</v>
      </c>
      <c r="BD96" s="537" t="s">
        <v>202</v>
      </c>
      <c r="CE96" s="525"/>
    </row>
    <row r="97">
      <c r="A97" s="509"/>
      <c r="B97" s="544" t="s">
        <v>312</v>
      </c>
      <c r="C97" s="545" t="s">
        <v>289</v>
      </c>
      <c r="D97" s="545" t="s">
        <v>302</v>
      </c>
      <c r="E97" s="546">
        <v>2019.0</v>
      </c>
      <c r="F97" s="545" t="s">
        <v>291</v>
      </c>
      <c r="G97" s="545" t="s">
        <v>89</v>
      </c>
      <c r="H97" s="547">
        <v>1.374591173E7</v>
      </c>
      <c r="I97" s="547">
        <v>1.535069349E7</v>
      </c>
      <c r="J97" s="548">
        <v>1.218713034E7</v>
      </c>
      <c r="K97" s="516"/>
      <c r="L97" s="534" t="s">
        <v>292</v>
      </c>
      <c r="M97" s="535" t="s">
        <v>328</v>
      </c>
      <c r="N97" s="535" t="s">
        <v>294</v>
      </c>
      <c r="O97" s="535" t="s">
        <v>311</v>
      </c>
      <c r="P97" s="535" t="s">
        <v>296</v>
      </c>
      <c r="Q97" s="535" t="s">
        <v>89</v>
      </c>
      <c r="R97" s="535">
        <v>2019.0</v>
      </c>
      <c r="S97" s="536">
        <v>0.0</v>
      </c>
      <c r="T97" s="536">
        <v>0.0</v>
      </c>
      <c r="U97" s="537">
        <v>0.0</v>
      </c>
      <c r="AH97" s="549" t="s">
        <v>298</v>
      </c>
      <c r="AI97" s="550" t="s">
        <v>511</v>
      </c>
      <c r="AJ97" s="550" t="s">
        <v>294</v>
      </c>
      <c r="AK97" s="550" t="s">
        <v>323</v>
      </c>
      <c r="AL97" s="550" t="s">
        <v>296</v>
      </c>
      <c r="AM97" s="550" t="s">
        <v>297</v>
      </c>
      <c r="AN97" s="551">
        <v>2019.0</v>
      </c>
      <c r="AO97" s="552">
        <v>9891.450266</v>
      </c>
      <c r="AP97" s="552">
        <v>39828.60627</v>
      </c>
      <c r="AQ97" s="553">
        <v>1073.960377</v>
      </c>
      <c r="AS97" s="534" t="s">
        <v>296</v>
      </c>
      <c r="AT97" s="535" t="s">
        <v>294</v>
      </c>
      <c r="AU97" s="535" t="s">
        <v>315</v>
      </c>
      <c r="AV97" s="535" t="s">
        <v>427</v>
      </c>
      <c r="AW97" s="535" t="s">
        <v>292</v>
      </c>
      <c r="AX97" s="535" t="s">
        <v>89</v>
      </c>
      <c r="AY97" s="535" t="s">
        <v>304</v>
      </c>
      <c r="AZ97" s="543" t="s">
        <v>305</v>
      </c>
      <c r="BA97" s="536">
        <v>66.46716238</v>
      </c>
      <c r="BB97" s="536">
        <v>26.32470357</v>
      </c>
      <c r="BC97" s="536">
        <v>121.3010926</v>
      </c>
      <c r="BD97" s="537" t="s">
        <v>202</v>
      </c>
      <c r="CE97" s="525"/>
    </row>
    <row r="98">
      <c r="A98" s="509"/>
      <c r="B98" s="526" t="s">
        <v>321</v>
      </c>
      <c r="C98" s="527" t="s">
        <v>289</v>
      </c>
      <c r="D98" s="527" t="s">
        <v>290</v>
      </c>
      <c r="E98" s="530">
        <v>2019.0</v>
      </c>
      <c r="F98" s="527" t="s">
        <v>291</v>
      </c>
      <c r="G98" s="527" t="s">
        <v>89</v>
      </c>
      <c r="H98" s="532">
        <v>478082.234</v>
      </c>
      <c r="I98" s="532">
        <v>527810.2145</v>
      </c>
      <c r="J98" s="533">
        <v>427167.9065</v>
      </c>
      <c r="K98" s="516"/>
      <c r="L98" s="573" t="s">
        <v>292</v>
      </c>
      <c r="M98" s="574" t="s">
        <v>328</v>
      </c>
      <c r="N98" s="574" t="s">
        <v>294</v>
      </c>
      <c r="O98" s="574" t="s">
        <v>319</v>
      </c>
      <c r="P98" s="574" t="s">
        <v>296</v>
      </c>
      <c r="Q98" s="574" t="s">
        <v>89</v>
      </c>
      <c r="R98" s="575">
        <v>2019.0</v>
      </c>
      <c r="S98" s="576">
        <v>0.0</v>
      </c>
      <c r="T98" s="576">
        <v>0.0</v>
      </c>
      <c r="U98" s="578">
        <v>0.0</v>
      </c>
      <c r="AH98" s="538" t="s">
        <v>298</v>
      </c>
      <c r="AI98" s="539" t="s">
        <v>511</v>
      </c>
      <c r="AJ98" s="539" t="s">
        <v>294</v>
      </c>
      <c r="AK98" s="539" t="s">
        <v>300</v>
      </c>
      <c r="AL98" s="539" t="s">
        <v>296</v>
      </c>
      <c r="AM98" s="539" t="s">
        <v>297</v>
      </c>
      <c r="AN98" s="540">
        <v>2019.0</v>
      </c>
      <c r="AO98" s="541">
        <v>6818.246075</v>
      </c>
      <c r="AP98" s="541">
        <v>22848.8062</v>
      </c>
      <c r="AQ98" s="542">
        <v>1260.412485</v>
      </c>
      <c r="AS98" s="534" t="s">
        <v>296</v>
      </c>
      <c r="AT98" s="535" t="s">
        <v>294</v>
      </c>
      <c r="AU98" s="535" t="s">
        <v>325</v>
      </c>
      <c r="AV98" s="535" t="s">
        <v>427</v>
      </c>
      <c r="AW98" s="535" t="s">
        <v>292</v>
      </c>
      <c r="AX98" s="535" t="s">
        <v>89</v>
      </c>
      <c r="AY98" s="535" t="s">
        <v>304</v>
      </c>
      <c r="AZ98" s="543" t="s">
        <v>305</v>
      </c>
      <c r="BA98" s="536">
        <v>307.9657121</v>
      </c>
      <c r="BB98" s="536">
        <v>141.5369563</v>
      </c>
      <c r="BC98" s="536">
        <v>518.5902291</v>
      </c>
      <c r="BD98" s="537" t="s">
        <v>202</v>
      </c>
      <c r="CE98" s="525"/>
    </row>
    <row r="99">
      <c r="A99" s="509"/>
      <c r="B99" s="544" t="s">
        <v>321</v>
      </c>
      <c r="C99" s="545" t="s">
        <v>289</v>
      </c>
      <c r="D99" s="545" t="s">
        <v>310</v>
      </c>
      <c r="E99" s="546">
        <v>2019.0</v>
      </c>
      <c r="F99" s="545" t="s">
        <v>291</v>
      </c>
      <c r="G99" s="545" t="s">
        <v>89</v>
      </c>
      <c r="H99" s="547">
        <v>7102474.642</v>
      </c>
      <c r="I99" s="547">
        <v>7841242.36</v>
      </c>
      <c r="J99" s="548">
        <v>6346082.344</v>
      </c>
      <c r="K99" s="516"/>
      <c r="L99" s="534" t="s">
        <v>292</v>
      </c>
      <c r="M99" s="535" t="s">
        <v>328</v>
      </c>
      <c r="N99" s="535" t="s">
        <v>294</v>
      </c>
      <c r="O99" s="535" t="s">
        <v>327</v>
      </c>
      <c r="P99" s="535" t="s">
        <v>296</v>
      </c>
      <c r="Q99" s="535" t="s">
        <v>89</v>
      </c>
      <c r="R99" s="535">
        <v>2019.0</v>
      </c>
      <c r="S99" s="536">
        <v>0.0</v>
      </c>
      <c r="T99" s="536">
        <v>0.0</v>
      </c>
      <c r="U99" s="537">
        <v>0.0</v>
      </c>
      <c r="AH99" s="549" t="s">
        <v>298</v>
      </c>
      <c r="AI99" s="550" t="s">
        <v>8</v>
      </c>
      <c r="AJ99" s="550" t="s">
        <v>294</v>
      </c>
      <c r="AK99" s="550" t="s">
        <v>300</v>
      </c>
      <c r="AL99" s="550" t="s">
        <v>296</v>
      </c>
      <c r="AM99" s="550" t="s">
        <v>297</v>
      </c>
      <c r="AN99" s="551">
        <v>2019.0</v>
      </c>
      <c r="AO99" s="552">
        <v>30845.0741</v>
      </c>
      <c r="AP99" s="552">
        <v>64375.47476</v>
      </c>
      <c r="AQ99" s="553">
        <v>16311.00986</v>
      </c>
      <c r="AS99" s="534" t="s">
        <v>296</v>
      </c>
      <c r="AT99" s="535" t="s">
        <v>294</v>
      </c>
      <c r="AU99" s="535" t="s">
        <v>332</v>
      </c>
      <c r="AV99" s="535" t="s">
        <v>427</v>
      </c>
      <c r="AW99" s="535" t="s">
        <v>292</v>
      </c>
      <c r="AX99" s="535" t="s">
        <v>89</v>
      </c>
      <c r="AY99" s="535" t="s">
        <v>304</v>
      </c>
      <c r="AZ99" s="543" t="s">
        <v>305</v>
      </c>
      <c r="BA99" s="536">
        <v>3139.863047</v>
      </c>
      <c r="BB99" s="536">
        <v>1487.462003</v>
      </c>
      <c r="BC99" s="536">
        <v>5384.154457</v>
      </c>
      <c r="BD99" s="537" t="s">
        <v>202</v>
      </c>
      <c r="CE99" s="525"/>
    </row>
    <row r="100">
      <c r="A100" s="509"/>
      <c r="B100" s="526" t="s">
        <v>321</v>
      </c>
      <c r="C100" s="527" t="s">
        <v>289</v>
      </c>
      <c r="D100" s="527" t="s">
        <v>318</v>
      </c>
      <c r="E100" s="530">
        <v>2019.0</v>
      </c>
      <c r="F100" s="527" t="s">
        <v>291</v>
      </c>
      <c r="G100" s="527" t="s">
        <v>89</v>
      </c>
      <c r="H100" s="532">
        <v>5761683.493</v>
      </c>
      <c r="I100" s="532">
        <v>6360988.1</v>
      </c>
      <c r="J100" s="533">
        <v>5148081.441</v>
      </c>
      <c r="K100" s="516"/>
      <c r="L100" s="534" t="s">
        <v>292</v>
      </c>
      <c r="M100" s="535" t="s">
        <v>330</v>
      </c>
      <c r="N100" s="535" t="s">
        <v>294</v>
      </c>
      <c r="O100" s="535" t="s">
        <v>295</v>
      </c>
      <c r="P100" s="535" t="s">
        <v>296</v>
      </c>
      <c r="Q100" s="535" t="s">
        <v>89</v>
      </c>
      <c r="R100" s="535">
        <v>2019.0</v>
      </c>
      <c r="S100" s="536">
        <v>2495.9087977658</v>
      </c>
      <c r="T100" s="536">
        <v>5272.22407980095</v>
      </c>
      <c r="U100" s="537">
        <v>784.647478808184</v>
      </c>
      <c r="AH100" s="538" t="s">
        <v>298</v>
      </c>
      <c r="AI100" s="539" t="s">
        <v>469</v>
      </c>
      <c r="AJ100" s="539" t="s">
        <v>294</v>
      </c>
      <c r="AK100" s="539" t="s">
        <v>323</v>
      </c>
      <c r="AL100" s="539" t="s">
        <v>296</v>
      </c>
      <c r="AM100" s="539" t="s">
        <v>297</v>
      </c>
      <c r="AN100" s="540">
        <v>2019.0</v>
      </c>
      <c r="AO100" s="541">
        <v>40417.83587</v>
      </c>
      <c r="AP100" s="541">
        <v>204554.7162</v>
      </c>
      <c r="AQ100" s="542">
        <v>2045.002957</v>
      </c>
      <c r="AS100" s="534" t="s">
        <v>296</v>
      </c>
      <c r="AT100" s="535" t="s">
        <v>294</v>
      </c>
      <c r="AU100" s="535" t="s">
        <v>302</v>
      </c>
      <c r="AV100" s="535" t="s">
        <v>430</v>
      </c>
      <c r="AW100" s="535" t="s">
        <v>292</v>
      </c>
      <c r="AX100" s="535" t="s">
        <v>89</v>
      </c>
      <c r="AY100" s="535" t="s">
        <v>304</v>
      </c>
      <c r="AZ100" s="543" t="s">
        <v>305</v>
      </c>
      <c r="BA100" s="536">
        <v>2200.341826</v>
      </c>
      <c r="BB100" s="536">
        <v>1163.213021</v>
      </c>
      <c r="BC100" s="536">
        <v>3415.502056</v>
      </c>
      <c r="BD100" s="537" t="s">
        <v>202</v>
      </c>
      <c r="CE100" s="525"/>
    </row>
    <row r="101">
      <c r="A101" s="509"/>
      <c r="B101" s="544" t="s">
        <v>321</v>
      </c>
      <c r="C101" s="545" t="s">
        <v>289</v>
      </c>
      <c r="D101" s="545" t="s">
        <v>309</v>
      </c>
      <c r="E101" s="546">
        <v>2019.0</v>
      </c>
      <c r="F101" s="545" t="s">
        <v>291</v>
      </c>
      <c r="G101" s="545" t="s">
        <v>89</v>
      </c>
      <c r="H101" s="547">
        <v>1749972.224</v>
      </c>
      <c r="I101" s="547">
        <v>1931996.525</v>
      </c>
      <c r="J101" s="548">
        <v>1563605.418</v>
      </c>
      <c r="K101" s="516"/>
      <c r="L101" s="534" t="s">
        <v>292</v>
      </c>
      <c r="M101" s="535" t="s">
        <v>330</v>
      </c>
      <c r="N101" s="535" t="s">
        <v>294</v>
      </c>
      <c r="O101" s="535" t="s">
        <v>311</v>
      </c>
      <c r="P101" s="535" t="s">
        <v>296</v>
      </c>
      <c r="Q101" s="535" t="s">
        <v>89</v>
      </c>
      <c r="R101" s="535">
        <v>2019.0</v>
      </c>
      <c r="S101" s="536">
        <v>0.0</v>
      </c>
      <c r="T101" s="536">
        <v>0.0</v>
      </c>
      <c r="U101" s="537">
        <v>0.0</v>
      </c>
      <c r="AH101" s="549" t="s">
        <v>298</v>
      </c>
      <c r="AI101" s="550" t="s">
        <v>469</v>
      </c>
      <c r="AJ101" s="550" t="s">
        <v>294</v>
      </c>
      <c r="AK101" s="550" t="s">
        <v>300</v>
      </c>
      <c r="AL101" s="550" t="s">
        <v>296</v>
      </c>
      <c r="AM101" s="550" t="s">
        <v>297</v>
      </c>
      <c r="AN101" s="551">
        <v>2019.0</v>
      </c>
      <c r="AO101" s="552">
        <v>22855.45004</v>
      </c>
      <c r="AP101" s="552">
        <v>107101.7036</v>
      </c>
      <c r="AQ101" s="553">
        <v>2092.438036</v>
      </c>
      <c r="AS101" s="534" t="s">
        <v>296</v>
      </c>
      <c r="AT101" s="535" t="s">
        <v>294</v>
      </c>
      <c r="AU101" s="535" t="s">
        <v>315</v>
      </c>
      <c r="AV101" s="535" t="s">
        <v>430</v>
      </c>
      <c r="AW101" s="535" t="s">
        <v>292</v>
      </c>
      <c r="AX101" s="535" t="s">
        <v>89</v>
      </c>
      <c r="AY101" s="535" t="s">
        <v>304</v>
      </c>
      <c r="AZ101" s="543" t="s">
        <v>305</v>
      </c>
      <c r="BA101" s="536">
        <v>164.449508</v>
      </c>
      <c r="BB101" s="536">
        <v>66.60461038</v>
      </c>
      <c r="BC101" s="536">
        <v>306.136037</v>
      </c>
      <c r="BD101" s="537" t="s">
        <v>202</v>
      </c>
      <c r="CE101" s="525"/>
    </row>
    <row r="102">
      <c r="A102" s="509"/>
      <c r="B102" s="526" t="s">
        <v>321</v>
      </c>
      <c r="C102" s="527" t="s">
        <v>289</v>
      </c>
      <c r="D102" s="527" t="s">
        <v>334</v>
      </c>
      <c r="E102" s="530">
        <v>2019.0</v>
      </c>
      <c r="F102" s="527" t="s">
        <v>291</v>
      </c>
      <c r="G102" s="527" t="s">
        <v>89</v>
      </c>
      <c r="H102" s="532">
        <v>1606186.224</v>
      </c>
      <c r="I102" s="532">
        <v>1773254.547</v>
      </c>
      <c r="J102" s="533">
        <v>1435132.197</v>
      </c>
      <c r="K102" s="516"/>
      <c r="L102" s="534" t="s">
        <v>292</v>
      </c>
      <c r="M102" s="535" t="s">
        <v>330</v>
      </c>
      <c r="N102" s="535" t="s">
        <v>294</v>
      </c>
      <c r="O102" s="535" t="s">
        <v>319</v>
      </c>
      <c r="P102" s="535" t="s">
        <v>296</v>
      </c>
      <c r="Q102" s="535" t="s">
        <v>89</v>
      </c>
      <c r="R102" s="535">
        <v>2019.0</v>
      </c>
      <c r="S102" s="536">
        <v>164.651937612582</v>
      </c>
      <c r="T102" s="536">
        <v>394.129839599897</v>
      </c>
      <c r="U102" s="537">
        <v>48.9117055813771</v>
      </c>
      <c r="AH102" s="538" t="s">
        <v>298</v>
      </c>
      <c r="AI102" s="539" t="s">
        <v>293</v>
      </c>
      <c r="AJ102" s="539" t="s">
        <v>294</v>
      </c>
      <c r="AK102" s="539" t="s">
        <v>323</v>
      </c>
      <c r="AL102" s="539" t="s">
        <v>296</v>
      </c>
      <c r="AM102" s="539" t="s">
        <v>297</v>
      </c>
      <c r="AN102" s="540">
        <v>2019.0</v>
      </c>
      <c r="AO102" s="541">
        <v>10305.9125</v>
      </c>
      <c r="AP102" s="541">
        <v>37630.03671</v>
      </c>
      <c r="AQ102" s="542">
        <v>1097.312395</v>
      </c>
      <c r="AS102" s="534" t="s">
        <v>296</v>
      </c>
      <c r="AT102" s="535" t="s">
        <v>294</v>
      </c>
      <c r="AU102" s="535" t="s">
        <v>325</v>
      </c>
      <c r="AV102" s="535" t="s">
        <v>430</v>
      </c>
      <c r="AW102" s="535" t="s">
        <v>292</v>
      </c>
      <c r="AX102" s="535" t="s">
        <v>89</v>
      </c>
      <c r="AY102" s="535" t="s">
        <v>304</v>
      </c>
      <c r="AZ102" s="543" t="s">
        <v>305</v>
      </c>
      <c r="BA102" s="536">
        <v>771.0831925</v>
      </c>
      <c r="BB102" s="536">
        <v>361.0252557</v>
      </c>
      <c r="BC102" s="536">
        <v>1305.902692</v>
      </c>
      <c r="BD102" s="537" t="s">
        <v>202</v>
      </c>
      <c r="CE102" s="525"/>
    </row>
    <row r="103">
      <c r="A103" s="509"/>
      <c r="B103" s="544" t="s">
        <v>321</v>
      </c>
      <c r="C103" s="545" t="s">
        <v>289</v>
      </c>
      <c r="D103" s="545" t="s">
        <v>339</v>
      </c>
      <c r="E103" s="546">
        <v>2019.0</v>
      </c>
      <c r="F103" s="545" t="s">
        <v>291</v>
      </c>
      <c r="G103" s="545" t="s">
        <v>89</v>
      </c>
      <c r="H103" s="547">
        <v>2946977.372</v>
      </c>
      <c r="I103" s="547">
        <v>3253508.808</v>
      </c>
      <c r="J103" s="548">
        <v>2633133.1</v>
      </c>
      <c r="K103" s="516"/>
      <c r="L103" s="534" t="s">
        <v>292</v>
      </c>
      <c r="M103" s="535" t="s">
        <v>330</v>
      </c>
      <c r="N103" s="535" t="s">
        <v>294</v>
      </c>
      <c r="O103" s="535" t="s">
        <v>327</v>
      </c>
      <c r="P103" s="535" t="s">
        <v>296</v>
      </c>
      <c r="Q103" s="535" t="s">
        <v>89</v>
      </c>
      <c r="R103" s="535">
        <v>2019.0</v>
      </c>
      <c r="S103" s="536">
        <v>906.669901978081</v>
      </c>
      <c r="T103" s="536">
        <v>2034.31047905413</v>
      </c>
      <c r="U103" s="537">
        <v>266.002384319044</v>
      </c>
      <c r="AH103" s="549" t="s">
        <v>298</v>
      </c>
      <c r="AI103" s="550" t="s">
        <v>293</v>
      </c>
      <c r="AJ103" s="550" t="s">
        <v>294</v>
      </c>
      <c r="AK103" s="550" t="s">
        <v>300</v>
      </c>
      <c r="AL103" s="550" t="s">
        <v>296</v>
      </c>
      <c r="AM103" s="550" t="s">
        <v>297</v>
      </c>
      <c r="AN103" s="551">
        <v>2019.0</v>
      </c>
      <c r="AO103" s="552">
        <v>7079.161374</v>
      </c>
      <c r="AP103" s="552">
        <v>21769.73077</v>
      </c>
      <c r="AQ103" s="553">
        <v>1283.236794</v>
      </c>
      <c r="AS103" s="534" t="s">
        <v>296</v>
      </c>
      <c r="AT103" s="535" t="s">
        <v>294</v>
      </c>
      <c r="AU103" s="535" t="s">
        <v>332</v>
      </c>
      <c r="AV103" s="535" t="s">
        <v>430</v>
      </c>
      <c r="AW103" s="535" t="s">
        <v>292</v>
      </c>
      <c r="AX103" s="535" t="s">
        <v>89</v>
      </c>
      <c r="AY103" s="535" t="s">
        <v>304</v>
      </c>
      <c r="AZ103" s="543" t="s">
        <v>305</v>
      </c>
      <c r="BA103" s="536">
        <v>6538.102848</v>
      </c>
      <c r="BB103" s="536">
        <v>3231.27584</v>
      </c>
      <c r="BC103" s="536">
        <v>10894.33287</v>
      </c>
      <c r="BD103" s="537" t="s">
        <v>202</v>
      </c>
      <c r="CE103" s="525"/>
    </row>
    <row r="104">
      <c r="A104" s="509"/>
      <c r="B104" s="526" t="s">
        <v>321</v>
      </c>
      <c r="C104" s="527" t="s">
        <v>289</v>
      </c>
      <c r="D104" s="527" t="s">
        <v>344</v>
      </c>
      <c r="E104" s="530">
        <v>2019.0</v>
      </c>
      <c r="F104" s="527" t="s">
        <v>291</v>
      </c>
      <c r="G104" s="527" t="s">
        <v>89</v>
      </c>
      <c r="H104" s="532">
        <v>4104631.683</v>
      </c>
      <c r="I104" s="532">
        <v>4531577.155</v>
      </c>
      <c r="J104" s="533">
        <v>3667500.69</v>
      </c>
      <c r="K104" s="516"/>
      <c r="L104" s="534" t="s">
        <v>292</v>
      </c>
      <c r="M104" s="535" t="s">
        <v>330</v>
      </c>
      <c r="N104" s="535" t="s">
        <v>294</v>
      </c>
      <c r="O104" s="535" t="s">
        <v>335</v>
      </c>
      <c r="P104" s="535" t="s">
        <v>296</v>
      </c>
      <c r="Q104" s="535" t="s">
        <v>89</v>
      </c>
      <c r="R104" s="535">
        <v>2019.0</v>
      </c>
      <c r="S104" s="536">
        <v>4776.95129901583</v>
      </c>
      <c r="T104" s="536">
        <v>10296.2990625804</v>
      </c>
      <c r="U104" s="537">
        <v>1418.57811747265</v>
      </c>
      <c r="AH104" s="538" t="s">
        <v>298</v>
      </c>
      <c r="AI104" s="539" t="s">
        <v>436</v>
      </c>
      <c r="AJ104" s="539" t="s">
        <v>294</v>
      </c>
      <c r="AK104" s="539" t="s">
        <v>323</v>
      </c>
      <c r="AL104" s="539" t="s">
        <v>296</v>
      </c>
      <c r="AM104" s="539" t="s">
        <v>297</v>
      </c>
      <c r="AN104" s="540">
        <v>2019.0</v>
      </c>
      <c r="AO104" s="541">
        <v>63868.06632</v>
      </c>
      <c r="AP104" s="541">
        <v>117502.8735</v>
      </c>
      <c r="AQ104" s="542">
        <v>27713.38285</v>
      </c>
      <c r="AS104" s="534" t="s">
        <v>296</v>
      </c>
      <c r="AT104" s="535" t="s">
        <v>294</v>
      </c>
      <c r="AU104" s="535" t="s">
        <v>302</v>
      </c>
      <c r="AV104" s="535" t="s">
        <v>27</v>
      </c>
      <c r="AW104" s="535" t="s">
        <v>292</v>
      </c>
      <c r="AX104" s="535" t="s">
        <v>89</v>
      </c>
      <c r="AY104" s="535" t="s">
        <v>304</v>
      </c>
      <c r="AZ104" s="543" t="s">
        <v>305</v>
      </c>
      <c r="BA104" s="536">
        <v>2258.288279</v>
      </c>
      <c r="BB104" s="536">
        <v>833.5005158</v>
      </c>
      <c r="BC104" s="536">
        <v>4044.055523</v>
      </c>
      <c r="BD104" s="537" t="s">
        <v>202</v>
      </c>
      <c r="CE104" s="525"/>
    </row>
    <row r="105">
      <c r="A105" s="219"/>
      <c r="B105" s="544" t="s">
        <v>321</v>
      </c>
      <c r="C105" s="545" t="s">
        <v>289</v>
      </c>
      <c r="D105" s="545" t="s">
        <v>349</v>
      </c>
      <c r="E105" s="546">
        <v>2019.0</v>
      </c>
      <c r="F105" s="545" t="s">
        <v>291</v>
      </c>
      <c r="G105" s="545" t="s">
        <v>89</v>
      </c>
      <c r="H105" s="547">
        <v>1340791.149</v>
      </c>
      <c r="I105" s="547">
        <v>1480254.261</v>
      </c>
      <c r="J105" s="548">
        <v>1198000.903</v>
      </c>
      <c r="K105" s="516"/>
      <c r="L105" s="534" t="s">
        <v>292</v>
      </c>
      <c r="M105" s="535" t="s">
        <v>330</v>
      </c>
      <c r="N105" s="535" t="s">
        <v>294</v>
      </c>
      <c r="O105" s="535" t="s">
        <v>300</v>
      </c>
      <c r="P105" s="535" t="s">
        <v>296</v>
      </c>
      <c r="Q105" s="535" t="s">
        <v>89</v>
      </c>
      <c r="R105" s="535">
        <v>2019.0</v>
      </c>
      <c r="S105" s="536">
        <v>505.593644189255</v>
      </c>
      <c r="T105" s="536">
        <v>1064.337839</v>
      </c>
      <c r="U105" s="537">
        <v>160.10960292651</v>
      </c>
      <c r="AH105" s="777" t="s">
        <v>298</v>
      </c>
      <c r="AI105" s="778" t="s">
        <v>436</v>
      </c>
      <c r="AJ105" s="778" t="s">
        <v>294</v>
      </c>
      <c r="AK105" s="778" t="s">
        <v>300</v>
      </c>
      <c r="AL105" s="778" t="s">
        <v>296</v>
      </c>
      <c r="AM105" s="778" t="s">
        <v>297</v>
      </c>
      <c r="AN105" s="780">
        <v>2019.0</v>
      </c>
      <c r="AO105" s="781">
        <v>24977.74508</v>
      </c>
      <c r="AP105" s="781">
        <v>44732.50472</v>
      </c>
      <c r="AQ105" s="784">
        <v>12396.69228</v>
      </c>
      <c r="AS105" s="534" t="s">
        <v>296</v>
      </c>
      <c r="AT105" s="535" t="s">
        <v>294</v>
      </c>
      <c r="AU105" s="535" t="s">
        <v>315</v>
      </c>
      <c r="AV105" s="535" t="s">
        <v>27</v>
      </c>
      <c r="AW105" s="535" t="s">
        <v>292</v>
      </c>
      <c r="AX105" s="535" t="s">
        <v>89</v>
      </c>
      <c r="AY105" s="535" t="s">
        <v>304</v>
      </c>
      <c r="AZ105" s="543" t="s">
        <v>305</v>
      </c>
      <c r="BA105" s="536">
        <v>97.97276234</v>
      </c>
      <c r="BB105" s="536">
        <v>27.53711876</v>
      </c>
      <c r="BC105" s="536">
        <v>205.2973345</v>
      </c>
      <c r="BD105" s="537" t="s">
        <v>202</v>
      </c>
      <c r="CE105" s="525"/>
    </row>
    <row r="106">
      <c r="A106" s="219"/>
      <c r="B106" s="526" t="s">
        <v>321</v>
      </c>
      <c r="C106" s="527" t="s">
        <v>289</v>
      </c>
      <c r="D106" s="527" t="s">
        <v>355</v>
      </c>
      <c r="E106" s="530">
        <v>2019.0</v>
      </c>
      <c r="F106" s="527" t="s">
        <v>291</v>
      </c>
      <c r="G106" s="527" t="s">
        <v>89</v>
      </c>
      <c r="H106" s="532">
        <v>4887393.78</v>
      </c>
      <c r="I106" s="532">
        <v>5395880.854</v>
      </c>
      <c r="J106" s="533">
        <v>4366734.787</v>
      </c>
      <c r="K106" s="516"/>
      <c r="L106" s="534" t="s">
        <v>292</v>
      </c>
      <c r="M106" s="535" t="s">
        <v>347</v>
      </c>
      <c r="N106" s="535" t="s">
        <v>294</v>
      </c>
      <c r="O106" s="535" t="s">
        <v>295</v>
      </c>
      <c r="P106" s="535" t="s">
        <v>296</v>
      </c>
      <c r="Q106" s="535" t="s">
        <v>89</v>
      </c>
      <c r="R106" s="535">
        <v>2019.0</v>
      </c>
      <c r="S106" s="536">
        <v>5775.80884049709</v>
      </c>
      <c r="T106" s="536">
        <v>11442.0625436282</v>
      </c>
      <c r="U106" s="537">
        <v>2164.55578053506</v>
      </c>
      <c r="AS106" s="534" t="s">
        <v>296</v>
      </c>
      <c r="AT106" s="535" t="s">
        <v>294</v>
      </c>
      <c r="AU106" s="535" t="s">
        <v>325</v>
      </c>
      <c r="AV106" s="535" t="s">
        <v>27</v>
      </c>
      <c r="AW106" s="535" t="s">
        <v>292</v>
      </c>
      <c r="AX106" s="535" t="s">
        <v>89</v>
      </c>
      <c r="AY106" s="535" t="s">
        <v>304</v>
      </c>
      <c r="AZ106" s="543" t="s">
        <v>305</v>
      </c>
      <c r="BA106" s="536">
        <v>584.2162297</v>
      </c>
      <c r="BB106" s="536">
        <v>170.2236917</v>
      </c>
      <c r="BC106" s="536">
        <v>1201.541578</v>
      </c>
      <c r="BD106" s="537" t="s">
        <v>202</v>
      </c>
      <c r="CE106" s="525"/>
    </row>
    <row r="107">
      <c r="A107" s="509"/>
      <c r="B107" s="544" t="s">
        <v>321</v>
      </c>
      <c r="C107" s="545" t="s">
        <v>289</v>
      </c>
      <c r="D107" s="545" t="s">
        <v>358</v>
      </c>
      <c r="E107" s="546">
        <v>2019.0</v>
      </c>
      <c r="F107" s="545" t="s">
        <v>291</v>
      </c>
      <c r="G107" s="545" t="s">
        <v>89</v>
      </c>
      <c r="H107" s="547">
        <v>5823842.24</v>
      </c>
      <c r="I107" s="547">
        <v>6429612.322</v>
      </c>
      <c r="J107" s="548">
        <v>5203620.467</v>
      </c>
      <c r="K107" s="516"/>
      <c r="L107" s="534" t="s">
        <v>292</v>
      </c>
      <c r="M107" s="535" t="s">
        <v>347</v>
      </c>
      <c r="N107" s="535" t="s">
        <v>294</v>
      </c>
      <c r="O107" s="535" t="s">
        <v>311</v>
      </c>
      <c r="P107" s="535" t="s">
        <v>296</v>
      </c>
      <c r="Q107" s="535" t="s">
        <v>89</v>
      </c>
      <c r="R107" s="535">
        <v>2019.0</v>
      </c>
      <c r="S107" s="536">
        <v>0.0</v>
      </c>
      <c r="T107" s="536">
        <v>0.0</v>
      </c>
      <c r="U107" s="537">
        <v>0.0</v>
      </c>
      <c r="AS107" s="534" t="s">
        <v>296</v>
      </c>
      <c r="AT107" s="535" t="s">
        <v>294</v>
      </c>
      <c r="AU107" s="535" t="s">
        <v>332</v>
      </c>
      <c r="AV107" s="535" t="s">
        <v>27</v>
      </c>
      <c r="AW107" s="535" t="s">
        <v>292</v>
      </c>
      <c r="AX107" s="535" t="s">
        <v>89</v>
      </c>
      <c r="AY107" s="535" t="s">
        <v>304</v>
      </c>
      <c r="AZ107" s="543" t="s">
        <v>305</v>
      </c>
      <c r="BA107" s="536">
        <v>4449.598839</v>
      </c>
      <c r="BB107" s="536">
        <v>1484.2792</v>
      </c>
      <c r="BC107" s="536">
        <v>8065.636093</v>
      </c>
      <c r="BD107" s="537" t="s">
        <v>202</v>
      </c>
      <c r="CE107" s="525"/>
    </row>
    <row r="108">
      <c r="A108" s="509"/>
      <c r="B108" s="526" t="s">
        <v>321</v>
      </c>
      <c r="C108" s="527" t="s">
        <v>289</v>
      </c>
      <c r="D108" s="527" t="s">
        <v>362</v>
      </c>
      <c r="E108" s="530">
        <v>2019.0</v>
      </c>
      <c r="F108" s="527" t="s">
        <v>291</v>
      </c>
      <c r="G108" s="527" t="s">
        <v>89</v>
      </c>
      <c r="H108" s="532">
        <v>5563282.343</v>
      </c>
      <c r="I108" s="532">
        <v>6142089.227</v>
      </c>
      <c r="J108" s="533">
        <v>4970620.259</v>
      </c>
      <c r="K108" s="516"/>
      <c r="L108" s="534" t="s">
        <v>292</v>
      </c>
      <c r="M108" s="535" t="s">
        <v>347</v>
      </c>
      <c r="N108" s="535" t="s">
        <v>294</v>
      </c>
      <c r="O108" s="535" t="s">
        <v>319</v>
      </c>
      <c r="P108" s="535" t="s">
        <v>296</v>
      </c>
      <c r="Q108" s="535" t="s">
        <v>89</v>
      </c>
      <c r="R108" s="535">
        <v>2019.0</v>
      </c>
      <c r="S108" s="536">
        <v>372.949180542854</v>
      </c>
      <c r="T108" s="536">
        <v>809.601533519144</v>
      </c>
      <c r="U108" s="537">
        <v>137.228314837321</v>
      </c>
      <c r="AS108" s="534" t="s">
        <v>296</v>
      </c>
      <c r="AT108" s="535" t="s">
        <v>294</v>
      </c>
      <c r="AU108" s="535" t="s">
        <v>302</v>
      </c>
      <c r="AV108" s="535" t="s">
        <v>439</v>
      </c>
      <c r="AW108" s="535" t="s">
        <v>292</v>
      </c>
      <c r="AX108" s="535" t="s">
        <v>89</v>
      </c>
      <c r="AY108" s="535" t="s">
        <v>304</v>
      </c>
      <c r="AZ108" s="543" t="s">
        <v>305</v>
      </c>
      <c r="BA108" s="536">
        <v>5603.354499</v>
      </c>
      <c r="BB108" s="536">
        <v>2017.13562</v>
      </c>
      <c r="BC108" s="536">
        <v>11593.22684</v>
      </c>
      <c r="BD108" s="537" t="s">
        <v>202</v>
      </c>
      <c r="CE108" s="525"/>
    </row>
    <row r="109">
      <c r="A109" s="509"/>
      <c r="B109" s="544" t="s">
        <v>321</v>
      </c>
      <c r="C109" s="545" t="s">
        <v>289</v>
      </c>
      <c r="D109" s="545" t="s">
        <v>366</v>
      </c>
      <c r="E109" s="546">
        <v>2019.0</v>
      </c>
      <c r="F109" s="545" t="s">
        <v>291</v>
      </c>
      <c r="G109" s="545" t="s">
        <v>89</v>
      </c>
      <c r="H109" s="547">
        <v>1157654.311</v>
      </c>
      <c r="I109" s="547">
        <v>1278068.347</v>
      </c>
      <c r="J109" s="548">
        <v>1034367.591</v>
      </c>
      <c r="K109" s="516"/>
      <c r="L109" s="534" t="s">
        <v>292</v>
      </c>
      <c r="M109" s="535" t="s">
        <v>347</v>
      </c>
      <c r="N109" s="535" t="s">
        <v>294</v>
      </c>
      <c r="O109" s="535" t="s">
        <v>327</v>
      </c>
      <c r="P109" s="535" t="s">
        <v>296</v>
      </c>
      <c r="Q109" s="535" t="s">
        <v>89</v>
      </c>
      <c r="R109" s="535">
        <v>2019.0</v>
      </c>
      <c r="S109" s="536">
        <v>2515.44320175135</v>
      </c>
      <c r="T109" s="536">
        <v>4896.51982781771</v>
      </c>
      <c r="U109" s="537">
        <v>957.486055242702</v>
      </c>
      <c r="AS109" s="534" t="s">
        <v>296</v>
      </c>
      <c r="AT109" s="535" t="s">
        <v>294</v>
      </c>
      <c r="AU109" s="535" t="s">
        <v>315</v>
      </c>
      <c r="AV109" s="535" t="s">
        <v>439</v>
      </c>
      <c r="AW109" s="535" t="s">
        <v>292</v>
      </c>
      <c r="AX109" s="535" t="s">
        <v>89</v>
      </c>
      <c r="AY109" s="535" t="s">
        <v>304</v>
      </c>
      <c r="AZ109" s="543" t="s">
        <v>305</v>
      </c>
      <c r="BA109" s="536">
        <v>186.3948495</v>
      </c>
      <c r="BB109" s="536">
        <v>57.22293633</v>
      </c>
      <c r="BC109" s="536">
        <v>470.1824795</v>
      </c>
      <c r="BD109" s="537" t="s">
        <v>202</v>
      </c>
      <c r="CE109" s="525"/>
    </row>
    <row r="110">
      <c r="A110" s="509"/>
      <c r="B110" s="526" t="s">
        <v>321</v>
      </c>
      <c r="C110" s="527" t="s">
        <v>289</v>
      </c>
      <c r="D110" s="527" t="s">
        <v>368</v>
      </c>
      <c r="E110" s="530">
        <v>2019.0</v>
      </c>
      <c r="F110" s="527" t="s">
        <v>291</v>
      </c>
      <c r="G110" s="527" t="s">
        <v>89</v>
      </c>
      <c r="H110" s="532">
        <v>4405622.1</v>
      </c>
      <c r="I110" s="532">
        <v>4863875.252</v>
      </c>
      <c r="J110" s="533">
        <v>3936436.528</v>
      </c>
      <c r="K110" s="516"/>
      <c r="L110" s="534" t="s">
        <v>292</v>
      </c>
      <c r="M110" s="535" t="s">
        <v>347</v>
      </c>
      <c r="N110" s="535" t="s">
        <v>294</v>
      </c>
      <c r="O110" s="535" t="s">
        <v>335</v>
      </c>
      <c r="P110" s="535" t="s">
        <v>296</v>
      </c>
      <c r="Q110" s="535" t="s">
        <v>89</v>
      </c>
      <c r="R110" s="535">
        <v>2019.0</v>
      </c>
      <c r="S110" s="536">
        <v>7279.88280631124</v>
      </c>
      <c r="T110" s="536">
        <v>14854.8452897801</v>
      </c>
      <c r="U110" s="537">
        <v>2823.02743274882</v>
      </c>
      <c r="AS110" s="534" t="s">
        <v>296</v>
      </c>
      <c r="AT110" s="535" t="s">
        <v>294</v>
      </c>
      <c r="AU110" s="535" t="s">
        <v>325</v>
      </c>
      <c r="AV110" s="535" t="s">
        <v>439</v>
      </c>
      <c r="AW110" s="535" t="s">
        <v>292</v>
      </c>
      <c r="AX110" s="535" t="s">
        <v>89</v>
      </c>
      <c r="AY110" s="535" t="s">
        <v>304</v>
      </c>
      <c r="AZ110" s="543" t="s">
        <v>305</v>
      </c>
      <c r="BA110" s="536">
        <v>1104.588626</v>
      </c>
      <c r="BB110" s="536">
        <v>347.8869586</v>
      </c>
      <c r="BC110" s="536">
        <v>2734.21658</v>
      </c>
      <c r="BD110" s="537" t="s">
        <v>202</v>
      </c>
      <c r="CE110" s="525"/>
    </row>
    <row r="111">
      <c r="A111" s="509"/>
      <c r="B111" s="544" t="s">
        <v>321</v>
      </c>
      <c r="C111" s="545" t="s">
        <v>289</v>
      </c>
      <c r="D111" s="545" t="s">
        <v>373</v>
      </c>
      <c r="E111" s="546">
        <v>2019.0</v>
      </c>
      <c r="F111" s="545" t="s">
        <v>291</v>
      </c>
      <c r="G111" s="545" t="s">
        <v>89</v>
      </c>
      <c r="H111" s="547">
        <v>972108.3306</v>
      </c>
      <c r="I111" s="547">
        <v>1073222.701</v>
      </c>
      <c r="J111" s="548">
        <v>868581.702</v>
      </c>
      <c r="K111" s="516"/>
      <c r="L111" s="534" t="s">
        <v>292</v>
      </c>
      <c r="M111" s="535" t="s">
        <v>347</v>
      </c>
      <c r="N111" s="535" t="s">
        <v>294</v>
      </c>
      <c r="O111" s="535" t="s">
        <v>300</v>
      </c>
      <c r="P111" s="535" t="s">
        <v>296</v>
      </c>
      <c r="Q111" s="535" t="s">
        <v>89</v>
      </c>
      <c r="R111" s="535">
        <v>2019.0</v>
      </c>
      <c r="S111" s="536">
        <v>324.596878254851</v>
      </c>
      <c r="T111" s="536">
        <v>693.765516609799</v>
      </c>
      <c r="U111" s="537">
        <v>122.23817831866</v>
      </c>
      <c r="AS111" s="534" t="s">
        <v>296</v>
      </c>
      <c r="AT111" s="535" t="s">
        <v>294</v>
      </c>
      <c r="AU111" s="535" t="s">
        <v>332</v>
      </c>
      <c r="AV111" s="535" t="s">
        <v>439</v>
      </c>
      <c r="AW111" s="535" t="s">
        <v>292</v>
      </c>
      <c r="AX111" s="535" t="s">
        <v>89</v>
      </c>
      <c r="AY111" s="535" t="s">
        <v>304</v>
      </c>
      <c r="AZ111" s="543" t="s">
        <v>305</v>
      </c>
      <c r="BA111" s="536">
        <v>9093.939168</v>
      </c>
      <c r="BB111" s="536">
        <v>3283.796553</v>
      </c>
      <c r="BC111" s="536">
        <v>19558.09829</v>
      </c>
      <c r="BD111" s="537" t="s">
        <v>202</v>
      </c>
      <c r="CE111" s="525"/>
    </row>
    <row r="112">
      <c r="A112" s="509"/>
      <c r="B112" s="526" t="s">
        <v>321</v>
      </c>
      <c r="C112" s="527" t="s">
        <v>289</v>
      </c>
      <c r="D112" s="527" t="s">
        <v>379</v>
      </c>
      <c r="E112" s="530">
        <v>2019.0</v>
      </c>
      <c r="F112" s="527" t="s">
        <v>291</v>
      </c>
      <c r="G112" s="527" t="s">
        <v>89</v>
      </c>
      <c r="H112" s="532">
        <v>3325400.326</v>
      </c>
      <c r="I112" s="532">
        <v>3671376.762</v>
      </c>
      <c r="J112" s="533">
        <v>2971142.072</v>
      </c>
      <c r="K112" s="516"/>
      <c r="L112" s="534" t="s">
        <v>292</v>
      </c>
      <c r="M112" s="535" t="s">
        <v>312</v>
      </c>
      <c r="N112" s="535" t="s">
        <v>294</v>
      </c>
      <c r="O112" s="535" t="s">
        <v>295</v>
      </c>
      <c r="P112" s="535" t="s">
        <v>296</v>
      </c>
      <c r="Q112" s="535" t="s">
        <v>89</v>
      </c>
      <c r="R112" s="535">
        <v>2019.0</v>
      </c>
      <c r="S112" s="536">
        <v>0.029200817</v>
      </c>
      <c r="T112" s="536">
        <v>0.175302791</v>
      </c>
      <c r="U112" s="537">
        <v>6.21395E-4</v>
      </c>
      <c r="AS112" s="534" t="s">
        <v>296</v>
      </c>
      <c r="AT112" s="535" t="s">
        <v>294</v>
      </c>
      <c r="AU112" s="535" t="s">
        <v>302</v>
      </c>
      <c r="AV112" s="535" t="s">
        <v>444</v>
      </c>
      <c r="AW112" s="535" t="s">
        <v>292</v>
      </c>
      <c r="AX112" s="535" t="s">
        <v>89</v>
      </c>
      <c r="AY112" s="535" t="s">
        <v>304</v>
      </c>
      <c r="AZ112" s="543" t="s">
        <v>305</v>
      </c>
      <c r="BA112" s="536">
        <v>4655.832095</v>
      </c>
      <c r="BB112" s="536">
        <v>2410.718373</v>
      </c>
      <c r="BC112" s="536">
        <v>7466.738346</v>
      </c>
      <c r="BD112" s="537" t="s">
        <v>202</v>
      </c>
      <c r="CE112" s="525"/>
    </row>
    <row r="113">
      <c r="A113" s="509"/>
      <c r="B113" s="544" t="s">
        <v>321</v>
      </c>
      <c r="C113" s="545" t="s">
        <v>289</v>
      </c>
      <c r="D113" s="545" t="s">
        <v>382</v>
      </c>
      <c r="E113" s="546">
        <v>2019.0</v>
      </c>
      <c r="F113" s="545" t="s">
        <v>291</v>
      </c>
      <c r="G113" s="545" t="s">
        <v>89</v>
      </c>
      <c r="H113" s="547">
        <v>779117.564</v>
      </c>
      <c r="I113" s="547">
        <v>860157.8963</v>
      </c>
      <c r="J113" s="548">
        <v>696143.8746</v>
      </c>
      <c r="K113" s="516"/>
      <c r="L113" s="534" t="s">
        <v>292</v>
      </c>
      <c r="M113" s="535" t="s">
        <v>312</v>
      </c>
      <c r="N113" s="535" t="s">
        <v>294</v>
      </c>
      <c r="O113" s="535" t="s">
        <v>311</v>
      </c>
      <c r="P113" s="535" t="s">
        <v>296</v>
      </c>
      <c r="Q113" s="535" t="s">
        <v>89</v>
      </c>
      <c r="R113" s="535">
        <v>2019.0</v>
      </c>
      <c r="S113" s="536">
        <v>0.0</v>
      </c>
      <c r="T113" s="536">
        <v>0.0</v>
      </c>
      <c r="U113" s="537">
        <v>0.0</v>
      </c>
      <c r="AS113" s="534" t="s">
        <v>296</v>
      </c>
      <c r="AT113" s="535" t="s">
        <v>294</v>
      </c>
      <c r="AU113" s="535" t="s">
        <v>315</v>
      </c>
      <c r="AV113" s="535" t="s">
        <v>444</v>
      </c>
      <c r="AW113" s="535" t="s">
        <v>292</v>
      </c>
      <c r="AX113" s="535" t="s">
        <v>89</v>
      </c>
      <c r="AY113" s="535" t="s">
        <v>304</v>
      </c>
      <c r="AZ113" s="543" t="s">
        <v>305</v>
      </c>
      <c r="BA113" s="536">
        <v>288.9928888</v>
      </c>
      <c r="BB113" s="536">
        <v>119.0482797</v>
      </c>
      <c r="BC113" s="536">
        <v>560.9261659</v>
      </c>
      <c r="BD113" s="537" t="s">
        <v>202</v>
      </c>
      <c r="CE113" s="525"/>
    </row>
    <row r="114">
      <c r="A114" s="509"/>
      <c r="B114" s="526" t="s">
        <v>321</v>
      </c>
      <c r="C114" s="527" t="s">
        <v>289</v>
      </c>
      <c r="D114" s="527" t="s">
        <v>387</v>
      </c>
      <c r="E114" s="530">
        <v>2019.0</v>
      </c>
      <c r="F114" s="527" t="s">
        <v>291</v>
      </c>
      <c r="G114" s="527" t="s">
        <v>89</v>
      </c>
      <c r="H114" s="532">
        <v>637717.2143</v>
      </c>
      <c r="I114" s="532">
        <v>704049.7132</v>
      </c>
      <c r="J114" s="533">
        <v>569802.239</v>
      </c>
      <c r="K114" s="516"/>
      <c r="L114" s="534" t="s">
        <v>292</v>
      </c>
      <c r="M114" s="535" t="s">
        <v>312</v>
      </c>
      <c r="N114" s="535" t="s">
        <v>294</v>
      </c>
      <c r="O114" s="535" t="s">
        <v>319</v>
      </c>
      <c r="P114" s="535" t="s">
        <v>296</v>
      </c>
      <c r="Q114" s="535" t="s">
        <v>89</v>
      </c>
      <c r="R114" s="535">
        <v>2019.0</v>
      </c>
      <c r="S114" s="536">
        <v>8.01616E-4</v>
      </c>
      <c r="T114" s="536">
        <v>0.004922226</v>
      </c>
      <c r="U114" s="537">
        <v>1.61763336536423E-5</v>
      </c>
      <c r="AS114" s="534" t="s">
        <v>296</v>
      </c>
      <c r="AT114" s="535" t="s">
        <v>294</v>
      </c>
      <c r="AU114" s="535" t="s">
        <v>325</v>
      </c>
      <c r="AV114" s="535" t="s">
        <v>444</v>
      </c>
      <c r="AW114" s="535" t="s">
        <v>292</v>
      </c>
      <c r="AX114" s="535" t="s">
        <v>89</v>
      </c>
      <c r="AY114" s="535" t="s">
        <v>304</v>
      </c>
      <c r="AZ114" s="543" t="s">
        <v>305</v>
      </c>
      <c r="BA114" s="536">
        <v>1511.005368</v>
      </c>
      <c r="BB114" s="536">
        <v>654.2912987</v>
      </c>
      <c r="BC114" s="536">
        <v>2735.144436</v>
      </c>
      <c r="BD114" s="537" t="s">
        <v>202</v>
      </c>
      <c r="CE114" s="525"/>
    </row>
    <row r="115">
      <c r="A115" s="509"/>
      <c r="B115" s="544" t="s">
        <v>321</v>
      </c>
      <c r="C115" s="545" t="s">
        <v>289</v>
      </c>
      <c r="D115" s="545" t="s">
        <v>392</v>
      </c>
      <c r="E115" s="546">
        <v>2019.0</v>
      </c>
      <c r="F115" s="545" t="s">
        <v>291</v>
      </c>
      <c r="G115" s="545" t="s">
        <v>89</v>
      </c>
      <c r="H115" s="547">
        <v>524920.5109</v>
      </c>
      <c r="I115" s="547">
        <v>579520.4001</v>
      </c>
      <c r="J115" s="548">
        <v>469018.0471</v>
      </c>
      <c r="K115" s="516"/>
      <c r="L115" s="534" t="s">
        <v>292</v>
      </c>
      <c r="M115" s="535" t="s">
        <v>312</v>
      </c>
      <c r="N115" s="535" t="s">
        <v>294</v>
      </c>
      <c r="O115" s="535" t="s">
        <v>327</v>
      </c>
      <c r="P115" s="535" t="s">
        <v>296</v>
      </c>
      <c r="Q115" s="535" t="s">
        <v>89</v>
      </c>
      <c r="R115" s="535">
        <v>2019.0</v>
      </c>
      <c r="S115" s="536">
        <v>0.0167748787924025</v>
      </c>
      <c r="T115" s="536">
        <v>0.101675568359504</v>
      </c>
      <c r="U115" s="537">
        <v>3.53148E-4</v>
      </c>
      <c r="AS115" s="534" t="s">
        <v>296</v>
      </c>
      <c r="AT115" s="535" t="s">
        <v>294</v>
      </c>
      <c r="AU115" s="535" t="s">
        <v>332</v>
      </c>
      <c r="AV115" s="535" t="s">
        <v>444</v>
      </c>
      <c r="AW115" s="535" t="s">
        <v>292</v>
      </c>
      <c r="AX115" s="535" t="s">
        <v>89</v>
      </c>
      <c r="AY115" s="535" t="s">
        <v>304</v>
      </c>
      <c r="AZ115" s="543" t="s">
        <v>305</v>
      </c>
      <c r="BA115" s="536">
        <v>12558.68718</v>
      </c>
      <c r="BB115" s="536">
        <v>6134.306357</v>
      </c>
      <c r="BC115" s="536">
        <v>21478.18804</v>
      </c>
      <c r="BD115" s="537" t="s">
        <v>202</v>
      </c>
      <c r="CE115" s="525"/>
    </row>
    <row r="116">
      <c r="A116" s="509"/>
      <c r="B116" s="526" t="s">
        <v>321</v>
      </c>
      <c r="C116" s="527" t="s">
        <v>289</v>
      </c>
      <c r="D116" s="527" t="s">
        <v>398</v>
      </c>
      <c r="E116" s="530">
        <v>2019.0</v>
      </c>
      <c r="F116" s="527" t="s">
        <v>291</v>
      </c>
      <c r="G116" s="527" t="s">
        <v>89</v>
      </c>
      <c r="H116" s="532">
        <v>411533.1606</v>
      </c>
      <c r="I116" s="532">
        <v>454339.0036</v>
      </c>
      <c r="J116" s="533">
        <v>367706.1103</v>
      </c>
      <c r="K116" s="516"/>
      <c r="L116" s="534" t="s">
        <v>292</v>
      </c>
      <c r="M116" s="535" t="s">
        <v>312</v>
      </c>
      <c r="N116" s="535" t="s">
        <v>294</v>
      </c>
      <c r="O116" s="535" t="s">
        <v>335</v>
      </c>
      <c r="P116" s="535" t="s">
        <v>296</v>
      </c>
      <c r="Q116" s="535" t="s">
        <v>89</v>
      </c>
      <c r="R116" s="535">
        <v>2019.0</v>
      </c>
      <c r="S116" s="536">
        <v>110.05185604786</v>
      </c>
      <c r="T116" s="536">
        <v>658.228483254959</v>
      </c>
      <c r="U116" s="537">
        <v>2.25289562493368</v>
      </c>
      <c r="AS116" s="534" t="s">
        <v>296</v>
      </c>
      <c r="AT116" s="535" t="s">
        <v>294</v>
      </c>
      <c r="AU116" s="535" t="s">
        <v>302</v>
      </c>
      <c r="AV116" s="535" t="s">
        <v>448</v>
      </c>
      <c r="AW116" s="535" t="s">
        <v>292</v>
      </c>
      <c r="AX116" s="535" t="s">
        <v>89</v>
      </c>
      <c r="AY116" s="535" t="s">
        <v>304</v>
      </c>
      <c r="AZ116" s="543" t="s">
        <v>305</v>
      </c>
      <c r="BA116" s="536">
        <v>1398.576181</v>
      </c>
      <c r="BB116" s="536">
        <v>716.7695933</v>
      </c>
      <c r="BC116" s="536">
        <v>2303.711185</v>
      </c>
      <c r="BD116" s="537" t="s">
        <v>202</v>
      </c>
      <c r="CE116" s="525"/>
    </row>
    <row r="117">
      <c r="A117" s="509"/>
      <c r="B117" s="544" t="s">
        <v>321</v>
      </c>
      <c r="C117" s="545" t="s">
        <v>289</v>
      </c>
      <c r="D117" s="545" t="s">
        <v>402</v>
      </c>
      <c r="E117" s="546">
        <v>2019.0</v>
      </c>
      <c r="F117" s="545" t="s">
        <v>291</v>
      </c>
      <c r="G117" s="545" t="s">
        <v>89</v>
      </c>
      <c r="H117" s="547">
        <v>4874425.382</v>
      </c>
      <c r="I117" s="547">
        <v>5381563.217</v>
      </c>
      <c r="J117" s="548">
        <v>4355147.925</v>
      </c>
      <c r="K117" s="516"/>
      <c r="L117" s="534" t="s">
        <v>292</v>
      </c>
      <c r="M117" s="535" t="s">
        <v>312</v>
      </c>
      <c r="N117" s="535" t="s">
        <v>294</v>
      </c>
      <c r="O117" s="535" t="s">
        <v>300</v>
      </c>
      <c r="P117" s="535" t="s">
        <v>296</v>
      </c>
      <c r="Q117" s="535" t="s">
        <v>89</v>
      </c>
      <c r="R117" s="535">
        <v>2019.0</v>
      </c>
      <c r="S117" s="536">
        <v>27.8164208254264</v>
      </c>
      <c r="T117" s="536">
        <v>169.03438447418</v>
      </c>
      <c r="U117" s="537">
        <v>0.570421009661587</v>
      </c>
      <c r="AS117" s="534" t="s">
        <v>296</v>
      </c>
      <c r="AT117" s="535" t="s">
        <v>294</v>
      </c>
      <c r="AU117" s="535" t="s">
        <v>315</v>
      </c>
      <c r="AV117" s="535" t="s">
        <v>448</v>
      </c>
      <c r="AW117" s="535" t="s">
        <v>292</v>
      </c>
      <c r="AX117" s="535" t="s">
        <v>89</v>
      </c>
      <c r="AY117" s="535" t="s">
        <v>304</v>
      </c>
      <c r="AZ117" s="543" t="s">
        <v>305</v>
      </c>
      <c r="BA117" s="536">
        <v>91.72795214</v>
      </c>
      <c r="BB117" s="536">
        <v>36.19545539</v>
      </c>
      <c r="BC117" s="536">
        <v>182.1040445</v>
      </c>
      <c r="BD117" s="537" t="s">
        <v>202</v>
      </c>
      <c r="CE117" s="525"/>
    </row>
    <row r="118">
      <c r="A118" s="509"/>
      <c r="B118" s="526" t="s">
        <v>321</v>
      </c>
      <c r="C118" s="527" t="s">
        <v>289</v>
      </c>
      <c r="D118" s="527" t="s">
        <v>407</v>
      </c>
      <c r="E118" s="530">
        <v>2019.0</v>
      </c>
      <c r="F118" s="527" t="s">
        <v>291</v>
      </c>
      <c r="G118" s="527" t="s">
        <v>89</v>
      </c>
      <c r="H118" s="532">
        <v>1927442.812</v>
      </c>
      <c r="I118" s="532">
        <v>2127926.813</v>
      </c>
      <c r="J118" s="533">
        <v>1722175.92</v>
      </c>
      <c r="K118" s="516"/>
      <c r="L118" s="534" t="s">
        <v>292</v>
      </c>
      <c r="M118" s="535" t="s">
        <v>399</v>
      </c>
      <c r="N118" s="535" t="s">
        <v>294</v>
      </c>
      <c r="O118" s="535" t="s">
        <v>295</v>
      </c>
      <c r="P118" s="535" t="s">
        <v>296</v>
      </c>
      <c r="Q118" s="535" t="s">
        <v>89</v>
      </c>
      <c r="R118" s="535">
        <v>2019.0</v>
      </c>
      <c r="S118" s="536">
        <v>331.03265798064</v>
      </c>
      <c r="T118" s="536">
        <v>902.64714311553</v>
      </c>
      <c r="U118" s="537">
        <v>63.8348426389548</v>
      </c>
      <c r="AS118" s="534" t="s">
        <v>296</v>
      </c>
      <c r="AT118" s="535" t="s">
        <v>294</v>
      </c>
      <c r="AU118" s="535" t="s">
        <v>325</v>
      </c>
      <c r="AV118" s="535" t="s">
        <v>448</v>
      </c>
      <c r="AW118" s="535" t="s">
        <v>292</v>
      </c>
      <c r="AX118" s="535" t="s">
        <v>89</v>
      </c>
      <c r="AY118" s="535" t="s">
        <v>304</v>
      </c>
      <c r="AZ118" s="543" t="s">
        <v>305</v>
      </c>
      <c r="BA118" s="536">
        <v>465.8776467</v>
      </c>
      <c r="BB118" s="536">
        <v>198.9056483</v>
      </c>
      <c r="BC118" s="536">
        <v>848.9771202</v>
      </c>
      <c r="BD118" s="537" t="s">
        <v>202</v>
      </c>
      <c r="CE118" s="525"/>
    </row>
    <row r="119">
      <c r="A119" s="509"/>
      <c r="B119" s="544" t="s">
        <v>321</v>
      </c>
      <c r="C119" s="545" t="s">
        <v>289</v>
      </c>
      <c r="D119" s="545" t="s">
        <v>414</v>
      </c>
      <c r="E119" s="546">
        <v>2019.0</v>
      </c>
      <c r="F119" s="545" t="s">
        <v>291</v>
      </c>
      <c r="G119" s="545" t="s">
        <v>89</v>
      </c>
      <c r="H119" s="547">
        <v>313217.9635</v>
      </c>
      <c r="I119" s="547">
        <v>345797.4983</v>
      </c>
      <c r="J119" s="548">
        <v>279861.1875</v>
      </c>
      <c r="K119" s="516"/>
      <c r="L119" s="534" t="s">
        <v>292</v>
      </c>
      <c r="M119" s="535" t="s">
        <v>399</v>
      </c>
      <c r="N119" s="535" t="s">
        <v>294</v>
      </c>
      <c r="O119" s="535" t="s">
        <v>311</v>
      </c>
      <c r="P119" s="535" t="s">
        <v>296</v>
      </c>
      <c r="Q119" s="535" t="s">
        <v>89</v>
      </c>
      <c r="R119" s="535">
        <v>2019.0</v>
      </c>
      <c r="S119" s="536">
        <v>0.0</v>
      </c>
      <c r="T119" s="536">
        <v>0.0</v>
      </c>
      <c r="U119" s="537">
        <v>0.0</v>
      </c>
      <c r="AS119" s="534" t="s">
        <v>296</v>
      </c>
      <c r="AT119" s="535" t="s">
        <v>294</v>
      </c>
      <c r="AU119" s="535" t="s">
        <v>332</v>
      </c>
      <c r="AV119" s="535" t="s">
        <v>448</v>
      </c>
      <c r="AW119" s="535" t="s">
        <v>292</v>
      </c>
      <c r="AX119" s="535" t="s">
        <v>89</v>
      </c>
      <c r="AY119" s="535" t="s">
        <v>304</v>
      </c>
      <c r="AZ119" s="543" t="s">
        <v>305</v>
      </c>
      <c r="BA119" s="536">
        <v>3667.009795</v>
      </c>
      <c r="BB119" s="536">
        <v>1658.460019</v>
      </c>
      <c r="BC119" s="536">
        <v>6695.978126</v>
      </c>
      <c r="BD119" s="537" t="s">
        <v>202</v>
      </c>
      <c r="CE119" s="525"/>
    </row>
    <row r="120">
      <c r="A120" s="509"/>
      <c r="B120" s="526" t="s">
        <v>321</v>
      </c>
      <c r="C120" s="527" t="s">
        <v>289</v>
      </c>
      <c r="D120" s="527" t="s">
        <v>417</v>
      </c>
      <c r="E120" s="530">
        <v>2019.0</v>
      </c>
      <c r="F120" s="527" t="s">
        <v>291</v>
      </c>
      <c r="G120" s="527" t="s">
        <v>89</v>
      </c>
      <c r="H120" s="532">
        <v>862410.4732</v>
      </c>
      <c r="I120" s="532">
        <v>952114.5622</v>
      </c>
      <c r="J120" s="533">
        <v>770566.3382</v>
      </c>
      <c r="K120" s="516"/>
      <c r="L120" s="534" t="s">
        <v>292</v>
      </c>
      <c r="M120" s="535" t="s">
        <v>399</v>
      </c>
      <c r="N120" s="535" t="s">
        <v>294</v>
      </c>
      <c r="O120" s="535" t="s">
        <v>319</v>
      </c>
      <c r="P120" s="535" t="s">
        <v>296</v>
      </c>
      <c r="Q120" s="535" t="s">
        <v>89</v>
      </c>
      <c r="R120" s="535">
        <v>2019.0</v>
      </c>
      <c r="S120" s="536">
        <v>23.7594704464341</v>
      </c>
      <c r="T120" s="536">
        <v>62.9534864812838</v>
      </c>
      <c r="U120" s="537">
        <v>4.4585593716961</v>
      </c>
      <c r="AS120" s="534" t="s">
        <v>296</v>
      </c>
      <c r="AT120" s="535" t="s">
        <v>294</v>
      </c>
      <c r="AU120" s="535" t="s">
        <v>302</v>
      </c>
      <c r="AV120" s="535" t="s">
        <v>455</v>
      </c>
      <c r="AW120" s="535" t="s">
        <v>292</v>
      </c>
      <c r="AX120" s="535" t="s">
        <v>89</v>
      </c>
      <c r="AY120" s="535" t="s">
        <v>304</v>
      </c>
      <c r="AZ120" s="543" t="s">
        <v>305</v>
      </c>
      <c r="BA120" s="536">
        <v>1293.500733</v>
      </c>
      <c r="BB120" s="536">
        <v>748.5120231</v>
      </c>
      <c r="BC120" s="536">
        <v>1921.941257</v>
      </c>
      <c r="BD120" s="537" t="s">
        <v>202</v>
      </c>
      <c r="CE120" s="525"/>
    </row>
    <row r="121">
      <c r="A121" s="509"/>
      <c r="B121" s="544" t="s">
        <v>321</v>
      </c>
      <c r="C121" s="545" t="s">
        <v>289</v>
      </c>
      <c r="D121" s="545" t="s">
        <v>300</v>
      </c>
      <c r="E121" s="546">
        <v>2019.0</v>
      </c>
      <c r="F121" s="545" t="s">
        <v>291</v>
      </c>
      <c r="G121" s="545" t="s">
        <v>89</v>
      </c>
      <c r="H121" s="547">
        <v>3533629.036</v>
      </c>
      <c r="I121" s="547">
        <v>3901181.36</v>
      </c>
      <c r="J121" s="548">
        <v>3157308.116</v>
      </c>
      <c r="K121" s="516"/>
      <c r="L121" s="534" t="s">
        <v>292</v>
      </c>
      <c r="M121" s="535" t="s">
        <v>399</v>
      </c>
      <c r="N121" s="535" t="s">
        <v>294</v>
      </c>
      <c r="O121" s="535" t="s">
        <v>327</v>
      </c>
      <c r="P121" s="535" t="s">
        <v>296</v>
      </c>
      <c r="Q121" s="535" t="s">
        <v>89</v>
      </c>
      <c r="R121" s="535">
        <v>2019.0</v>
      </c>
      <c r="S121" s="536">
        <v>117.281853339452</v>
      </c>
      <c r="T121" s="536">
        <v>297.268924988128</v>
      </c>
      <c r="U121" s="537">
        <v>22.9011052608927</v>
      </c>
      <c r="AS121" s="534" t="s">
        <v>296</v>
      </c>
      <c r="AT121" s="535" t="s">
        <v>294</v>
      </c>
      <c r="AU121" s="535" t="s">
        <v>315</v>
      </c>
      <c r="AV121" s="535" t="s">
        <v>455</v>
      </c>
      <c r="AW121" s="535" t="s">
        <v>292</v>
      </c>
      <c r="AX121" s="535" t="s">
        <v>89</v>
      </c>
      <c r="AY121" s="535" t="s">
        <v>304</v>
      </c>
      <c r="AZ121" s="543" t="s">
        <v>305</v>
      </c>
      <c r="BA121" s="536">
        <v>106.2320227</v>
      </c>
      <c r="BB121" s="536">
        <v>46.90262432</v>
      </c>
      <c r="BC121" s="536">
        <v>191.1459694</v>
      </c>
      <c r="BD121" s="537" t="s">
        <v>202</v>
      </c>
      <c r="CE121" s="525"/>
    </row>
    <row r="122">
      <c r="A122" s="509"/>
      <c r="B122" s="526" t="s">
        <v>321</v>
      </c>
      <c r="C122" s="527" t="s">
        <v>289</v>
      </c>
      <c r="D122" s="527" t="s">
        <v>429</v>
      </c>
      <c r="E122" s="530">
        <v>2019.0</v>
      </c>
      <c r="F122" s="527" t="s">
        <v>291</v>
      </c>
      <c r="G122" s="527" t="s">
        <v>89</v>
      </c>
      <c r="H122" s="532">
        <v>767008.1742</v>
      </c>
      <c r="I122" s="532">
        <v>846808.1167</v>
      </c>
      <c r="J122" s="533">
        <v>685298.0191</v>
      </c>
      <c r="K122" s="516"/>
      <c r="L122" s="534" t="s">
        <v>292</v>
      </c>
      <c r="M122" s="535" t="s">
        <v>465</v>
      </c>
      <c r="N122" s="535" t="s">
        <v>294</v>
      </c>
      <c r="O122" s="535" t="s">
        <v>295</v>
      </c>
      <c r="P122" s="535" t="s">
        <v>296</v>
      </c>
      <c r="Q122" s="535" t="s">
        <v>89</v>
      </c>
      <c r="R122" s="535">
        <v>2019.0</v>
      </c>
      <c r="S122" s="536">
        <v>14107.8321678662</v>
      </c>
      <c r="T122" s="536">
        <v>27485.3926099391</v>
      </c>
      <c r="U122" s="537">
        <v>5744.80887420638</v>
      </c>
      <c r="AS122" s="534" t="s">
        <v>296</v>
      </c>
      <c r="AT122" s="535" t="s">
        <v>294</v>
      </c>
      <c r="AU122" s="535" t="s">
        <v>325</v>
      </c>
      <c r="AV122" s="535" t="s">
        <v>455</v>
      </c>
      <c r="AW122" s="535" t="s">
        <v>292</v>
      </c>
      <c r="AX122" s="535" t="s">
        <v>89</v>
      </c>
      <c r="AY122" s="535" t="s">
        <v>304</v>
      </c>
      <c r="AZ122" s="543" t="s">
        <v>305</v>
      </c>
      <c r="BA122" s="536">
        <v>470.3295402</v>
      </c>
      <c r="BB122" s="536">
        <v>234.5296421</v>
      </c>
      <c r="BC122" s="536">
        <v>756.3686456</v>
      </c>
      <c r="BD122" s="537" t="s">
        <v>202</v>
      </c>
      <c r="CE122" s="525"/>
    </row>
    <row r="123">
      <c r="A123" s="509"/>
      <c r="B123" s="544" t="s">
        <v>321</v>
      </c>
      <c r="C123" s="545" t="s">
        <v>289</v>
      </c>
      <c r="D123" s="545" t="s">
        <v>432</v>
      </c>
      <c r="E123" s="546">
        <v>2019.0</v>
      </c>
      <c r="F123" s="545" t="s">
        <v>291</v>
      </c>
      <c r="G123" s="545" t="s">
        <v>89</v>
      </c>
      <c r="H123" s="547">
        <v>238601.1802</v>
      </c>
      <c r="I123" s="547">
        <v>263419.4103</v>
      </c>
      <c r="J123" s="548">
        <v>213190.8684</v>
      </c>
      <c r="K123" s="516"/>
      <c r="L123" s="534" t="s">
        <v>292</v>
      </c>
      <c r="M123" s="535" t="s">
        <v>465</v>
      </c>
      <c r="N123" s="535" t="s">
        <v>294</v>
      </c>
      <c r="O123" s="535" t="s">
        <v>311</v>
      </c>
      <c r="P123" s="535" t="s">
        <v>296</v>
      </c>
      <c r="Q123" s="535" t="s">
        <v>89</v>
      </c>
      <c r="R123" s="535">
        <v>2019.0</v>
      </c>
      <c r="S123" s="536">
        <v>0.0</v>
      </c>
      <c r="T123" s="536">
        <v>0.0</v>
      </c>
      <c r="U123" s="537">
        <v>0.0</v>
      </c>
      <c r="AS123" s="534" t="s">
        <v>296</v>
      </c>
      <c r="AT123" s="535" t="s">
        <v>294</v>
      </c>
      <c r="AU123" s="535" t="s">
        <v>332</v>
      </c>
      <c r="AV123" s="535" t="s">
        <v>455</v>
      </c>
      <c r="AW123" s="535" t="s">
        <v>292</v>
      </c>
      <c r="AX123" s="535" t="s">
        <v>89</v>
      </c>
      <c r="AY123" s="535" t="s">
        <v>304</v>
      </c>
      <c r="AZ123" s="543" t="s">
        <v>305</v>
      </c>
      <c r="BA123" s="536">
        <v>5266.0429</v>
      </c>
      <c r="BB123" s="536">
        <v>2662.550777</v>
      </c>
      <c r="BC123" s="536">
        <v>8373.918648</v>
      </c>
      <c r="BD123" s="537" t="s">
        <v>202</v>
      </c>
      <c r="CE123" s="525"/>
    </row>
    <row r="124">
      <c r="A124" s="509"/>
      <c r="B124" s="526" t="s">
        <v>321</v>
      </c>
      <c r="C124" s="527" t="s">
        <v>289</v>
      </c>
      <c r="D124" s="527" t="s">
        <v>435</v>
      </c>
      <c r="E124" s="530">
        <v>2019.0</v>
      </c>
      <c r="F124" s="527" t="s">
        <v>291</v>
      </c>
      <c r="G124" s="527" t="s">
        <v>89</v>
      </c>
      <c r="H124" s="532">
        <v>180768.2228</v>
      </c>
      <c r="I124" s="532">
        <v>199570.9267</v>
      </c>
      <c r="J124" s="533">
        <v>161516.948</v>
      </c>
      <c r="K124" s="516"/>
      <c r="L124" s="534" t="s">
        <v>292</v>
      </c>
      <c r="M124" s="535" t="s">
        <v>465</v>
      </c>
      <c r="N124" s="535" t="s">
        <v>294</v>
      </c>
      <c r="O124" s="535" t="s">
        <v>319</v>
      </c>
      <c r="P124" s="535" t="s">
        <v>296</v>
      </c>
      <c r="Q124" s="535" t="s">
        <v>89</v>
      </c>
      <c r="R124" s="535">
        <v>2019.0</v>
      </c>
      <c r="S124" s="536">
        <v>507.210546465542</v>
      </c>
      <c r="T124" s="536">
        <v>1064.13004912661</v>
      </c>
      <c r="U124" s="537">
        <v>179.288354854752</v>
      </c>
      <c r="AS124" s="534" t="s">
        <v>296</v>
      </c>
      <c r="AT124" s="535" t="s">
        <v>294</v>
      </c>
      <c r="AU124" s="535" t="s">
        <v>302</v>
      </c>
      <c r="AV124" s="535" t="s">
        <v>28</v>
      </c>
      <c r="AW124" s="535" t="s">
        <v>292</v>
      </c>
      <c r="AX124" s="535" t="s">
        <v>89</v>
      </c>
      <c r="AY124" s="535" t="s">
        <v>304</v>
      </c>
      <c r="AZ124" s="543" t="s">
        <v>305</v>
      </c>
      <c r="BA124" s="536">
        <v>1857.078678</v>
      </c>
      <c r="BB124" s="536">
        <v>1057.265054</v>
      </c>
      <c r="BC124" s="536">
        <v>2772.737774</v>
      </c>
      <c r="BD124" s="537" t="s">
        <v>202</v>
      </c>
      <c r="CE124" s="525"/>
    </row>
    <row r="125">
      <c r="A125" s="509"/>
      <c r="B125" s="544" t="s">
        <v>321</v>
      </c>
      <c r="C125" s="545" t="s">
        <v>289</v>
      </c>
      <c r="D125" s="545" t="s">
        <v>442</v>
      </c>
      <c r="E125" s="546">
        <v>2019.0</v>
      </c>
      <c r="F125" s="545" t="s">
        <v>291</v>
      </c>
      <c r="G125" s="545" t="s">
        <v>89</v>
      </c>
      <c r="H125" s="547">
        <v>129823.1067</v>
      </c>
      <c r="I125" s="547">
        <v>143326.7269</v>
      </c>
      <c r="J125" s="548">
        <v>115997.3342</v>
      </c>
      <c r="K125" s="516"/>
      <c r="L125" s="534" t="s">
        <v>292</v>
      </c>
      <c r="M125" s="535" t="s">
        <v>465</v>
      </c>
      <c r="N125" s="535" t="s">
        <v>294</v>
      </c>
      <c r="O125" s="535" t="s">
        <v>327</v>
      </c>
      <c r="P125" s="535" t="s">
        <v>296</v>
      </c>
      <c r="Q125" s="535" t="s">
        <v>89</v>
      </c>
      <c r="R125" s="535">
        <v>2019.0</v>
      </c>
      <c r="S125" s="536">
        <v>4315.60318092777</v>
      </c>
      <c r="T125" s="536">
        <v>8906.00435941307</v>
      </c>
      <c r="U125" s="537">
        <v>1700.09662004843</v>
      </c>
      <c r="AS125" s="534" t="s">
        <v>296</v>
      </c>
      <c r="AT125" s="535" t="s">
        <v>294</v>
      </c>
      <c r="AU125" s="535" t="s">
        <v>315</v>
      </c>
      <c r="AV125" s="535" t="s">
        <v>28</v>
      </c>
      <c r="AW125" s="535" t="s">
        <v>292</v>
      </c>
      <c r="AX125" s="535" t="s">
        <v>89</v>
      </c>
      <c r="AY125" s="535" t="s">
        <v>304</v>
      </c>
      <c r="AZ125" s="543" t="s">
        <v>305</v>
      </c>
      <c r="BA125" s="536">
        <v>155.6540484</v>
      </c>
      <c r="BB125" s="536">
        <v>73.4382595</v>
      </c>
      <c r="BC125" s="536">
        <v>267.4846769</v>
      </c>
      <c r="BD125" s="537" t="s">
        <v>202</v>
      </c>
      <c r="CE125" s="525"/>
    </row>
    <row r="126">
      <c r="A126" s="509"/>
      <c r="B126" s="526" t="s">
        <v>321</v>
      </c>
      <c r="C126" s="527" t="s">
        <v>289</v>
      </c>
      <c r="D126" s="527" t="s">
        <v>445</v>
      </c>
      <c r="E126" s="530">
        <v>2019.0</v>
      </c>
      <c r="F126" s="527" t="s">
        <v>291</v>
      </c>
      <c r="G126" s="527" t="s">
        <v>89</v>
      </c>
      <c r="H126" s="532">
        <v>225376.2172</v>
      </c>
      <c r="I126" s="532">
        <v>248824.4799</v>
      </c>
      <c r="J126" s="533">
        <v>201366.6613</v>
      </c>
      <c r="K126" s="516"/>
      <c r="L126" s="534" t="s">
        <v>292</v>
      </c>
      <c r="M126" s="535" t="s">
        <v>465</v>
      </c>
      <c r="N126" s="535" t="s">
        <v>294</v>
      </c>
      <c r="O126" s="535" t="s">
        <v>335</v>
      </c>
      <c r="P126" s="535" t="s">
        <v>296</v>
      </c>
      <c r="Q126" s="535" t="s">
        <v>89</v>
      </c>
      <c r="R126" s="535">
        <v>2019.0</v>
      </c>
      <c r="S126" s="536">
        <v>17999.798593118</v>
      </c>
      <c r="T126" s="536">
        <v>35613.5175223163</v>
      </c>
      <c r="U126" s="537">
        <v>7151.26330446877</v>
      </c>
      <c r="AS126" s="534" t="s">
        <v>296</v>
      </c>
      <c r="AT126" s="535" t="s">
        <v>294</v>
      </c>
      <c r="AU126" s="535" t="s">
        <v>325</v>
      </c>
      <c r="AV126" s="535" t="s">
        <v>28</v>
      </c>
      <c r="AW126" s="535" t="s">
        <v>292</v>
      </c>
      <c r="AX126" s="535" t="s">
        <v>89</v>
      </c>
      <c r="AY126" s="535" t="s">
        <v>304</v>
      </c>
      <c r="AZ126" s="543" t="s">
        <v>305</v>
      </c>
      <c r="BA126" s="536">
        <v>658.0187831</v>
      </c>
      <c r="BB126" s="536">
        <v>325.2428951</v>
      </c>
      <c r="BC126" s="536">
        <v>1051.679834</v>
      </c>
      <c r="BD126" s="537" t="s">
        <v>202</v>
      </c>
      <c r="CE126" s="525"/>
    </row>
    <row r="127">
      <c r="A127" s="509"/>
      <c r="B127" s="544" t="s">
        <v>321</v>
      </c>
      <c r="C127" s="545" t="s">
        <v>289</v>
      </c>
      <c r="D127" s="545" t="s">
        <v>450</v>
      </c>
      <c r="E127" s="546">
        <v>2019.0</v>
      </c>
      <c r="F127" s="545" t="s">
        <v>291</v>
      </c>
      <c r="G127" s="545" t="s">
        <v>89</v>
      </c>
      <c r="H127" s="547">
        <v>95552.87026</v>
      </c>
      <c r="I127" s="547">
        <v>105491.8534</v>
      </c>
      <c r="J127" s="548">
        <v>85376.77548</v>
      </c>
      <c r="K127" s="516"/>
      <c r="L127" s="534" t="s">
        <v>292</v>
      </c>
      <c r="M127" s="535" t="s">
        <v>465</v>
      </c>
      <c r="N127" s="535" t="s">
        <v>294</v>
      </c>
      <c r="O127" s="535" t="s">
        <v>300</v>
      </c>
      <c r="P127" s="535" t="s">
        <v>296</v>
      </c>
      <c r="Q127" s="535" t="s">
        <v>89</v>
      </c>
      <c r="R127" s="535">
        <v>2019.0</v>
      </c>
      <c r="S127" s="536">
        <v>613.058280424302</v>
      </c>
      <c r="T127" s="536">
        <v>1398.24441355903</v>
      </c>
      <c r="U127" s="537">
        <v>217.353294369698</v>
      </c>
      <c r="AS127" s="534" t="s">
        <v>296</v>
      </c>
      <c r="AT127" s="535" t="s">
        <v>294</v>
      </c>
      <c r="AU127" s="535" t="s">
        <v>332</v>
      </c>
      <c r="AV127" s="535" t="s">
        <v>28</v>
      </c>
      <c r="AW127" s="535" t="s">
        <v>292</v>
      </c>
      <c r="AX127" s="535" t="s">
        <v>89</v>
      </c>
      <c r="AY127" s="535" t="s">
        <v>304</v>
      </c>
      <c r="AZ127" s="543" t="s">
        <v>305</v>
      </c>
      <c r="BA127" s="536">
        <v>7026.505839</v>
      </c>
      <c r="BB127" s="536">
        <v>3669.212218</v>
      </c>
      <c r="BC127" s="536">
        <v>11235.09202</v>
      </c>
      <c r="BD127" s="537" t="s">
        <v>202</v>
      </c>
      <c r="CE127" s="525"/>
    </row>
    <row r="128">
      <c r="A128" s="509"/>
      <c r="B128" s="526" t="s">
        <v>321</v>
      </c>
      <c r="C128" s="527" t="s">
        <v>289</v>
      </c>
      <c r="D128" s="527" t="s">
        <v>457</v>
      </c>
      <c r="E128" s="530">
        <v>2019.0</v>
      </c>
      <c r="F128" s="527" t="s">
        <v>291</v>
      </c>
      <c r="G128" s="527" t="s">
        <v>89</v>
      </c>
      <c r="H128" s="532">
        <v>217814.8467</v>
      </c>
      <c r="I128" s="532">
        <v>240470.975</v>
      </c>
      <c r="J128" s="533">
        <v>194618.2172</v>
      </c>
      <c r="K128" s="516"/>
      <c r="L128" s="534" t="s">
        <v>292</v>
      </c>
      <c r="M128" s="535" t="s">
        <v>420</v>
      </c>
      <c r="N128" s="535" t="s">
        <v>294</v>
      </c>
      <c r="O128" s="535" t="s">
        <v>295</v>
      </c>
      <c r="P128" s="535" t="s">
        <v>296</v>
      </c>
      <c r="Q128" s="535" t="s">
        <v>89</v>
      </c>
      <c r="R128" s="535">
        <v>2019.0</v>
      </c>
      <c r="S128" s="536">
        <v>529.255343176315</v>
      </c>
      <c r="T128" s="536">
        <v>1433.71245982306</v>
      </c>
      <c r="U128" s="537">
        <v>132.553707956832</v>
      </c>
      <c r="AS128" s="534" t="s">
        <v>296</v>
      </c>
      <c r="AT128" s="535" t="s">
        <v>294</v>
      </c>
      <c r="AU128" s="535" t="s">
        <v>302</v>
      </c>
      <c r="AV128" s="535" t="s">
        <v>29</v>
      </c>
      <c r="AW128" s="535" t="s">
        <v>292</v>
      </c>
      <c r="AX128" s="535" t="s">
        <v>89</v>
      </c>
      <c r="AY128" s="535" t="s">
        <v>304</v>
      </c>
      <c r="AZ128" s="543" t="s">
        <v>305</v>
      </c>
      <c r="BA128" s="536">
        <v>3181.704964</v>
      </c>
      <c r="BB128" s="536">
        <v>1170.148046</v>
      </c>
      <c r="BC128" s="536">
        <v>6387.077271</v>
      </c>
      <c r="BD128" s="537" t="s">
        <v>202</v>
      </c>
      <c r="CE128" s="525"/>
    </row>
    <row r="129">
      <c r="A129" s="509"/>
      <c r="B129" s="544" t="s">
        <v>321</v>
      </c>
      <c r="C129" s="545" t="s">
        <v>289</v>
      </c>
      <c r="D129" s="545" t="s">
        <v>463</v>
      </c>
      <c r="E129" s="546">
        <v>2019.0</v>
      </c>
      <c r="F129" s="545" t="s">
        <v>291</v>
      </c>
      <c r="G129" s="545" t="s">
        <v>89</v>
      </c>
      <c r="H129" s="547">
        <v>122262.1068</v>
      </c>
      <c r="I129" s="547">
        <v>134982.322</v>
      </c>
      <c r="J129" s="548">
        <v>109237.4011</v>
      </c>
      <c r="K129" s="516"/>
      <c r="L129" s="534" t="s">
        <v>292</v>
      </c>
      <c r="M129" s="535" t="s">
        <v>420</v>
      </c>
      <c r="N129" s="535" t="s">
        <v>294</v>
      </c>
      <c r="O129" s="535" t="s">
        <v>311</v>
      </c>
      <c r="P129" s="535" t="s">
        <v>296</v>
      </c>
      <c r="Q129" s="535" t="s">
        <v>89</v>
      </c>
      <c r="R129" s="535">
        <v>2019.0</v>
      </c>
      <c r="S129" s="536">
        <v>0.0</v>
      </c>
      <c r="T129" s="536">
        <v>0.0</v>
      </c>
      <c r="U129" s="537">
        <v>0.0</v>
      </c>
      <c r="AS129" s="534" t="s">
        <v>296</v>
      </c>
      <c r="AT129" s="535" t="s">
        <v>294</v>
      </c>
      <c r="AU129" s="535" t="s">
        <v>315</v>
      </c>
      <c r="AV129" s="535" t="s">
        <v>29</v>
      </c>
      <c r="AW129" s="535" t="s">
        <v>292</v>
      </c>
      <c r="AX129" s="535" t="s">
        <v>89</v>
      </c>
      <c r="AY129" s="535" t="s">
        <v>304</v>
      </c>
      <c r="AZ129" s="543" t="s">
        <v>305</v>
      </c>
      <c r="BA129" s="536">
        <v>160.3877065</v>
      </c>
      <c r="BB129" s="536">
        <v>46.74509476</v>
      </c>
      <c r="BC129" s="536">
        <v>397.7839562</v>
      </c>
      <c r="BD129" s="537" t="s">
        <v>202</v>
      </c>
      <c r="CE129" s="525"/>
    </row>
    <row r="130">
      <c r="A130" s="509"/>
      <c r="B130" s="526" t="s">
        <v>321</v>
      </c>
      <c r="C130" s="527" t="s">
        <v>289</v>
      </c>
      <c r="D130" s="527" t="s">
        <v>467</v>
      </c>
      <c r="E130" s="530">
        <v>2019.0</v>
      </c>
      <c r="F130" s="527" t="s">
        <v>291</v>
      </c>
      <c r="G130" s="527" t="s">
        <v>89</v>
      </c>
      <c r="H130" s="532">
        <v>65478.70962</v>
      </c>
      <c r="I130" s="532">
        <v>72289.5128</v>
      </c>
      <c r="J130" s="533">
        <v>58505.42296</v>
      </c>
      <c r="K130" s="516"/>
      <c r="L130" s="534" t="s">
        <v>292</v>
      </c>
      <c r="M130" s="535" t="s">
        <v>420</v>
      </c>
      <c r="N130" s="535" t="s">
        <v>294</v>
      </c>
      <c r="O130" s="535" t="s">
        <v>319</v>
      </c>
      <c r="P130" s="535" t="s">
        <v>296</v>
      </c>
      <c r="Q130" s="535" t="s">
        <v>89</v>
      </c>
      <c r="R130" s="535">
        <v>2019.0</v>
      </c>
      <c r="S130" s="536">
        <v>33.1225744760302</v>
      </c>
      <c r="T130" s="536">
        <v>79.87864656</v>
      </c>
      <c r="U130" s="537">
        <v>10.098510104177</v>
      </c>
      <c r="AS130" s="534" t="s">
        <v>296</v>
      </c>
      <c r="AT130" s="535" t="s">
        <v>294</v>
      </c>
      <c r="AU130" s="535" t="s">
        <v>325</v>
      </c>
      <c r="AV130" s="535" t="s">
        <v>29</v>
      </c>
      <c r="AW130" s="535" t="s">
        <v>292</v>
      </c>
      <c r="AX130" s="535" t="s">
        <v>89</v>
      </c>
      <c r="AY130" s="535" t="s">
        <v>304</v>
      </c>
      <c r="AZ130" s="543" t="s">
        <v>305</v>
      </c>
      <c r="BA130" s="536">
        <v>921.5288306</v>
      </c>
      <c r="BB130" s="536">
        <v>272.5376296</v>
      </c>
      <c r="BC130" s="536">
        <v>2144.98789</v>
      </c>
      <c r="BD130" s="537" t="s">
        <v>202</v>
      </c>
      <c r="CE130" s="525"/>
    </row>
    <row r="131">
      <c r="A131" s="509"/>
      <c r="B131" s="544" t="s">
        <v>321</v>
      </c>
      <c r="C131" s="545" t="s">
        <v>289</v>
      </c>
      <c r="D131" s="545" t="s">
        <v>473</v>
      </c>
      <c r="E131" s="546">
        <v>2019.0</v>
      </c>
      <c r="F131" s="545" t="s">
        <v>291</v>
      </c>
      <c r="G131" s="545" t="s">
        <v>89</v>
      </c>
      <c r="H131" s="547">
        <v>101098.0395</v>
      </c>
      <c r="I131" s="547">
        <v>111616.3338</v>
      </c>
      <c r="J131" s="548">
        <v>90327.9633</v>
      </c>
      <c r="K131" s="516"/>
      <c r="L131" s="534" t="s">
        <v>292</v>
      </c>
      <c r="M131" s="535" t="s">
        <v>420</v>
      </c>
      <c r="N131" s="535" t="s">
        <v>294</v>
      </c>
      <c r="O131" s="535" t="s">
        <v>327</v>
      </c>
      <c r="P131" s="535" t="s">
        <v>296</v>
      </c>
      <c r="Q131" s="535" t="s">
        <v>89</v>
      </c>
      <c r="R131" s="535">
        <v>2019.0</v>
      </c>
      <c r="S131" s="536">
        <v>169.754949290864</v>
      </c>
      <c r="T131" s="536">
        <v>490.036850691613</v>
      </c>
      <c r="U131" s="537">
        <v>39.3135951083298</v>
      </c>
      <c r="AS131" s="534" t="s">
        <v>296</v>
      </c>
      <c r="AT131" s="535" t="s">
        <v>294</v>
      </c>
      <c r="AU131" s="535" t="s">
        <v>332</v>
      </c>
      <c r="AV131" s="535" t="s">
        <v>29</v>
      </c>
      <c r="AW131" s="535" t="s">
        <v>292</v>
      </c>
      <c r="AX131" s="535" t="s">
        <v>89</v>
      </c>
      <c r="AY131" s="535" t="s">
        <v>304</v>
      </c>
      <c r="AZ131" s="543" t="s">
        <v>305</v>
      </c>
      <c r="BA131" s="536">
        <v>6892.924992</v>
      </c>
      <c r="BB131" s="536">
        <v>2360.493888</v>
      </c>
      <c r="BC131" s="536">
        <v>14088.24864</v>
      </c>
      <c r="BD131" s="537" t="s">
        <v>202</v>
      </c>
      <c r="CE131" s="525"/>
    </row>
    <row r="132">
      <c r="A132" s="509"/>
      <c r="B132" s="526" t="s">
        <v>321</v>
      </c>
      <c r="C132" s="527" t="s">
        <v>289</v>
      </c>
      <c r="D132" s="527" t="s">
        <v>477</v>
      </c>
      <c r="E132" s="530">
        <v>2019.0</v>
      </c>
      <c r="F132" s="527" t="s">
        <v>291</v>
      </c>
      <c r="G132" s="527" t="s">
        <v>89</v>
      </c>
      <c r="H132" s="532">
        <v>56783.26677</v>
      </c>
      <c r="I132" s="532">
        <v>62689.6088</v>
      </c>
      <c r="J132" s="533">
        <v>50736.01876</v>
      </c>
      <c r="K132" s="516"/>
      <c r="L132" s="534" t="s">
        <v>292</v>
      </c>
      <c r="M132" s="535" t="s">
        <v>420</v>
      </c>
      <c r="N132" s="535" t="s">
        <v>294</v>
      </c>
      <c r="O132" s="535" t="s">
        <v>335</v>
      </c>
      <c r="P132" s="535" t="s">
        <v>296</v>
      </c>
      <c r="Q132" s="535" t="s">
        <v>89</v>
      </c>
      <c r="R132" s="535">
        <v>2019.0</v>
      </c>
      <c r="S132" s="536">
        <v>4031.16001986794</v>
      </c>
      <c r="T132" s="536">
        <v>10115.5843733322</v>
      </c>
      <c r="U132" s="537">
        <v>1078.41030852685</v>
      </c>
      <c r="AS132" s="534" t="s">
        <v>296</v>
      </c>
      <c r="AT132" s="535" t="s">
        <v>294</v>
      </c>
      <c r="AU132" s="535" t="s">
        <v>302</v>
      </c>
      <c r="AV132" s="535" t="s">
        <v>471</v>
      </c>
      <c r="AW132" s="535" t="s">
        <v>292</v>
      </c>
      <c r="AX132" s="535" t="s">
        <v>89</v>
      </c>
      <c r="AY132" s="535" t="s">
        <v>304</v>
      </c>
      <c r="AZ132" s="543" t="s">
        <v>305</v>
      </c>
      <c r="BA132" s="536">
        <v>1840.581355</v>
      </c>
      <c r="BB132" s="536">
        <v>818.6145486</v>
      </c>
      <c r="BC132" s="536">
        <v>3074.035392</v>
      </c>
      <c r="BD132" s="537" t="s">
        <v>202</v>
      </c>
      <c r="CE132" s="525"/>
    </row>
    <row r="133">
      <c r="A133" s="509"/>
      <c r="B133" s="544" t="s">
        <v>321</v>
      </c>
      <c r="C133" s="545" t="s">
        <v>289</v>
      </c>
      <c r="D133" s="545" t="s">
        <v>483</v>
      </c>
      <c r="E133" s="546">
        <v>2019.0</v>
      </c>
      <c r="F133" s="545" t="s">
        <v>291</v>
      </c>
      <c r="G133" s="545" t="s">
        <v>89</v>
      </c>
      <c r="H133" s="547">
        <v>35619.22209</v>
      </c>
      <c r="I133" s="547">
        <v>39324.17463</v>
      </c>
      <c r="J133" s="548">
        <v>31825.88151</v>
      </c>
      <c r="K133" s="516"/>
      <c r="L133" s="534" t="s">
        <v>292</v>
      </c>
      <c r="M133" s="535" t="s">
        <v>420</v>
      </c>
      <c r="N133" s="535" t="s">
        <v>294</v>
      </c>
      <c r="O133" s="535" t="s">
        <v>300</v>
      </c>
      <c r="P133" s="535" t="s">
        <v>296</v>
      </c>
      <c r="Q133" s="535" t="s">
        <v>89</v>
      </c>
      <c r="R133" s="535">
        <v>2019.0</v>
      </c>
      <c r="S133" s="536">
        <v>1933.81780568927</v>
      </c>
      <c r="T133" s="536">
        <v>4683.05313138489</v>
      </c>
      <c r="U133" s="537">
        <v>514.532779</v>
      </c>
      <c r="AS133" s="534" t="s">
        <v>296</v>
      </c>
      <c r="AT133" s="535" t="s">
        <v>294</v>
      </c>
      <c r="AU133" s="535" t="s">
        <v>315</v>
      </c>
      <c r="AV133" s="535" t="s">
        <v>471</v>
      </c>
      <c r="AW133" s="535" t="s">
        <v>292</v>
      </c>
      <c r="AX133" s="535" t="s">
        <v>89</v>
      </c>
      <c r="AY133" s="535" t="s">
        <v>304</v>
      </c>
      <c r="AZ133" s="543" t="s">
        <v>305</v>
      </c>
      <c r="BA133" s="536">
        <v>115.6998445</v>
      </c>
      <c r="BB133" s="536">
        <v>38.41707413</v>
      </c>
      <c r="BC133" s="536">
        <v>233.7842526</v>
      </c>
      <c r="BD133" s="537" t="s">
        <v>202</v>
      </c>
      <c r="CE133" s="525"/>
    </row>
    <row r="134">
      <c r="A134" s="509"/>
      <c r="B134" s="526" t="s">
        <v>321</v>
      </c>
      <c r="C134" s="527" t="s">
        <v>289</v>
      </c>
      <c r="D134" s="527" t="s">
        <v>489</v>
      </c>
      <c r="E134" s="530">
        <v>2019.0</v>
      </c>
      <c r="F134" s="527" t="s">
        <v>291</v>
      </c>
      <c r="G134" s="527" t="s">
        <v>89</v>
      </c>
      <c r="H134" s="532">
        <v>21164.06725</v>
      </c>
      <c r="I134" s="532">
        <v>23365.98818</v>
      </c>
      <c r="J134" s="533">
        <v>18909.4378</v>
      </c>
      <c r="K134" s="516"/>
      <c r="L134" s="534" t="s">
        <v>292</v>
      </c>
      <c r="M134" s="535" t="s">
        <v>383</v>
      </c>
      <c r="N134" s="535" t="s">
        <v>294</v>
      </c>
      <c r="O134" s="535" t="s">
        <v>295</v>
      </c>
      <c r="P134" s="535" t="s">
        <v>296</v>
      </c>
      <c r="Q134" s="535" t="s">
        <v>89</v>
      </c>
      <c r="R134" s="535">
        <v>2019.0</v>
      </c>
      <c r="S134" s="536">
        <v>13.5177500180579</v>
      </c>
      <c r="T134" s="536">
        <v>101.786580333121</v>
      </c>
      <c r="U134" s="537">
        <v>0.105914006396142</v>
      </c>
      <c r="AS134" s="534" t="s">
        <v>296</v>
      </c>
      <c r="AT134" s="535" t="s">
        <v>294</v>
      </c>
      <c r="AU134" s="535" t="s">
        <v>325</v>
      </c>
      <c r="AV134" s="535" t="s">
        <v>471</v>
      </c>
      <c r="AW134" s="535" t="s">
        <v>292</v>
      </c>
      <c r="AX134" s="535" t="s">
        <v>89</v>
      </c>
      <c r="AY134" s="535" t="s">
        <v>304</v>
      </c>
      <c r="AZ134" s="543" t="s">
        <v>305</v>
      </c>
      <c r="BA134" s="536">
        <v>595.4616797</v>
      </c>
      <c r="BB134" s="536">
        <v>207.9183139</v>
      </c>
      <c r="BC134" s="536">
        <v>1124.619783</v>
      </c>
      <c r="BD134" s="537" t="s">
        <v>202</v>
      </c>
      <c r="CE134" s="525"/>
    </row>
    <row r="135">
      <c r="A135" s="509"/>
      <c r="B135" s="544" t="s">
        <v>321</v>
      </c>
      <c r="C135" s="545" t="s">
        <v>289</v>
      </c>
      <c r="D135" s="545" t="s">
        <v>493</v>
      </c>
      <c r="E135" s="546">
        <v>2019.0</v>
      </c>
      <c r="F135" s="545" t="s">
        <v>291</v>
      </c>
      <c r="G135" s="545" t="s">
        <v>89</v>
      </c>
      <c r="H135" s="547">
        <v>15007.8775</v>
      </c>
      <c r="I135" s="547">
        <v>16568.92994</v>
      </c>
      <c r="J135" s="548">
        <v>13409.58345</v>
      </c>
      <c r="K135" s="516"/>
      <c r="L135" s="534" t="s">
        <v>292</v>
      </c>
      <c r="M135" s="535" t="s">
        <v>383</v>
      </c>
      <c r="N135" s="535" t="s">
        <v>294</v>
      </c>
      <c r="O135" s="535" t="s">
        <v>311</v>
      </c>
      <c r="P135" s="535" t="s">
        <v>296</v>
      </c>
      <c r="Q135" s="535" t="s">
        <v>89</v>
      </c>
      <c r="R135" s="535">
        <v>2019.0</v>
      </c>
      <c r="S135" s="536">
        <v>0.0</v>
      </c>
      <c r="T135" s="536">
        <v>0.0</v>
      </c>
      <c r="U135" s="537">
        <v>0.0</v>
      </c>
      <c r="AS135" s="534" t="s">
        <v>296</v>
      </c>
      <c r="AT135" s="535" t="s">
        <v>294</v>
      </c>
      <c r="AU135" s="535" t="s">
        <v>332</v>
      </c>
      <c r="AV135" s="535" t="s">
        <v>471</v>
      </c>
      <c r="AW135" s="535" t="s">
        <v>292</v>
      </c>
      <c r="AX135" s="535" t="s">
        <v>89</v>
      </c>
      <c r="AY135" s="535" t="s">
        <v>304</v>
      </c>
      <c r="AZ135" s="543" t="s">
        <v>305</v>
      </c>
      <c r="BA135" s="536">
        <v>4404.16386</v>
      </c>
      <c r="BB135" s="536">
        <v>1687.428916</v>
      </c>
      <c r="BC135" s="536">
        <v>7959.218619</v>
      </c>
      <c r="BD135" s="537" t="s">
        <v>202</v>
      </c>
      <c r="CE135" s="525"/>
    </row>
    <row r="136">
      <c r="A136" s="509"/>
      <c r="B136" s="526" t="s">
        <v>321</v>
      </c>
      <c r="C136" s="527" t="s">
        <v>289</v>
      </c>
      <c r="D136" s="527" t="s">
        <v>496</v>
      </c>
      <c r="E136" s="530">
        <v>2019.0</v>
      </c>
      <c r="F136" s="527" t="s">
        <v>291</v>
      </c>
      <c r="G136" s="527" t="s">
        <v>89</v>
      </c>
      <c r="H136" s="532">
        <v>4959.737911</v>
      </c>
      <c r="I136" s="532">
        <v>5475.627717</v>
      </c>
      <c r="J136" s="533">
        <v>4431.540664</v>
      </c>
      <c r="K136" s="516"/>
      <c r="L136" s="534" t="s">
        <v>292</v>
      </c>
      <c r="M136" s="535" t="s">
        <v>383</v>
      </c>
      <c r="N136" s="535" t="s">
        <v>294</v>
      </c>
      <c r="O136" s="535" t="s">
        <v>319</v>
      </c>
      <c r="P136" s="535" t="s">
        <v>296</v>
      </c>
      <c r="Q136" s="535" t="s">
        <v>89</v>
      </c>
      <c r="R136" s="535">
        <v>2019.0</v>
      </c>
      <c r="S136" s="536">
        <v>0.2267909784385</v>
      </c>
      <c r="T136" s="536">
        <v>1.71036771618376</v>
      </c>
      <c r="U136" s="537">
        <v>0.001664914</v>
      </c>
      <c r="AS136" s="534" t="s">
        <v>296</v>
      </c>
      <c r="AT136" s="535" t="s">
        <v>294</v>
      </c>
      <c r="AU136" s="535" t="s">
        <v>302</v>
      </c>
      <c r="AV136" s="535" t="s">
        <v>30</v>
      </c>
      <c r="AW136" s="535" t="s">
        <v>292</v>
      </c>
      <c r="AX136" s="535" t="s">
        <v>89</v>
      </c>
      <c r="AY136" s="535" t="s">
        <v>304</v>
      </c>
      <c r="AZ136" s="543" t="s">
        <v>305</v>
      </c>
      <c r="BA136" s="536">
        <v>4918.708785</v>
      </c>
      <c r="BB136" s="536">
        <v>1101.736617</v>
      </c>
      <c r="BC136" s="536">
        <v>12435.46782</v>
      </c>
      <c r="BD136" s="537" t="s">
        <v>202</v>
      </c>
      <c r="CE136" s="525"/>
    </row>
    <row r="137">
      <c r="A137" s="509"/>
      <c r="B137" s="544" t="s">
        <v>321</v>
      </c>
      <c r="C137" s="545" t="s">
        <v>289</v>
      </c>
      <c r="D137" s="545" t="s">
        <v>502</v>
      </c>
      <c r="E137" s="546">
        <v>2019.0</v>
      </c>
      <c r="F137" s="545" t="s">
        <v>291</v>
      </c>
      <c r="G137" s="545" t="s">
        <v>89</v>
      </c>
      <c r="H137" s="547">
        <v>1196.429276</v>
      </c>
      <c r="I137" s="547">
        <v>1320.876511</v>
      </c>
      <c r="J137" s="548">
        <v>1069.013138</v>
      </c>
      <c r="K137" s="516"/>
      <c r="L137" s="534" t="s">
        <v>292</v>
      </c>
      <c r="M137" s="535" t="s">
        <v>383</v>
      </c>
      <c r="N137" s="535" t="s">
        <v>294</v>
      </c>
      <c r="O137" s="535" t="s">
        <v>327</v>
      </c>
      <c r="P137" s="535" t="s">
        <v>296</v>
      </c>
      <c r="Q137" s="535" t="s">
        <v>89</v>
      </c>
      <c r="R137" s="535">
        <v>2019.0</v>
      </c>
      <c r="S137" s="536">
        <v>4.46365719294936</v>
      </c>
      <c r="T137" s="536">
        <v>34.5607535934131</v>
      </c>
      <c r="U137" s="537">
        <v>0.033317533</v>
      </c>
      <c r="AS137" s="534" t="s">
        <v>296</v>
      </c>
      <c r="AT137" s="535" t="s">
        <v>294</v>
      </c>
      <c r="AU137" s="535" t="s">
        <v>315</v>
      </c>
      <c r="AV137" s="535" t="s">
        <v>30</v>
      </c>
      <c r="AW137" s="535" t="s">
        <v>292</v>
      </c>
      <c r="AX137" s="535" t="s">
        <v>89</v>
      </c>
      <c r="AY137" s="535" t="s">
        <v>304</v>
      </c>
      <c r="AZ137" s="543" t="s">
        <v>305</v>
      </c>
      <c r="BA137" s="536">
        <v>107.7832724</v>
      </c>
      <c r="BB137" s="536">
        <v>21.37158319</v>
      </c>
      <c r="BC137" s="536">
        <v>333.3782659</v>
      </c>
      <c r="BD137" s="537" t="s">
        <v>202</v>
      </c>
      <c r="CE137" s="525"/>
    </row>
    <row r="138">
      <c r="A138" s="509"/>
      <c r="B138" s="526" t="s">
        <v>321</v>
      </c>
      <c r="C138" s="527" t="s">
        <v>289</v>
      </c>
      <c r="D138" s="527" t="s">
        <v>332</v>
      </c>
      <c r="E138" s="530">
        <v>2019.0</v>
      </c>
      <c r="F138" s="527" t="s">
        <v>291</v>
      </c>
      <c r="G138" s="527" t="s">
        <v>89</v>
      </c>
      <c r="H138" s="532">
        <v>1.266575105E7</v>
      </c>
      <c r="I138" s="532">
        <v>1.398318596E7</v>
      </c>
      <c r="J138" s="533">
        <v>1.131688646E7</v>
      </c>
      <c r="K138" s="516"/>
      <c r="L138" s="534" t="s">
        <v>292</v>
      </c>
      <c r="M138" s="535" t="s">
        <v>383</v>
      </c>
      <c r="N138" s="535" t="s">
        <v>294</v>
      </c>
      <c r="O138" s="535" t="s">
        <v>335</v>
      </c>
      <c r="P138" s="535" t="s">
        <v>296</v>
      </c>
      <c r="Q138" s="535" t="s">
        <v>89</v>
      </c>
      <c r="R138" s="535">
        <v>2019.0</v>
      </c>
      <c r="S138" s="536">
        <v>96.64432689</v>
      </c>
      <c r="T138" s="536">
        <v>696.341596815776</v>
      </c>
      <c r="U138" s="537">
        <v>0.813290392165116</v>
      </c>
      <c r="AS138" s="534" t="s">
        <v>296</v>
      </c>
      <c r="AT138" s="535" t="s">
        <v>294</v>
      </c>
      <c r="AU138" s="535" t="s">
        <v>325</v>
      </c>
      <c r="AV138" s="535" t="s">
        <v>30</v>
      </c>
      <c r="AW138" s="535" t="s">
        <v>292</v>
      </c>
      <c r="AX138" s="535" t="s">
        <v>89</v>
      </c>
      <c r="AY138" s="535" t="s">
        <v>304</v>
      </c>
      <c r="AZ138" s="543" t="s">
        <v>305</v>
      </c>
      <c r="BA138" s="536">
        <v>726.8852489</v>
      </c>
      <c r="BB138" s="536">
        <v>140.3830541</v>
      </c>
      <c r="BC138" s="536">
        <v>2135.154908</v>
      </c>
      <c r="BD138" s="537" t="s">
        <v>202</v>
      </c>
      <c r="CE138" s="525"/>
    </row>
    <row r="139">
      <c r="A139" s="509"/>
      <c r="B139" s="544" t="s">
        <v>321</v>
      </c>
      <c r="C139" s="545" t="s">
        <v>289</v>
      </c>
      <c r="D139" s="545" t="s">
        <v>510</v>
      </c>
      <c r="E139" s="546">
        <v>2019.0</v>
      </c>
      <c r="F139" s="545" t="s">
        <v>291</v>
      </c>
      <c r="G139" s="545" t="s">
        <v>89</v>
      </c>
      <c r="H139" s="547">
        <v>505196.8547</v>
      </c>
      <c r="I139" s="547">
        <v>541240.2668</v>
      </c>
      <c r="J139" s="548">
        <v>474769.8925</v>
      </c>
      <c r="K139" s="516"/>
      <c r="L139" s="534" t="s">
        <v>292</v>
      </c>
      <c r="M139" s="535" t="s">
        <v>383</v>
      </c>
      <c r="N139" s="535" t="s">
        <v>294</v>
      </c>
      <c r="O139" s="535" t="s">
        <v>300</v>
      </c>
      <c r="P139" s="535" t="s">
        <v>296</v>
      </c>
      <c r="Q139" s="535" t="s">
        <v>89</v>
      </c>
      <c r="R139" s="535">
        <v>2019.0</v>
      </c>
      <c r="S139" s="536">
        <v>4.66245818692236</v>
      </c>
      <c r="T139" s="536">
        <v>33.537012034738</v>
      </c>
      <c r="U139" s="537">
        <v>0.0405737109957188</v>
      </c>
      <c r="AS139" s="534" t="s">
        <v>296</v>
      </c>
      <c r="AT139" s="535" t="s">
        <v>294</v>
      </c>
      <c r="AU139" s="535" t="s">
        <v>332</v>
      </c>
      <c r="AV139" s="535" t="s">
        <v>30</v>
      </c>
      <c r="AW139" s="535" t="s">
        <v>292</v>
      </c>
      <c r="AX139" s="535" t="s">
        <v>89</v>
      </c>
      <c r="AY139" s="535" t="s">
        <v>304</v>
      </c>
      <c r="AZ139" s="543" t="s">
        <v>305</v>
      </c>
      <c r="BA139" s="536">
        <v>6247.24128</v>
      </c>
      <c r="BB139" s="536">
        <v>1406.036475</v>
      </c>
      <c r="BC139" s="536">
        <v>15962.61487</v>
      </c>
      <c r="BD139" s="537" t="s">
        <v>202</v>
      </c>
      <c r="CE139" s="525"/>
    </row>
    <row r="140">
      <c r="A140" s="509"/>
      <c r="B140" s="526" t="s">
        <v>321</v>
      </c>
      <c r="C140" s="527" t="s">
        <v>289</v>
      </c>
      <c r="D140" s="527" t="s">
        <v>512</v>
      </c>
      <c r="E140" s="530">
        <v>2019.0</v>
      </c>
      <c r="F140" s="527" t="s">
        <v>291</v>
      </c>
      <c r="G140" s="527" t="s">
        <v>89</v>
      </c>
      <c r="H140" s="532">
        <v>9573.216128</v>
      </c>
      <c r="I140" s="532">
        <v>10568.97935</v>
      </c>
      <c r="J140" s="533">
        <v>8553.697254</v>
      </c>
      <c r="K140" s="516"/>
      <c r="L140" s="534" t="s">
        <v>292</v>
      </c>
      <c r="M140" s="535" t="s">
        <v>479</v>
      </c>
      <c r="N140" s="535" t="s">
        <v>294</v>
      </c>
      <c r="O140" s="535" t="s">
        <v>295</v>
      </c>
      <c r="P140" s="535" t="s">
        <v>296</v>
      </c>
      <c r="Q140" s="535" t="s">
        <v>89</v>
      </c>
      <c r="R140" s="535">
        <v>2019.0</v>
      </c>
      <c r="S140" s="536">
        <v>68.5875251906944</v>
      </c>
      <c r="T140" s="536">
        <v>309.36441448861</v>
      </c>
      <c r="U140" s="537">
        <v>3.64325324795678</v>
      </c>
      <c r="AS140" s="534" t="s">
        <v>296</v>
      </c>
      <c r="AT140" s="535" t="s">
        <v>294</v>
      </c>
      <c r="AU140" s="535" t="s">
        <v>302</v>
      </c>
      <c r="AV140" s="535" t="s">
        <v>482</v>
      </c>
      <c r="AW140" s="535" t="s">
        <v>292</v>
      </c>
      <c r="AX140" s="535" t="s">
        <v>89</v>
      </c>
      <c r="AY140" s="535" t="s">
        <v>304</v>
      </c>
      <c r="AZ140" s="543" t="s">
        <v>305</v>
      </c>
      <c r="BA140" s="536">
        <v>4628.524144</v>
      </c>
      <c r="BB140" s="536">
        <v>1410.445897</v>
      </c>
      <c r="BC140" s="536">
        <v>9227.867753</v>
      </c>
      <c r="BD140" s="537" t="s">
        <v>202</v>
      </c>
      <c r="CE140" s="525"/>
    </row>
    <row r="141">
      <c r="A141" s="509"/>
      <c r="B141" s="544" t="s">
        <v>321</v>
      </c>
      <c r="C141" s="545" t="s">
        <v>289</v>
      </c>
      <c r="D141" s="545" t="s">
        <v>515</v>
      </c>
      <c r="E141" s="546">
        <v>2019.0</v>
      </c>
      <c r="F141" s="545" t="s">
        <v>291</v>
      </c>
      <c r="G141" s="545" t="s">
        <v>89</v>
      </c>
      <c r="H141" s="547">
        <v>28243.92889</v>
      </c>
      <c r="I141" s="547">
        <v>31181.73633</v>
      </c>
      <c r="J141" s="548">
        <v>25236.03497</v>
      </c>
      <c r="K141" s="516"/>
      <c r="L141" s="534" t="s">
        <v>292</v>
      </c>
      <c r="M141" s="535" t="s">
        <v>479</v>
      </c>
      <c r="N141" s="535" t="s">
        <v>294</v>
      </c>
      <c r="O141" s="535" t="s">
        <v>311</v>
      </c>
      <c r="P141" s="535" t="s">
        <v>296</v>
      </c>
      <c r="Q141" s="535" t="s">
        <v>89</v>
      </c>
      <c r="R141" s="535">
        <v>2019.0</v>
      </c>
      <c r="S141" s="536">
        <v>0.0</v>
      </c>
      <c r="T141" s="536">
        <v>0.0</v>
      </c>
      <c r="U141" s="537">
        <v>0.0</v>
      </c>
      <c r="AS141" s="534" t="s">
        <v>296</v>
      </c>
      <c r="AT141" s="535" t="s">
        <v>294</v>
      </c>
      <c r="AU141" s="535" t="s">
        <v>315</v>
      </c>
      <c r="AV141" s="535" t="s">
        <v>482</v>
      </c>
      <c r="AW141" s="535" t="s">
        <v>292</v>
      </c>
      <c r="AX141" s="535" t="s">
        <v>89</v>
      </c>
      <c r="AY141" s="535" t="s">
        <v>304</v>
      </c>
      <c r="AZ141" s="543" t="s">
        <v>305</v>
      </c>
      <c r="BA141" s="536">
        <v>152.7644579</v>
      </c>
      <c r="BB141" s="536">
        <v>38.80496827</v>
      </c>
      <c r="BC141" s="536">
        <v>349.5562811</v>
      </c>
      <c r="BD141" s="537" t="s">
        <v>202</v>
      </c>
      <c r="CE141" s="525"/>
    </row>
    <row r="142">
      <c r="A142" s="509"/>
      <c r="B142" s="526" t="s">
        <v>321</v>
      </c>
      <c r="C142" s="527" t="s">
        <v>289</v>
      </c>
      <c r="D142" s="527" t="s">
        <v>518</v>
      </c>
      <c r="E142" s="530">
        <v>2019.0</v>
      </c>
      <c r="F142" s="527" t="s">
        <v>291</v>
      </c>
      <c r="G142" s="527" t="s">
        <v>89</v>
      </c>
      <c r="H142" s="532">
        <v>37817.14501</v>
      </c>
      <c r="I142" s="532">
        <v>41750.71568</v>
      </c>
      <c r="J142" s="533">
        <v>33789.73222</v>
      </c>
      <c r="K142" s="516"/>
      <c r="L142" s="534" t="s">
        <v>292</v>
      </c>
      <c r="M142" s="535" t="s">
        <v>479</v>
      </c>
      <c r="N142" s="535" t="s">
        <v>294</v>
      </c>
      <c r="O142" s="535" t="s">
        <v>319</v>
      </c>
      <c r="P142" s="535" t="s">
        <v>296</v>
      </c>
      <c r="Q142" s="535" t="s">
        <v>89</v>
      </c>
      <c r="R142" s="535">
        <v>2019.0</v>
      </c>
      <c r="S142" s="536">
        <v>0.385998114</v>
      </c>
      <c r="T142" s="536">
        <v>2.38962253784971</v>
      </c>
      <c r="U142" s="537">
        <v>0.0128727198714687</v>
      </c>
      <c r="AS142" s="534" t="s">
        <v>296</v>
      </c>
      <c r="AT142" s="535" t="s">
        <v>294</v>
      </c>
      <c r="AU142" s="535" t="s">
        <v>325</v>
      </c>
      <c r="AV142" s="535" t="s">
        <v>482</v>
      </c>
      <c r="AW142" s="535" t="s">
        <v>292</v>
      </c>
      <c r="AX142" s="535" t="s">
        <v>89</v>
      </c>
      <c r="AY142" s="535" t="s">
        <v>304</v>
      </c>
      <c r="AZ142" s="543" t="s">
        <v>305</v>
      </c>
      <c r="BA142" s="536">
        <v>895.1814513</v>
      </c>
      <c r="BB142" s="536">
        <v>212.294758</v>
      </c>
      <c r="BC142" s="536">
        <v>2003.728588</v>
      </c>
      <c r="BD142" s="537" t="s">
        <v>202</v>
      </c>
      <c r="CE142" s="525"/>
    </row>
    <row r="143">
      <c r="A143" s="509"/>
      <c r="B143" s="544" t="s">
        <v>321</v>
      </c>
      <c r="C143" s="545" t="s">
        <v>289</v>
      </c>
      <c r="D143" s="545" t="s">
        <v>522</v>
      </c>
      <c r="E143" s="546">
        <v>2019.0</v>
      </c>
      <c r="F143" s="545" t="s">
        <v>291</v>
      </c>
      <c r="G143" s="545" t="s">
        <v>89</v>
      </c>
      <c r="H143" s="547">
        <v>440265.0889</v>
      </c>
      <c r="I143" s="547">
        <v>486059.4989</v>
      </c>
      <c r="J143" s="548">
        <v>393378.1743</v>
      </c>
      <c r="K143" s="516"/>
      <c r="L143" s="534" t="s">
        <v>292</v>
      </c>
      <c r="M143" s="535" t="s">
        <v>479</v>
      </c>
      <c r="N143" s="535" t="s">
        <v>294</v>
      </c>
      <c r="O143" s="535" t="s">
        <v>327</v>
      </c>
      <c r="P143" s="535" t="s">
        <v>296</v>
      </c>
      <c r="Q143" s="535" t="s">
        <v>89</v>
      </c>
      <c r="R143" s="535">
        <v>2019.0</v>
      </c>
      <c r="S143" s="536">
        <v>14.6938328908024</v>
      </c>
      <c r="T143" s="536">
        <v>88.12945</v>
      </c>
      <c r="U143" s="537">
        <v>0.572902848657251</v>
      </c>
      <c r="AS143" s="534" t="s">
        <v>296</v>
      </c>
      <c r="AT143" s="535" t="s">
        <v>294</v>
      </c>
      <c r="AU143" s="535" t="s">
        <v>332</v>
      </c>
      <c r="AV143" s="535" t="s">
        <v>482</v>
      </c>
      <c r="AW143" s="535" t="s">
        <v>292</v>
      </c>
      <c r="AX143" s="535" t="s">
        <v>89</v>
      </c>
      <c r="AY143" s="535" t="s">
        <v>304</v>
      </c>
      <c r="AZ143" s="543" t="s">
        <v>305</v>
      </c>
      <c r="BA143" s="536">
        <v>7176.505989</v>
      </c>
      <c r="BB143" s="536">
        <v>2045.66142</v>
      </c>
      <c r="BC143" s="536">
        <v>14318.28448</v>
      </c>
      <c r="BD143" s="537" t="s">
        <v>202</v>
      </c>
      <c r="CE143" s="525"/>
    </row>
    <row r="144">
      <c r="A144" s="509"/>
      <c r="B144" s="526" t="s">
        <v>321</v>
      </c>
      <c r="C144" s="527" t="s">
        <v>289</v>
      </c>
      <c r="D144" s="527" t="s">
        <v>302</v>
      </c>
      <c r="E144" s="530">
        <v>2019.0</v>
      </c>
      <c r="F144" s="527" t="s">
        <v>291</v>
      </c>
      <c r="G144" s="527" t="s">
        <v>89</v>
      </c>
      <c r="H144" s="532">
        <v>2228054.458</v>
      </c>
      <c r="I144" s="532">
        <v>2459806.74</v>
      </c>
      <c r="J144" s="533">
        <v>1990773.324</v>
      </c>
      <c r="K144" s="516"/>
      <c r="L144" s="534" t="s">
        <v>292</v>
      </c>
      <c r="M144" s="535" t="s">
        <v>479</v>
      </c>
      <c r="N144" s="535" t="s">
        <v>294</v>
      </c>
      <c r="O144" s="535" t="s">
        <v>335</v>
      </c>
      <c r="P144" s="535" t="s">
        <v>296</v>
      </c>
      <c r="Q144" s="535" t="s">
        <v>89</v>
      </c>
      <c r="R144" s="535">
        <v>2019.0</v>
      </c>
      <c r="S144" s="536">
        <v>192.318466165869</v>
      </c>
      <c r="T144" s="536">
        <v>1029.78047050697</v>
      </c>
      <c r="U144" s="537">
        <v>8.18494317571864</v>
      </c>
      <c r="AS144" s="534" t="s">
        <v>296</v>
      </c>
      <c r="AT144" s="535" t="s">
        <v>294</v>
      </c>
      <c r="AU144" s="535" t="s">
        <v>302</v>
      </c>
      <c r="AV144" s="535" t="s">
        <v>487</v>
      </c>
      <c r="AW144" s="535" t="s">
        <v>292</v>
      </c>
      <c r="AX144" s="535" t="s">
        <v>89</v>
      </c>
      <c r="AY144" s="535" t="s">
        <v>304</v>
      </c>
      <c r="AZ144" s="543" t="s">
        <v>305</v>
      </c>
      <c r="BA144" s="536">
        <v>1746.789189</v>
      </c>
      <c r="BB144" s="536">
        <v>345.6809632</v>
      </c>
      <c r="BC144" s="536">
        <v>4314.163568</v>
      </c>
      <c r="BD144" s="537" t="s">
        <v>202</v>
      </c>
      <c r="CE144" s="525"/>
    </row>
    <row r="145">
      <c r="A145" s="509"/>
      <c r="B145" s="544" t="s">
        <v>328</v>
      </c>
      <c r="C145" s="545" t="s">
        <v>289</v>
      </c>
      <c r="D145" s="545" t="s">
        <v>290</v>
      </c>
      <c r="E145" s="546">
        <v>2019.0</v>
      </c>
      <c r="F145" s="545" t="s">
        <v>291</v>
      </c>
      <c r="G145" s="545" t="s">
        <v>89</v>
      </c>
      <c r="H145" s="547">
        <v>13247.68706</v>
      </c>
      <c r="I145" s="547">
        <v>14322.31865</v>
      </c>
      <c r="J145" s="548">
        <v>12241.44409</v>
      </c>
      <c r="K145" s="516"/>
      <c r="L145" s="534" t="s">
        <v>292</v>
      </c>
      <c r="M145" s="535" t="s">
        <v>479</v>
      </c>
      <c r="N145" s="535" t="s">
        <v>294</v>
      </c>
      <c r="O145" s="535" t="s">
        <v>300</v>
      </c>
      <c r="P145" s="535" t="s">
        <v>296</v>
      </c>
      <c r="Q145" s="535" t="s">
        <v>89</v>
      </c>
      <c r="R145" s="535">
        <v>2019.0</v>
      </c>
      <c r="S145" s="536">
        <v>17.6641194406184</v>
      </c>
      <c r="T145" s="536">
        <v>88.7057270137793</v>
      </c>
      <c r="U145" s="537">
        <v>0.792264808818395</v>
      </c>
      <c r="AS145" s="534" t="s">
        <v>296</v>
      </c>
      <c r="AT145" s="535" t="s">
        <v>294</v>
      </c>
      <c r="AU145" s="535" t="s">
        <v>315</v>
      </c>
      <c r="AV145" s="535" t="s">
        <v>487</v>
      </c>
      <c r="AW145" s="535" t="s">
        <v>292</v>
      </c>
      <c r="AX145" s="535" t="s">
        <v>89</v>
      </c>
      <c r="AY145" s="535" t="s">
        <v>304</v>
      </c>
      <c r="AZ145" s="543" t="s">
        <v>305</v>
      </c>
      <c r="BA145" s="536">
        <v>43.67988172</v>
      </c>
      <c r="BB145" s="536">
        <v>7.205072605</v>
      </c>
      <c r="BC145" s="536">
        <v>128.9872724</v>
      </c>
      <c r="BD145" s="537" t="s">
        <v>202</v>
      </c>
      <c r="CE145" s="525"/>
    </row>
    <row r="146">
      <c r="A146" s="509"/>
      <c r="B146" s="526" t="s">
        <v>328</v>
      </c>
      <c r="C146" s="527" t="s">
        <v>289</v>
      </c>
      <c r="D146" s="527" t="s">
        <v>310</v>
      </c>
      <c r="E146" s="530">
        <v>2019.0</v>
      </c>
      <c r="F146" s="527" t="s">
        <v>291</v>
      </c>
      <c r="G146" s="527" t="s">
        <v>89</v>
      </c>
      <c r="H146" s="532">
        <v>264907.3281</v>
      </c>
      <c r="I146" s="532">
        <v>286396.195</v>
      </c>
      <c r="J146" s="533">
        <v>244785.9941</v>
      </c>
      <c r="K146" s="516"/>
      <c r="L146" s="534" t="s">
        <v>292</v>
      </c>
      <c r="M146" s="535" t="s">
        <v>447</v>
      </c>
      <c r="N146" s="535" t="s">
        <v>294</v>
      </c>
      <c r="O146" s="535" t="s">
        <v>295</v>
      </c>
      <c r="P146" s="535" t="s">
        <v>296</v>
      </c>
      <c r="Q146" s="535" t="s">
        <v>89</v>
      </c>
      <c r="R146" s="535">
        <v>2019.0</v>
      </c>
      <c r="S146" s="536">
        <v>1856.90595619097</v>
      </c>
      <c r="T146" s="536">
        <v>3311.93965315885</v>
      </c>
      <c r="U146" s="537">
        <v>809.942043020844</v>
      </c>
      <c r="AS146" s="534" t="s">
        <v>296</v>
      </c>
      <c r="AT146" s="535" t="s">
        <v>294</v>
      </c>
      <c r="AU146" s="535" t="s">
        <v>325</v>
      </c>
      <c r="AV146" s="535" t="s">
        <v>487</v>
      </c>
      <c r="AW146" s="535" t="s">
        <v>292</v>
      </c>
      <c r="AX146" s="535" t="s">
        <v>89</v>
      </c>
      <c r="AY146" s="535" t="s">
        <v>304</v>
      </c>
      <c r="AZ146" s="543" t="s">
        <v>305</v>
      </c>
      <c r="BA146" s="536">
        <v>270.1758594</v>
      </c>
      <c r="BB146" s="536">
        <v>48.18480415</v>
      </c>
      <c r="BC146" s="536">
        <v>785.7215092</v>
      </c>
      <c r="BD146" s="537" t="s">
        <v>202</v>
      </c>
      <c r="CE146" s="525"/>
    </row>
    <row r="147">
      <c r="A147" s="509"/>
      <c r="B147" s="544" t="s">
        <v>328</v>
      </c>
      <c r="C147" s="545" t="s">
        <v>289</v>
      </c>
      <c r="D147" s="545" t="s">
        <v>318</v>
      </c>
      <c r="E147" s="546">
        <v>2019.0</v>
      </c>
      <c r="F147" s="545" t="s">
        <v>291</v>
      </c>
      <c r="G147" s="545" t="s">
        <v>89</v>
      </c>
      <c r="H147" s="547">
        <v>194624.2938</v>
      </c>
      <c r="I147" s="547">
        <v>210411.9113</v>
      </c>
      <c r="J147" s="548">
        <v>179841.3867</v>
      </c>
      <c r="K147" s="516"/>
      <c r="L147" s="534" t="s">
        <v>292</v>
      </c>
      <c r="M147" s="535" t="s">
        <v>447</v>
      </c>
      <c r="N147" s="535" t="s">
        <v>294</v>
      </c>
      <c r="O147" s="535" t="s">
        <v>311</v>
      </c>
      <c r="P147" s="535" t="s">
        <v>296</v>
      </c>
      <c r="Q147" s="535" t="s">
        <v>89</v>
      </c>
      <c r="R147" s="535">
        <v>2019.0</v>
      </c>
      <c r="S147" s="536">
        <v>0.0</v>
      </c>
      <c r="T147" s="536">
        <v>0.0</v>
      </c>
      <c r="U147" s="537">
        <v>0.0</v>
      </c>
      <c r="AS147" s="534" t="s">
        <v>296</v>
      </c>
      <c r="AT147" s="535" t="s">
        <v>294</v>
      </c>
      <c r="AU147" s="535" t="s">
        <v>332</v>
      </c>
      <c r="AV147" s="535" t="s">
        <v>487</v>
      </c>
      <c r="AW147" s="535" t="s">
        <v>292</v>
      </c>
      <c r="AX147" s="535" t="s">
        <v>89</v>
      </c>
      <c r="AY147" s="535" t="s">
        <v>304</v>
      </c>
      <c r="AZ147" s="543" t="s">
        <v>305</v>
      </c>
      <c r="BA147" s="536">
        <v>2404.603151</v>
      </c>
      <c r="BB147" s="536">
        <v>470.2945137</v>
      </c>
      <c r="BC147" s="536">
        <v>5999.009854</v>
      </c>
      <c r="BD147" s="537" t="s">
        <v>202</v>
      </c>
      <c r="CE147" s="525"/>
    </row>
    <row r="148">
      <c r="A148" s="509"/>
      <c r="B148" s="526" t="s">
        <v>328</v>
      </c>
      <c r="C148" s="527" t="s">
        <v>289</v>
      </c>
      <c r="D148" s="527" t="s">
        <v>309</v>
      </c>
      <c r="E148" s="530">
        <v>2019.0</v>
      </c>
      <c r="F148" s="527" t="s">
        <v>291</v>
      </c>
      <c r="G148" s="527" t="s">
        <v>89</v>
      </c>
      <c r="H148" s="532">
        <v>52094.77265</v>
      </c>
      <c r="I148" s="532">
        <v>56320.6189</v>
      </c>
      <c r="J148" s="533">
        <v>48137.85561</v>
      </c>
      <c r="K148" s="516"/>
      <c r="L148" s="534" t="s">
        <v>292</v>
      </c>
      <c r="M148" s="535" t="s">
        <v>447</v>
      </c>
      <c r="N148" s="535" t="s">
        <v>294</v>
      </c>
      <c r="O148" s="535" t="s">
        <v>319</v>
      </c>
      <c r="P148" s="535" t="s">
        <v>296</v>
      </c>
      <c r="Q148" s="535" t="s">
        <v>89</v>
      </c>
      <c r="R148" s="535">
        <v>2019.0</v>
      </c>
      <c r="S148" s="536">
        <v>116.634613037481</v>
      </c>
      <c r="T148" s="536">
        <v>229.379343928578</v>
      </c>
      <c r="U148" s="537">
        <v>41.5178347329813</v>
      </c>
      <c r="AS148" s="534" t="s">
        <v>296</v>
      </c>
      <c r="AT148" s="535" t="s">
        <v>294</v>
      </c>
      <c r="AU148" s="535" t="s">
        <v>302</v>
      </c>
      <c r="AV148" s="535" t="s">
        <v>491</v>
      </c>
      <c r="AW148" s="535" t="s">
        <v>292</v>
      </c>
      <c r="AX148" s="535" t="s">
        <v>89</v>
      </c>
      <c r="AY148" s="535" t="s">
        <v>304</v>
      </c>
      <c r="AZ148" s="543" t="s">
        <v>305</v>
      </c>
      <c r="BA148" s="536">
        <v>2641.848117</v>
      </c>
      <c r="BB148" s="536">
        <v>519.962762</v>
      </c>
      <c r="BC148" s="536">
        <v>5982.264257</v>
      </c>
      <c r="BD148" s="537" t="s">
        <v>202</v>
      </c>
      <c r="CE148" s="525"/>
    </row>
    <row r="149">
      <c r="A149" s="509"/>
      <c r="B149" s="544" t="s">
        <v>328</v>
      </c>
      <c r="C149" s="545" t="s">
        <v>289</v>
      </c>
      <c r="D149" s="545" t="s">
        <v>334</v>
      </c>
      <c r="E149" s="546">
        <v>2019.0</v>
      </c>
      <c r="F149" s="545" t="s">
        <v>291</v>
      </c>
      <c r="G149" s="545" t="s">
        <v>89</v>
      </c>
      <c r="H149" s="547">
        <v>66774.92849</v>
      </c>
      <c r="I149" s="547">
        <v>72191.60596</v>
      </c>
      <c r="J149" s="548">
        <v>61702.96371</v>
      </c>
      <c r="K149" s="516"/>
      <c r="L149" s="534" t="s">
        <v>292</v>
      </c>
      <c r="M149" s="535" t="s">
        <v>447</v>
      </c>
      <c r="N149" s="535" t="s">
        <v>294</v>
      </c>
      <c r="O149" s="535" t="s">
        <v>327</v>
      </c>
      <c r="P149" s="535" t="s">
        <v>296</v>
      </c>
      <c r="Q149" s="535" t="s">
        <v>89</v>
      </c>
      <c r="R149" s="535">
        <v>2019.0</v>
      </c>
      <c r="S149" s="536">
        <v>770.9934521</v>
      </c>
      <c r="T149" s="536">
        <v>1426.0995260541</v>
      </c>
      <c r="U149" s="537">
        <v>322.560621769321</v>
      </c>
      <c r="AS149" s="534" t="s">
        <v>296</v>
      </c>
      <c r="AT149" s="535" t="s">
        <v>294</v>
      </c>
      <c r="AU149" s="535" t="s">
        <v>315</v>
      </c>
      <c r="AV149" s="535" t="s">
        <v>491</v>
      </c>
      <c r="AW149" s="535" t="s">
        <v>292</v>
      </c>
      <c r="AX149" s="535" t="s">
        <v>89</v>
      </c>
      <c r="AY149" s="535" t="s">
        <v>304</v>
      </c>
      <c r="AZ149" s="543" t="s">
        <v>305</v>
      </c>
      <c r="BA149" s="536">
        <v>46.36599357</v>
      </c>
      <c r="BB149" s="536">
        <v>7.490043341</v>
      </c>
      <c r="BC149" s="536">
        <v>118.4860969</v>
      </c>
      <c r="BD149" s="537" t="s">
        <v>202</v>
      </c>
      <c r="CE149" s="525"/>
    </row>
    <row r="150">
      <c r="A150" s="509"/>
      <c r="B150" s="526" t="s">
        <v>328</v>
      </c>
      <c r="C150" s="527" t="s">
        <v>289</v>
      </c>
      <c r="D150" s="527" t="s">
        <v>339</v>
      </c>
      <c r="E150" s="530">
        <v>2019.0</v>
      </c>
      <c r="F150" s="527" t="s">
        <v>291</v>
      </c>
      <c r="G150" s="527" t="s">
        <v>89</v>
      </c>
      <c r="H150" s="532">
        <v>137057.9627</v>
      </c>
      <c r="I150" s="532">
        <v>148175.8897</v>
      </c>
      <c r="J150" s="533">
        <v>126647.571</v>
      </c>
      <c r="K150" s="516"/>
      <c r="L150" s="534" t="s">
        <v>292</v>
      </c>
      <c r="M150" s="535" t="s">
        <v>447</v>
      </c>
      <c r="N150" s="535" t="s">
        <v>294</v>
      </c>
      <c r="O150" s="535" t="s">
        <v>335</v>
      </c>
      <c r="P150" s="535" t="s">
        <v>296</v>
      </c>
      <c r="Q150" s="535" t="s">
        <v>89</v>
      </c>
      <c r="R150" s="535">
        <v>2019.0</v>
      </c>
      <c r="S150" s="536">
        <v>4586.66461827976</v>
      </c>
      <c r="T150" s="536">
        <v>8175.423491</v>
      </c>
      <c r="U150" s="537">
        <v>1943.97632927473</v>
      </c>
      <c r="AS150" s="534" t="s">
        <v>296</v>
      </c>
      <c r="AT150" s="535" t="s">
        <v>294</v>
      </c>
      <c r="AU150" s="535" t="s">
        <v>325</v>
      </c>
      <c r="AV150" s="535" t="s">
        <v>491</v>
      </c>
      <c r="AW150" s="535" t="s">
        <v>292</v>
      </c>
      <c r="AX150" s="535" t="s">
        <v>89</v>
      </c>
      <c r="AY150" s="535" t="s">
        <v>304</v>
      </c>
      <c r="AZ150" s="543" t="s">
        <v>305</v>
      </c>
      <c r="BA150" s="536">
        <v>342.4378837</v>
      </c>
      <c r="BB150" s="536">
        <v>56.65953272</v>
      </c>
      <c r="BC150" s="536">
        <v>851.9136321</v>
      </c>
      <c r="BD150" s="537" t="s">
        <v>202</v>
      </c>
      <c r="CE150" s="525"/>
    </row>
    <row r="151">
      <c r="A151" s="509"/>
      <c r="B151" s="544" t="s">
        <v>328</v>
      </c>
      <c r="C151" s="545" t="s">
        <v>289</v>
      </c>
      <c r="D151" s="545" t="s">
        <v>344</v>
      </c>
      <c r="E151" s="546">
        <v>2019.0</v>
      </c>
      <c r="F151" s="545" t="s">
        <v>291</v>
      </c>
      <c r="G151" s="545" t="s">
        <v>89</v>
      </c>
      <c r="H151" s="547">
        <v>214022.7825</v>
      </c>
      <c r="I151" s="547">
        <v>231383.9749</v>
      </c>
      <c r="J151" s="548">
        <v>197766.4413</v>
      </c>
      <c r="K151" s="516"/>
      <c r="L151" s="534" t="s">
        <v>292</v>
      </c>
      <c r="M151" s="535" t="s">
        <v>447</v>
      </c>
      <c r="N151" s="535" t="s">
        <v>294</v>
      </c>
      <c r="O151" s="535" t="s">
        <v>300</v>
      </c>
      <c r="P151" s="535" t="s">
        <v>296</v>
      </c>
      <c r="Q151" s="535" t="s">
        <v>89</v>
      </c>
      <c r="R151" s="535">
        <v>2019.0</v>
      </c>
      <c r="S151" s="536">
        <v>218.483105765282</v>
      </c>
      <c r="T151" s="536">
        <v>403.39586452846</v>
      </c>
      <c r="U151" s="537">
        <v>82.4868519371316</v>
      </c>
      <c r="AS151" s="681" t="s">
        <v>296</v>
      </c>
      <c r="AT151" s="682" t="s">
        <v>294</v>
      </c>
      <c r="AU151" s="682" t="s">
        <v>332</v>
      </c>
      <c r="AV151" s="682" t="s">
        <v>491</v>
      </c>
      <c r="AW151" s="682" t="s">
        <v>292</v>
      </c>
      <c r="AX151" s="682" t="s">
        <v>89</v>
      </c>
      <c r="AY151" s="682" t="s">
        <v>304</v>
      </c>
      <c r="AZ151" s="683" t="s">
        <v>305</v>
      </c>
      <c r="BA151" s="684">
        <v>3363.471258</v>
      </c>
      <c r="BB151" s="684">
        <v>646.5305432</v>
      </c>
      <c r="BC151" s="684">
        <v>7576.603291</v>
      </c>
      <c r="BD151" s="685" t="s">
        <v>202</v>
      </c>
      <c r="CE151" s="525"/>
    </row>
    <row r="152">
      <c r="A152" s="509"/>
      <c r="B152" s="526" t="s">
        <v>328</v>
      </c>
      <c r="C152" s="527" t="s">
        <v>289</v>
      </c>
      <c r="D152" s="527" t="s">
        <v>349</v>
      </c>
      <c r="E152" s="530">
        <v>2019.0</v>
      </c>
      <c r="F152" s="527" t="s">
        <v>291</v>
      </c>
      <c r="G152" s="527" t="s">
        <v>89</v>
      </c>
      <c r="H152" s="532">
        <v>70283.03421</v>
      </c>
      <c r="I152" s="532">
        <v>75984.2837</v>
      </c>
      <c r="J152" s="533">
        <v>64944.60731</v>
      </c>
      <c r="K152" s="516"/>
      <c r="L152" s="534" t="s">
        <v>292</v>
      </c>
      <c r="M152" s="535" t="s">
        <v>328</v>
      </c>
      <c r="N152" s="535" t="s">
        <v>294</v>
      </c>
      <c r="O152" s="535" t="s">
        <v>335</v>
      </c>
      <c r="P152" s="535" t="s">
        <v>296</v>
      </c>
      <c r="Q152" s="535" t="s">
        <v>89</v>
      </c>
      <c r="R152" s="535">
        <v>2019.0</v>
      </c>
      <c r="S152" s="536">
        <v>0.0</v>
      </c>
      <c r="T152" s="536">
        <v>0.0</v>
      </c>
      <c r="U152" s="537">
        <v>0.0</v>
      </c>
      <c r="CE152" s="525"/>
    </row>
    <row r="153">
      <c r="A153" s="509"/>
      <c r="B153" s="544" t="s">
        <v>328</v>
      </c>
      <c r="C153" s="545" t="s">
        <v>289</v>
      </c>
      <c r="D153" s="545" t="s">
        <v>355</v>
      </c>
      <c r="E153" s="546">
        <v>2019.0</v>
      </c>
      <c r="F153" s="545" t="s">
        <v>291</v>
      </c>
      <c r="G153" s="545" t="s">
        <v>89</v>
      </c>
      <c r="H153" s="547">
        <v>351165.6715</v>
      </c>
      <c r="I153" s="547">
        <v>379669.6718</v>
      </c>
      <c r="J153" s="548">
        <v>324486.2274</v>
      </c>
      <c r="K153" s="516"/>
      <c r="L153" s="534" t="s">
        <v>292</v>
      </c>
      <c r="M153" s="535" t="s">
        <v>328</v>
      </c>
      <c r="N153" s="535" t="s">
        <v>294</v>
      </c>
      <c r="O153" s="535" t="s">
        <v>300</v>
      </c>
      <c r="P153" s="535" t="s">
        <v>296</v>
      </c>
      <c r="Q153" s="535" t="s">
        <v>89</v>
      </c>
      <c r="R153" s="535">
        <v>2019.0</v>
      </c>
      <c r="S153" s="536">
        <v>0.0</v>
      </c>
      <c r="T153" s="536">
        <v>0.0</v>
      </c>
      <c r="U153" s="537">
        <v>0.0</v>
      </c>
      <c r="CE153" s="525"/>
    </row>
    <row r="154">
      <c r="A154" s="509"/>
      <c r="B154" s="526" t="s">
        <v>328</v>
      </c>
      <c r="C154" s="527" t="s">
        <v>289</v>
      </c>
      <c r="D154" s="527" t="s">
        <v>358</v>
      </c>
      <c r="E154" s="530">
        <v>2019.0</v>
      </c>
      <c r="F154" s="527" t="s">
        <v>291</v>
      </c>
      <c r="G154" s="527" t="s">
        <v>89</v>
      </c>
      <c r="H154" s="532">
        <v>435629.9326</v>
      </c>
      <c r="I154" s="532">
        <v>470967.5494</v>
      </c>
      <c r="J154" s="533">
        <v>402541.1712</v>
      </c>
      <c r="K154" s="516"/>
      <c r="L154" s="592" t="s">
        <v>292</v>
      </c>
      <c r="M154" s="593" t="s">
        <v>500</v>
      </c>
      <c r="N154" s="593" t="s">
        <v>294</v>
      </c>
      <c r="O154" s="593" t="s">
        <v>295</v>
      </c>
      <c r="P154" s="593" t="s">
        <v>296</v>
      </c>
      <c r="Q154" s="593" t="s">
        <v>89</v>
      </c>
      <c r="R154" s="595">
        <v>2019.0</v>
      </c>
      <c r="S154" s="596">
        <v>38.78202759</v>
      </c>
      <c r="T154" s="596">
        <v>320.943165556668</v>
      </c>
      <c r="U154" s="597">
        <v>0.791081605170115</v>
      </c>
      <c r="CE154" s="525"/>
    </row>
    <row r="155">
      <c r="A155" s="509"/>
      <c r="B155" s="544" t="s">
        <v>328</v>
      </c>
      <c r="C155" s="545" t="s">
        <v>289</v>
      </c>
      <c r="D155" s="545" t="s">
        <v>362</v>
      </c>
      <c r="E155" s="546">
        <v>2019.0</v>
      </c>
      <c r="F155" s="545" t="s">
        <v>291</v>
      </c>
      <c r="G155" s="545" t="s">
        <v>89</v>
      </c>
      <c r="H155" s="547">
        <v>489321.1858</v>
      </c>
      <c r="I155" s="547">
        <v>529039.2231</v>
      </c>
      <c r="J155" s="548">
        <v>452145.5213</v>
      </c>
      <c r="K155" s="516"/>
      <c r="L155" s="592" t="s">
        <v>292</v>
      </c>
      <c r="M155" s="593" t="s">
        <v>500</v>
      </c>
      <c r="N155" s="593" t="s">
        <v>294</v>
      </c>
      <c r="O155" s="593" t="s">
        <v>311</v>
      </c>
      <c r="P155" s="593" t="s">
        <v>296</v>
      </c>
      <c r="Q155" s="593" t="s">
        <v>89</v>
      </c>
      <c r="R155" s="595">
        <v>2019.0</v>
      </c>
      <c r="S155" s="596">
        <v>0.0</v>
      </c>
      <c r="T155" s="596">
        <v>0.0</v>
      </c>
      <c r="U155" s="597">
        <v>0.0</v>
      </c>
      <c r="CE155" s="525"/>
    </row>
    <row r="156">
      <c r="A156" s="509"/>
      <c r="B156" s="526" t="s">
        <v>328</v>
      </c>
      <c r="C156" s="527" t="s">
        <v>289</v>
      </c>
      <c r="D156" s="527" t="s">
        <v>366</v>
      </c>
      <c r="E156" s="530">
        <v>2019.0</v>
      </c>
      <c r="F156" s="527" t="s">
        <v>291</v>
      </c>
      <c r="G156" s="527" t="s">
        <v>89</v>
      </c>
      <c r="H156" s="532">
        <v>76964.81975</v>
      </c>
      <c r="I156" s="532">
        <v>83208.08521</v>
      </c>
      <c r="J156" s="533">
        <v>71118.87032</v>
      </c>
      <c r="K156" s="516"/>
      <c r="L156" s="534" t="s">
        <v>292</v>
      </c>
      <c r="M156" s="535" t="s">
        <v>500</v>
      </c>
      <c r="N156" s="535" t="s">
        <v>294</v>
      </c>
      <c r="O156" s="535" t="s">
        <v>319</v>
      </c>
      <c r="P156" s="535" t="s">
        <v>296</v>
      </c>
      <c r="Q156" s="535" t="s">
        <v>89</v>
      </c>
      <c r="R156" s="535">
        <v>2019.0</v>
      </c>
      <c r="S156" s="536">
        <v>0.143076031075112</v>
      </c>
      <c r="T156" s="536">
        <v>1.2994715917206</v>
      </c>
      <c r="U156" s="537">
        <v>0.002603206</v>
      </c>
      <c r="CE156" s="525"/>
    </row>
    <row r="157">
      <c r="A157" s="509"/>
      <c r="B157" s="544" t="s">
        <v>328</v>
      </c>
      <c r="C157" s="545" t="s">
        <v>289</v>
      </c>
      <c r="D157" s="545" t="s">
        <v>368</v>
      </c>
      <c r="E157" s="546">
        <v>2019.0</v>
      </c>
      <c r="F157" s="545" t="s">
        <v>291</v>
      </c>
      <c r="G157" s="545" t="s">
        <v>89</v>
      </c>
      <c r="H157" s="547">
        <v>412377.7136</v>
      </c>
      <c r="I157" s="547">
        <v>445829.1469</v>
      </c>
      <c r="J157" s="548">
        <v>381055.1006</v>
      </c>
      <c r="K157" s="516"/>
      <c r="L157" s="573" t="s">
        <v>292</v>
      </c>
      <c r="M157" s="574" t="s">
        <v>500</v>
      </c>
      <c r="N157" s="574" t="s">
        <v>294</v>
      </c>
      <c r="O157" s="574" t="s">
        <v>327</v>
      </c>
      <c r="P157" s="574" t="s">
        <v>296</v>
      </c>
      <c r="Q157" s="574" t="s">
        <v>89</v>
      </c>
      <c r="R157" s="575">
        <v>2019.0</v>
      </c>
      <c r="S157" s="576">
        <v>7.59274200873476</v>
      </c>
      <c r="T157" s="576">
        <v>67.3885676015591</v>
      </c>
      <c r="U157" s="578">
        <v>0.144494200104892</v>
      </c>
      <c r="CE157" s="525"/>
    </row>
    <row r="158">
      <c r="A158" s="509"/>
      <c r="B158" s="526" t="s">
        <v>328</v>
      </c>
      <c r="C158" s="527" t="s">
        <v>289</v>
      </c>
      <c r="D158" s="527" t="s">
        <v>373</v>
      </c>
      <c r="E158" s="530">
        <v>2019.0</v>
      </c>
      <c r="F158" s="527" t="s">
        <v>291</v>
      </c>
      <c r="G158" s="527" t="s">
        <v>89</v>
      </c>
      <c r="H158" s="532">
        <v>75403.30612</v>
      </c>
      <c r="I158" s="532">
        <v>81519.90404</v>
      </c>
      <c r="J158" s="533">
        <v>69675.96321</v>
      </c>
      <c r="K158" s="516"/>
      <c r="L158" s="534" t="s">
        <v>292</v>
      </c>
      <c r="M158" s="535" t="s">
        <v>500</v>
      </c>
      <c r="N158" s="535" t="s">
        <v>294</v>
      </c>
      <c r="O158" s="535" t="s">
        <v>335</v>
      </c>
      <c r="P158" s="535" t="s">
        <v>296</v>
      </c>
      <c r="Q158" s="535" t="s">
        <v>89</v>
      </c>
      <c r="R158" s="535">
        <v>2019.0</v>
      </c>
      <c r="S158" s="536">
        <v>463.621490084332</v>
      </c>
      <c r="T158" s="536">
        <v>3994.02060640499</v>
      </c>
      <c r="U158" s="537">
        <v>9.9205818971098</v>
      </c>
      <c r="CE158" s="525"/>
    </row>
    <row r="159">
      <c r="A159" s="509"/>
      <c r="B159" s="544" t="s">
        <v>328</v>
      </c>
      <c r="C159" s="545" t="s">
        <v>289</v>
      </c>
      <c r="D159" s="545" t="s">
        <v>379</v>
      </c>
      <c r="E159" s="546">
        <v>2019.0</v>
      </c>
      <c r="F159" s="545" t="s">
        <v>291</v>
      </c>
      <c r="G159" s="545" t="s">
        <v>89</v>
      </c>
      <c r="H159" s="547">
        <v>288369.498</v>
      </c>
      <c r="I159" s="547">
        <v>311776.3539</v>
      </c>
      <c r="J159" s="548">
        <v>266460.9274</v>
      </c>
      <c r="K159" s="516"/>
      <c r="L159" s="534" t="s">
        <v>292</v>
      </c>
      <c r="M159" s="535" t="s">
        <v>500</v>
      </c>
      <c r="N159" s="535" t="s">
        <v>294</v>
      </c>
      <c r="O159" s="535" t="s">
        <v>300</v>
      </c>
      <c r="P159" s="535" t="s">
        <v>296</v>
      </c>
      <c r="Q159" s="535" t="s">
        <v>89</v>
      </c>
      <c r="R159" s="535">
        <v>2019.0</v>
      </c>
      <c r="S159" s="536">
        <v>26.9051952151845</v>
      </c>
      <c r="T159" s="536">
        <v>207.36668594554</v>
      </c>
      <c r="U159" s="537">
        <v>0.580903721885332</v>
      </c>
      <c r="CE159" s="525"/>
    </row>
    <row r="160">
      <c r="A160" s="509"/>
      <c r="B160" s="526" t="s">
        <v>328</v>
      </c>
      <c r="C160" s="527" t="s">
        <v>289</v>
      </c>
      <c r="D160" s="527" t="s">
        <v>382</v>
      </c>
      <c r="E160" s="530">
        <v>2019.0</v>
      </c>
      <c r="F160" s="527" t="s">
        <v>291</v>
      </c>
      <c r="G160" s="527" t="s">
        <v>89</v>
      </c>
      <c r="H160" s="532">
        <v>68987.0729</v>
      </c>
      <c r="I160" s="532">
        <v>74583.19605</v>
      </c>
      <c r="J160" s="533">
        <v>63747.0822</v>
      </c>
      <c r="K160" s="516"/>
      <c r="L160" s="534" t="s">
        <v>292</v>
      </c>
      <c r="M160" s="535" t="s">
        <v>469</v>
      </c>
      <c r="N160" s="535" t="s">
        <v>294</v>
      </c>
      <c r="O160" s="535" t="s">
        <v>295</v>
      </c>
      <c r="P160" s="535" t="s">
        <v>296</v>
      </c>
      <c r="Q160" s="535" t="s">
        <v>89</v>
      </c>
      <c r="R160" s="535">
        <v>2019.0</v>
      </c>
      <c r="S160" s="536">
        <v>479.4142875</v>
      </c>
      <c r="T160" s="536">
        <v>1274.97224364482</v>
      </c>
      <c r="U160" s="537">
        <v>44.26379611</v>
      </c>
      <c r="CE160" s="525"/>
    </row>
    <row r="161">
      <c r="A161" s="509"/>
      <c r="B161" s="544" t="s">
        <v>328</v>
      </c>
      <c r="C161" s="545" t="s">
        <v>289</v>
      </c>
      <c r="D161" s="545" t="s">
        <v>387</v>
      </c>
      <c r="E161" s="546">
        <v>2019.0</v>
      </c>
      <c r="F161" s="545" t="s">
        <v>291</v>
      </c>
      <c r="G161" s="545" t="s">
        <v>89</v>
      </c>
      <c r="H161" s="547">
        <v>59542.75872</v>
      </c>
      <c r="I161" s="547">
        <v>64372.77391</v>
      </c>
      <c r="J161" s="548">
        <v>55020.12152</v>
      </c>
      <c r="K161" s="516"/>
      <c r="L161" s="534" t="s">
        <v>292</v>
      </c>
      <c r="M161" s="535" t="s">
        <v>469</v>
      </c>
      <c r="N161" s="535" t="s">
        <v>294</v>
      </c>
      <c r="O161" s="535" t="s">
        <v>311</v>
      </c>
      <c r="P161" s="535" t="s">
        <v>296</v>
      </c>
      <c r="Q161" s="535" t="s">
        <v>89</v>
      </c>
      <c r="R161" s="535">
        <v>2019.0</v>
      </c>
      <c r="S161" s="536">
        <v>0.0</v>
      </c>
      <c r="T161" s="536">
        <v>0.0</v>
      </c>
      <c r="U161" s="537">
        <v>0.0</v>
      </c>
      <c r="CE161" s="525"/>
    </row>
    <row r="162">
      <c r="A162" s="509"/>
      <c r="B162" s="526" t="s">
        <v>328</v>
      </c>
      <c r="C162" s="527" t="s">
        <v>289</v>
      </c>
      <c r="D162" s="527" t="s">
        <v>392</v>
      </c>
      <c r="E162" s="530">
        <v>2019.0</v>
      </c>
      <c r="F162" s="527" t="s">
        <v>291</v>
      </c>
      <c r="G162" s="527" t="s">
        <v>89</v>
      </c>
      <c r="H162" s="532">
        <v>46682.53631</v>
      </c>
      <c r="I162" s="532">
        <v>50469.35043</v>
      </c>
      <c r="J162" s="533">
        <v>43136.71177</v>
      </c>
      <c r="K162" s="516"/>
      <c r="L162" s="534" t="s">
        <v>292</v>
      </c>
      <c r="M162" s="535" t="s">
        <v>469</v>
      </c>
      <c r="N162" s="535" t="s">
        <v>294</v>
      </c>
      <c r="O162" s="535" t="s">
        <v>319</v>
      </c>
      <c r="P162" s="535" t="s">
        <v>296</v>
      </c>
      <c r="Q162" s="535" t="s">
        <v>89</v>
      </c>
      <c r="R162" s="535">
        <v>2019.0</v>
      </c>
      <c r="S162" s="536">
        <v>63.6461219707721</v>
      </c>
      <c r="T162" s="536">
        <v>179.417549143885</v>
      </c>
      <c r="U162" s="537">
        <v>5.168857205</v>
      </c>
      <c r="CE162" s="525"/>
    </row>
    <row r="163">
      <c r="A163" s="509"/>
      <c r="B163" s="544" t="s">
        <v>328</v>
      </c>
      <c r="C163" s="545" t="s">
        <v>289</v>
      </c>
      <c r="D163" s="545" t="s">
        <v>398</v>
      </c>
      <c r="E163" s="546">
        <v>2019.0</v>
      </c>
      <c r="F163" s="545" t="s">
        <v>291</v>
      </c>
      <c r="G163" s="545" t="s">
        <v>89</v>
      </c>
      <c r="H163" s="547">
        <v>37766.4046</v>
      </c>
      <c r="I163" s="547">
        <v>40829.9561</v>
      </c>
      <c r="J163" s="548">
        <v>34897.81487</v>
      </c>
      <c r="K163" s="516"/>
      <c r="L163" s="534" t="s">
        <v>292</v>
      </c>
      <c r="M163" s="535" t="s">
        <v>469</v>
      </c>
      <c r="N163" s="535" t="s">
        <v>294</v>
      </c>
      <c r="O163" s="535" t="s">
        <v>327</v>
      </c>
      <c r="P163" s="535" t="s">
        <v>296</v>
      </c>
      <c r="Q163" s="535" t="s">
        <v>89</v>
      </c>
      <c r="R163" s="535">
        <v>2019.0</v>
      </c>
      <c r="S163" s="536">
        <v>201.811976979633</v>
      </c>
      <c r="T163" s="536">
        <v>584.928784174878</v>
      </c>
      <c r="U163" s="537">
        <v>19.3108953798432</v>
      </c>
      <c r="CE163" s="525"/>
    </row>
    <row r="164">
      <c r="A164" s="509"/>
      <c r="B164" s="526" t="s">
        <v>328</v>
      </c>
      <c r="C164" s="527" t="s">
        <v>289</v>
      </c>
      <c r="D164" s="527" t="s">
        <v>402</v>
      </c>
      <c r="E164" s="530">
        <v>2019.0</v>
      </c>
      <c r="F164" s="527" t="s">
        <v>291</v>
      </c>
      <c r="G164" s="527" t="s">
        <v>89</v>
      </c>
      <c r="H164" s="532">
        <v>199556.1623</v>
      </c>
      <c r="I164" s="532">
        <v>215754.0694</v>
      </c>
      <c r="J164" s="533">
        <v>184395.0919</v>
      </c>
      <c r="K164" s="516"/>
      <c r="L164" s="534" t="s">
        <v>292</v>
      </c>
      <c r="M164" s="535" t="s">
        <v>469</v>
      </c>
      <c r="N164" s="535" t="s">
        <v>294</v>
      </c>
      <c r="O164" s="535" t="s">
        <v>335</v>
      </c>
      <c r="P164" s="535" t="s">
        <v>296</v>
      </c>
      <c r="Q164" s="535" t="s">
        <v>89</v>
      </c>
      <c r="R164" s="535">
        <v>2019.0</v>
      </c>
      <c r="S164" s="536">
        <v>1997.33180471172</v>
      </c>
      <c r="T164" s="536">
        <v>5580.444633</v>
      </c>
      <c r="U164" s="537">
        <v>175.801794622958</v>
      </c>
      <c r="CE164" s="525"/>
    </row>
    <row r="165">
      <c r="A165" s="509"/>
      <c r="B165" s="544" t="s">
        <v>328</v>
      </c>
      <c r="C165" s="545" t="s">
        <v>289</v>
      </c>
      <c r="D165" s="545" t="s">
        <v>407</v>
      </c>
      <c r="E165" s="546">
        <v>2019.0</v>
      </c>
      <c r="F165" s="545" t="s">
        <v>291</v>
      </c>
      <c r="G165" s="545" t="s">
        <v>89</v>
      </c>
      <c r="H165" s="547">
        <v>62506.90564</v>
      </c>
      <c r="I165" s="547">
        <v>67577.36779</v>
      </c>
      <c r="J165" s="548">
        <v>57759.12333</v>
      </c>
      <c r="K165" s="516"/>
      <c r="L165" s="534" t="s">
        <v>292</v>
      </c>
      <c r="M165" s="535" t="s">
        <v>469</v>
      </c>
      <c r="N165" s="535" t="s">
        <v>294</v>
      </c>
      <c r="O165" s="535" t="s">
        <v>300</v>
      </c>
      <c r="P165" s="535" t="s">
        <v>296</v>
      </c>
      <c r="Q165" s="535" t="s">
        <v>89</v>
      </c>
      <c r="R165" s="535">
        <v>2019.0</v>
      </c>
      <c r="S165" s="536">
        <v>92.9509607642367</v>
      </c>
      <c r="T165" s="536">
        <v>274.547216895124</v>
      </c>
      <c r="U165" s="537">
        <v>7.95264936137346</v>
      </c>
      <c r="CE165" s="525"/>
    </row>
    <row r="166">
      <c r="A166" s="509"/>
      <c r="B166" s="526" t="s">
        <v>328</v>
      </c>
      <c r="C166" s="527" t="s">
        <v>289</v>
      </c>
      <c r="D166" s="527" t="s">
        <v>414</v>
      </c>
      <c r="E166" s="530">
        <v>2019.0</v>
      </c>
      <c r="F166" s="527" t="s">
        <v>291</v>
      </c>
      <c r="G166" s="527" t="s">
        <v>89</v>
      </c>
      <c r="H166" s="532">
        <v>31164.64446</v>
      </c>
      <c r="I166" s="532">
        <v>33692.67154</v>
      </c>
      <c r="J166" s="533">
        <v>28797.49885</v>
      </c>
      <c r="K166" s="516"/>
      <c r="L166" s="534" t="s">
        <v>292</v>
      </c>
      <c r="M166" s="535" t="s">
        <v>484</v>
      </c>
      <c r="N166" s="535" t="s">
        <v>294</v>
      </c>
      <c r="O166" s="535" t="s">
        <v>295</v>
      </c>
      <c r="P166" s="535" t="s">
        <v>296</v>
      </c>
      <c r="Q166" s="535" t="s">
        <v>89</v>
      </c>
      <c r="R166" s="535">
        <v>2019.0</v>
      </c>
      <c r="S166" s="536">
        <v>0.18207748032488</v>
      </c>
      <c r="T166" s="536">
        <v>0.928345750429346</v>
      </c>
      <c r="U166" s="537">
        <v>0.008365294</v>
      </c>
      <c r="CE166" s="525"/>
    </row>
    <row r="167">
      <c r="A167" s="509"/>
      <c r="B167" s="544" t="s">
        <v>328</v>
      </c>
      <c r="C167" s="545" t="s">
        <v>289</v>
      </c>
      <c r="D167" s="545" t="s">
        <v>417</v>
      </c>
      <c r="E167" s="546">
        <v>2019.0</v>
      </c>
      <c r="F167" s="545" t="s">
        <v>291</v>
      </c>
      <c r="G167" s="545" t="s">
        <v>89</v>
      </c>
      <c r="H167" s="547">
        <v>95278.77324</v>
      </c>
      <c r="I167" s="547">
        <v>103007.6379</v>
      </c>
      <c r="J167" s="548">
        <v>88041.76688</v>
      </c>
      <c r="K167" s="516"/>
      <c r="L167" s="534" t="s">
        <v>292</v>
      </c>
      <c r="M167" s="535" t="s">
        <v>484</v>
      </c>
      <c r="N167" s="535" t="s">
        <v>294</v>
      </c>
      <c r="O167" s="535" t="s">
        <v>311</v>
      </c>
      <c r="P167" s="535" t="s">
        <v>296</v>
      </c>
      <c r="Q167" s="535" t="s">
        <v>89</v>
      </c>
      <c r="R167" s="535">
        <v>2019.0</v>
      </c>
      <c r="S167" s="536">
        <v>0.0</v>
      </c>
      <c r="T167" s="536">
        <v>0.0</v>
      </c>
      <c r="U167" s="537">
        <v>0.0</v>
      </c>
      <c r="CE167" s="525"/>
    </row>
    <row r="168">
      <c r="A168" s="509"/>
      <c r="B168" s="526" t="s">
        <v>328</v>
      </c>
      <c r="C168" s="527" t="s">
        <v>289</v>
      </c>
      <c r="D168" s="527" t="s">
        <v>300</v>
      </c>
      <c r="E168" s="530">
        <v>2019.0</v>
      </c>
      <c r="F168" s="527" t="s">
        <v>291</v>
      </c>
      <c r="G168" s="527" t="s">
        <v>89</v>
      </c>
      <c r="H168" s="532">
        <v>129281.8341</v>
      </c>
      <c r="I168" s="532">
        <v>139768.9737</v>
      </c>
      <c r="J168" s="533">
        <v>119462.087</v>
      </c>
      <c r="K168" s="516"/>
      <c r="L168" s="534" t="s">
        <v>292</v>
      </c>
      <c r="M168" s="535" t="s">
        <v>484</v>
      </c>
      <c r="N168" s="535" t="s">
        <v>294</v>
      </c>
      <c r="O168" s="535" t="s">
        <v>319</v>
      </c>
      <c r="P168" s="535" t="s">
        <v>296</v>
      </c>
      <c r="Q168" s="535" t="s">
        <v>89</v>
      </c>
      <c r="R168" s="535">
        <v>2019.0</v>
      </c>
      <c r="S168" s="536">
        <v>0.002828458</v>
      </c>
      <c r="T168" s="536">
        <v>0.006686957</v>
      </c>
      <c r="U168" s="537">
        <v>2.22838E-4</v>
      </c>
      <c r="CE168" s="525"/>
    </row>
    <row r="169">
      <c r="A169" s="509"/>
      <c r="B169" s="544" t="s">
        <v>328</v>
      </c>
      <c r="C169" s="545" t="s">
        <v>289</v>
      </c>
      <c r="D169" s="545" t="s">
        <v>429</v>
      </c>
      <c r="E169" s="546">
        <v>2019.0</v>
      </c>
      <c r="F169" s="545" t="s">
        <v>291</v>
      </c>
      <c r="G169" s="545" t="s">
        <v>89</v>
      </c>
      <c r="H169" s="547">
        <v>92826.94076</v>
      </c>
      <c r="I169" s="547">
        <v>100361.6726</v>
      </c>
      <c r="J169" s="548">
        <v>85774.51116</v>
      </c>
      <c r="K169" s="516"/>
      <c r="L169" s="534" t="s">
        <v>292</v>
      </c>
      <c r="M169" s="535" t="s">
        <v>484</v>
      </c>
      <c r="N169" s="535" t="s">
        <v>294</v>
      </c>
      <c r="O169" s="535" t="s">
        <v>327</v>
      </c>
      <c r="P169" s="535" t="s">
        <v>296</v>
      </c>
      <c r="Q169" s="535" t="s">
        <v>89</v>
      </c>
      <c r="R169" s="535">
        <v>2019.0</v>
      </c>
      <c r="S169" s="536">
        <v>0.062554429</v>
      </c>
      <c r="T169" s="536">
        <v>0.169294102</v>
      </c>
      <c r="U169" s="537">
        <v>0.004283991</v>
      </c>
      <c r="CE169" s="525"/>
    </row>
    <row r="170">
      <c r="A170" s="509"/>
      <c r="B170" s="526" t="s">
        <v>328</v>
      </c>
      <c r="C170" s="527" t="s">
        <v>289</v>
      </c>
      <c r="D170" s="527" t="s">
        <v>432</v>
      </c>
      <c r="E170" s="530">
        <v>2019.0</v>
      </c>
      <c r="F170" s="527" t="s">
        <v>291</v>
      </c>
      <c r="G170" s="527" t="s">
        <v>89</v>
      </c>
      <c r="H170" s="532">
        <v>25893.12906</v>
      </c>
      <c r="I170" s="532">
        <v>27993.53908</v>
      </c>
      <c r="J170" s="533">
        <v>23926.38733</v>
      </c>
      <c r="K170" s="516"/>
      <c r="L170" s="534" t="s">
        <v>292</v>
      </c>
      <c r="M170" s="535" t="s">
        <v>484</v>
      </c>
      <c r="N170" s="535" t="s">
        <v>294</v>
      </c>
      <c r="O170" s="535" t="s">
        <v>335</v>
      </c>
      <c r="P170" s="535" t="s">
        <v>296</v>
      </c>
      <c r="Q170" s="535" t="s">
        <v>89</v>
      </c>
      <c r="R170" s="535">
        <v>2019.0</v>
      </c>
      <c r="S170" s="536">
        <v>0.700946787991264</v>
      </c>
      <c r="T170" s="536">
        <v>4.82744982732828</v>
      </c>
      <c r="U170" s="537">
        <v>0.025480794</v>
      </c>
      <c r="CE170" s="525"/>
    </row>
    <row r="171">
      <c r="A171" s="509"/>
      <c r="B171" s="544" t="s">
        <v>328</v>
      </c>
      <c r="C171" s="545" t="s">
        <v>289</v>
      </c>
      <c r="D171" s="545" t="s">
        <v>435</v>
      </c>
      <c r="E171" s="546">
        <v>2019.0</v>
      </c>
      <c r="F171" s="545" t="s">
        <v>291</v>
      </c>
      <c r="G171" s="545" t="s">
        <v>89</v>
      </c>
      <c r="H171" s="547">
        <v>21202.52118</v>
      </c>
      <c r="I171" s="547">
        <v>22922.43644</v>
      </c>
      <c r="J171" s="548">
        <v>19592.05984</v>
      </c>
      <c r="K171" s="516"/>
      <c r="L171" s="534" t="s">
        <v>292</v>
      </c>
      <c r="M171" s="535" t="s">
        <v>484</v>
      </c>
      <c r="N171" s="535" t="s">
        <v>294</v>
      </c>
      <c r="O171" s="535" t="s">
        <v>300</v>
      </c>
      <c r="P171" s="535" t="s">
        <v>296</v>
      </c>
      <c r="Q171" s="535" t="s">
        <v>89</v>
      </c>
      <c r="R171" s="535">
        <v>2019.0</v>
      </c>
      <c r="S171" s="536">
        <v>0.211905165366124</v>
      </c>
      <c r="T171" s="536">
        <v>1.46701688301909</v>
      </c>
      <c r="U171" s="537">
        <v>0.006733746</v>
      </c>
      <c r="CE171" s="525"/>
    </row>
    <row r="172">
      <c r="A172" s="509"/>
      <c r="B172" s="526" t="s">
        <v>328</v>
      </c>
      <c r="C172" s="527" t="s">
        <v>289</v>
      </c>
      <c r="D172" s="527" t="s">
        <v>442</v>
      </c>
      <c r="E172" s="530">
        <v>2019.0</v>
      </c>
      <c r="F172" s="527" t="s">
        <v>291</v>
      </c>
      <c r="G172" s="527" t="s">
        <v>89</v>
      </c>
      <c r="H172" s="532">
        <v>17018.47854</v>
      </c>
      <c r="I172" s="532">
        <v>18398.99082</v>
      </c>
      <c r="J172" s="533">
        <v>15725.82086</v>
      </c>
      <c r="K172" s="516"/>
      <c r="L172" s="534" t="s">
        <v>292</v>
      </c>
      <c r="M172" s="535" t="s">
        <v>393</v>
      </c>
      <c r="N172" s="535" t="s">
        <v>294</v>
      </c>
      <c r="O172" s="535" t="s">
        <v>295</v>
      </c>
      <c r="P172" s="535" t="s">
        <v>296</v>
      </c>
      <c r="Q172" s="535" t="s">
        <v>89</v>
      </c>
      <c r="R172" s="535">
        <v>2019.0</v>
      </c>
      <c r="S172" s="536">
        <v>35.7052094075094</v>
      </c>
      <c r="T172" s="536">
        <v>125.943582222491</v>
      </c>
      <c r="U172" s="537">
        <v>5.82732885453242</v>
      </c>
      <c r="CE172" s="525"/>
    </row>
    <row r="173">
      <c r="A173" s="509"/>
      <c r="B173" s="544" t="s">
        <v>328</v>
      </c>
      <c r="C173" s="545" t="s">
        <v>289</v>
      </c>
      <c r="D173" s="545" t="s">
        <v>445</v>
      </c>
      <c r="E173" s="546">
        <v>2019.0</v>
      </c>
      <c r="F173" s="545" t="s">
        <v>291</v>
      </c>
      <c r="G173" s="545" t="s">
        <v>89</v>
      </c>
      <c r="H173" s="547">
        <v>29439.25022</v>
      </c>
      <c r="I173" s="547">
        <v>31828.82433</v>
      </c>
      <c r="J173" s="548">
        <v>27202.63402</v>
      </c>
      <c r="K173" s="516"/>
      <c r="L173" s="534" t="s">
        <v>292</v>
      </c>
      <c r="M173" s="535" t="s">
        <v>393</v>
      </c>
      <c r="N173" s="535" t="s">
        <v>294</v>
      </c>
      <c r="O173" s="535" t="s">
        <v>311</v>
      </c>
      <c r="P173" s="535" t="s">
        <v>296</v>
      </c>
      <c r="Q173" s="535" t="s">
        <v>89</v>
      </c>
      <c r="R173" s="535">
        <v>2019.0</v>
      </c>
      <c r="S173" s="536">
        <v>0.0</v>
      </c>
      <c r="T173" s="536">
        <v>0.0</v>
      </c>
      <c r="U173" s="537">
        <v>0.0</v>
      </c>
      <c r="CE173" s="525"/>
    </row>
    <row r="174">
      <c r="A174" s="509"/>
      <c r="B174" s="526" t="s">
        <v>328</v>
      </c>
      <c r="C174" s="527" t="s">
        <v>289</v>
      </c>
      <c r="D174" s="527" t="s">
        <v>450</v>
      </c>
      <c r="E174" s="530">
        <v>2019.0</v>
      </c>
      <c r="F174" s="527" t="s">
        <v>291</v>
      </c>
      <c r="G174" s="527" t="s">
        <v>89</v>
      </c>
      <c r="H174" s="532">
        <v>12422.05603</v>
      </c>
      <c r="I174" s="532">
        <v>13429.71373</v>
      </c>
      <c r="J174" s="533">
        <v>11478.52479</v>
      </c>
      <c r="K174" s="516"/>
      <c r="L174" s="573" t="s">
        <v>292</v>
      </c>
      <c r="M174" s="574" t="s">
        <v>393</v>
      </c>
      <c r="N174" s="574" t="s">
        <v>294</v>
      </c>
      <c r="O174" s="574" t="s">
        <v>319</v>
      </c>
      <c r="P174" s="574" t="s">
        <v>296</v>
      </c>
      <c r="Q174" s="574" t="s">
        <v>89</v>
      </c>
      <c r="R174" s="575">
        <v>2019.0</v>
      </c>
      <c r="S174" s="576">
        <v>0.438082148324589</v>
      </c>
      <c r="T174" s="576">
        <v>1.63767430160351</v>
      </c>
      <c r="U174" s="578">
        <v>0.066554807</v>
      </c>
      <c r="CE174" s="525"/>
    </row>
    <row r="175">
      <c r="A175" s="509"/>
      <c r="B175" s="544" t="s">
        <v>328</v>
      </c>
      <c r="C175" s="545" t="s">
        <v>289</v>
      </c>
      <c r="D175" s="545" t="s">
        <v>457</v>
      </c>
      <c r="E175" s="546">
        <v>2019.0</v>
      </c>
      <c r="F175" s="545" t="s">
        <v>291</v>
      </c>
      <c r="G175" s="545" t="s">
        <v>89</v>
      </c>
      <c r="H175" s="547">
        <v>28716.86172</v>
      </c>
      <c r="I175" s="547">
        <v>31046.32851</v>
      </c>
      <c r="J175" s="548">
        <v>26535.6402</v>
      </c>
      <c r="K175" s="516"/>
      <c r="L175" s="534" t="s">
        <v>292</v>
      </c>
      <c r="M175" s="535" t="s">
        <v>393</v>
      </c>
      <c r="N175" s="535" t="s">
        <v>294</v>
      </c>
      <c r="O175" s="535" t="s">
        <v>327</v>
      </c>
      <c r="P175" s="535" t="s">
        <v>296</v>
      </c>
      <c r="Q175" s="535" t="s">
        <v>89</v>
      </c>
      <c r="R175" s="535">
        <v>2019.0</v>
      </c>
      <c r="S175" s="536">
        <v>8.81739791968337</v>
      </c>
      <c r="T175" s="536">
        <v>32.3638975467673</v>
      </c>
      <c r="U175" s="537">
        <v>1.46225981059625</v>
      </c>
      <c r="CE175" s="525"/>
    </row>
    <row r="176">
      <c r="A176" s="509"/>
      <c r="B176" s="526" t="s">
        <v>328</v>
      </c>
      <c r="C176" s="527" t="s">
        <v>289</v>
      </c>
      <c r="D176" s="527" t="s">
        <v>463</v>
      </c>
      <c r="E176" s="530">
        <v>2019.0</v>
      </c>
      <c r="F176" s="527" t="s">
        <v>291</v>
      </c>
      <c r="G176" s="527" t="s">
        <v>89</v>
      </c>
      <c r="H176" s="532">
        <v>16294.09484</v>
      </c>
      <c r="I176" s="532">
        <v>17616.68108</v>
      </c>
      <c r="J176" s="533">
        <v>15056.16805</v>
      </c>
      <c r="K176" s="516"/>
      <c r="L176" s="534" t="s">
        <v>292</v>
      </c>
      <c r="M176" s="535" t="s">
        <v>393</v>
      </c>
      <c r="N176" s="535" t="s">
        <v>294</v>
      </c>
      <c r="O176" s="535" t="s">
        <v>335</v>
      </c>
      <c r="P176" s="535" t="s">
        <v>296</v>
      </c>
      <c r="Q176" s="535" t="s">
        <v>89</v>
      </c>
      <c r="R176" s="535">
        <v>2019.0</v>
      </c>
      <c r="S176" s="536">
        <v>330.523741616821</v>
      </c>
      <c r="T176" s="536">
        <v>1182.7040193017</v>
      </c>
      <c r="U176" s="537">
        <v>58.47646135</v>
      </c>
      <c r="CE176" s="525"/>
    </row>
    <row r="177">
      <c r="A177" s="509"/>
      <c r="B177" s="544" t="s">
        <v>328</v>
      </c>
      <c r="C177" s="545" t="s">
        <v>289</v>
      </c>
      <c r="D177" s="545" t="s">
        <v>467</v>
      </c>
      <c r="E177" s="546">
        <v>2019.0</v>
      </c>
      <c r="F177" s="545" t="s">
        <v>291</v>
      </c>
      <c r="G177" s="545" t="s">
        <v>89</v>
      </c>
      <c r="H177" s="547">
        <v>8381.054608</v>
      </c>
      <c r="I177" s="547">
        <v>9060.912612</v>
      </c>
      <c r="J177" s="548">
        <v>7744.462181</v>
      </c>
      <c r="K177" s="516"/>
      <c r="L177" s="534" t="s">
        <v>292</v>
      </c>
      <c r="M177" s="535" t="s">
        <v>393</v>
      </c>
      <c r="N177" s="535" t="s">
        <v>294</v>
      </c>
      <c r="O177" s="535" t="s">
        <v>300</v>
      </c>
      <c r="P177" s="535" t="s">
        <v>296</v>
      </c>
      <c r="Q177" s="535" t="s">
        <v>89</v>
      </c>
      <c r="R177" s="535">
        <v>2019.0</v>
      </c>
      <c r="S177" s="536">
        <v>15.8031543011598</v>
      </c>
      <c r="T177" s="536">
        <v>57.0569297183764</v>
      </c>
      <c r="U177" s="537">
        <v>2.59317878710779</v>
      </c>
      <c r="CE177" s="525"/>
    </row>
    <row r="178">
      <c r="A178" s="509"/>
      <c r="B178" s="526" t="s">
        <v>328</v>
      </c>
      <c r="C178" s="527" t="s">
        <v>289</v>
      </c>
      <c r="D178" s="527" t="s">
        <v>473</v>
      </c>
      <c r="E178" s="530">
        <v>2019.0</v>
      </c>
      <c r="F178" s="527" t="s">
        <v>291</v>
      </c>
      <c r="G178" s="527" t="s">
        <v>89</v>
      </c>
      <c r="H178" s="532">
        <v>13216.00984</v>
      </c>
      <c r="I178" s="532">
        <v>14288.74895</v>
      </c>
      <c r="J178" s="533">
        <v>12211.93734</v>
      </c>
      <c r="K178" s="516"/>
      <c r="L178" s="534" t="s">
        <v>292</v>
      </c>
      <c r="M178" s="535" t="s">
        <v>443</v>
      </c>
      <c r="N178" s="535" t="s">
        <v>294</v>
      </c>
      <c r="O178" s="535" t="s">
        <v>295</v>
      </c>
      <c r="P178" s="535" t="s">
        <v>296</v>
      </c>
      <c r="Q178" s="535" t="s">
        <v>89</v>
      </c>
      <c r="R178" s="535">
        <v>2019.0</v>
      </c>
      <c r="S178" s="536">
        <v>0.0</v>
      </c>
      <c r="T178" s="536">
        <v>0.0</v>
      </c>
      <c r="U178" s="537">
        <v>0.0</v>
      </c>
      <c r="CE178" s="525"/>
    </row>
    <row r="179">
      <c r="A179" s="509"/>
      <c r="B179" s="544" t="s">
        <v>328</v>
      </c>
      <c r="C179" s="545" t="s">
        <v>289</v>
      </c>
      <c r="D179" s="545" t="s">
        <v>477</v>
      </c>
      <c r="E179" s="546">
        <v>2019.0</v>
      </c>
      <c r="F179" s="545" t="s">
        <v>291</v>
      </c>
      <c r="G179" s="545" t="s">
        <v>89</v>
      </c>
      <c r="H179" s="547">
        <v>7913.751091</v>
      </c>
      <c r="I179" s="547">
        <v>8555.702167</v>
      </c>
      <c r="J179" s="548">
        <v>7312.653228</v>
      </c>
      <c r="K179" s="516"/>
      <c r="L179" s="534" t="s">
        <v>292</v>
      </c>
      <c r="M179" s="535" t="s">
        <v>443</v>
      </c>
      <c r="N179" s="535" t="s">
        <v>294</v>
      </c>
      <c r="O179" s="535" t="s">
        <v>311</v>
      </c>
      <c r="P179" s="535" t="s">
        <v>296</v>
      </c>
      <c r="Q179" s="535" t="s">
        <v>89</v>
      </c>
      <c r="R179" s="535">
        <v>2019.0</v>
      </c>
      <c r="S179" s="536">
        <v>0.0</v>
      </c>
      <c r="T179" s="536">
        <v>0.0</v>
      </c>
      <c r="U179" s="537">
        <v>0.0</v>
      </c>
      <c r="CE179" s="525"/>
    </row>
    <row r="180">
      <c r="A180" s="509"/>
      <c r="B180" s="526" t="s">
        <v>328</v>
      </c>
      <c r="C180" s="527" t="s">
        <v>289</v>
      </c>
      <c r="D180" s="527" t="s">
        <v>483</v>
      </c>
      <c r="E180" s="530">
        <v>2019.0</v>
      </c>
      <c r="F180" s="527" t="s">
        <v>291</v>
      </c>
      <c r="G180" s="527" t="s">
        <v>89</v>
      </c>
      <c r="H180" s="532">
        <v>4835.531806</v>
      </c>
      <c r="I180" s="532">
        <v>5227.782561</v>
      </c>
      <c r="J180" s="533">
        <v>4468.24355</v>
      </c>
      <c r="K180" s="516"/>
      <c r="L180" s="534" t="s">
        <v>292</v>
      </c>
      <c r="M180" s="535" t="s">
        <v>443</v>
      </c>
      <c r="N180" s="535" t="s">
        <v>294</v>
      </c>
      <c r="O180" s="535" t="s">
        <v>319</v>
      </c>
      <c r="P180" s="535" t="s">
        <v>296</v>
      </c>
      <c r="Q180" s="535" t="s">
        <v>89</v>
      </c>
      <c r="R180" s="535">
        <v>2019.0</v>
      </c>
      <c r="S180" s="536">
        <v>0.0</v>
      </c>
      <c r="T180" s="536">
        <v>0.0</v>
      </c>
      <c r="U180" s="537">
        <v>0.0</v>
      </c>
      <c r="CE180" s="525"/>
    </row>
    <row r="181">
      <c r="A181" s="509"/>
      <c r="B181" s="544" t="s">
        <v>328</v>
      </c>
      <c r="C181" s="545" t="s">
        <v>289</v>
      </c>
      <c r="D181" s="545" t="s">
        <v>489</v>
      </c>
      <c r="E181" s="546">
        <v>2019.0</v>
      </c>
      <c r="F181" s="545" t="s">
        <v>291</v>
      </c>
      <c r="G181" s="545" t="s">
        <v>89</v>
      </c>
      <c r="H181" s="547">
        <v>3078.084998</v>
      </c>
      <c r="I181" s="547">
        <v>3327.93213</v>
      </c>
      <c r="J181" s="548">
        <v>2844.230714</v>
      </c>
      <c r="K181" s="516"/>
      <c r="L181" s="534" t="s">
        <v>292</v>
      </c>
      <c r="M181" s="535" t="s">
        <v>443</v>
      </c>
      <c r="N181" s="535" t="s">
        <v>294</v>
      </c>
      <c r="O181" s="535" t="s">
        <v>327</v>
      </c>
      <c r="P181" s="535" t="s">
        <v>296</v>
      </c>
      <c r="Q181" s="535" t="s">
        <v>89</v>
      </c>
      <c r="R181" s="535">
        <v>2019.0</v>
      </c>
      <c r="S181" s="536">
        <v>0.0</v>
      </c>
      <c r="T181" s="536">
        <v>0.0</v>
      </c>
      <c r="U181" s="537">
        <v>0.0</v>
      </c>
      <c r="CE181" s="525"/>
    </row>
    <row r="182">
      <c r="A182" s="509"/>
      <c r="B182" s="526" t="s">
        <v>328</v>
      </c>
      <c r="C182" s="527" t="s">
        <v>289</v>
      </c>
      <c r="D182" s="527" t="s">
        <v>493</v>
      </c>
      <c r="E182" s="530">
        <v>2019.0</v>
      </c>
      <c r="F182" s="527" t="s">
        <v>291</v>
      </c>
      <c r="G182" s="527" t="s">
        <v>89</v>
      </c>
      <c r="H182" s="532">
        <v>2161.837304</v>
      </c>
      <c r="I182" s="532">
        <v>2337.202155</v>
      </c>
      <c r="J182" s="533">
        <v>1997.63252</v>
      </c>
      <c r="K182" s="516"/>
      <c r="L182" s="534" t="s">
        <v>292</v>
      </c>
      <c r="M182" s="535" t="s">
        <v>443</v>
      </c>
      <c r="N182" s="535" t="s">
        <v>294</v>
      </c>
      <c r="O182" s="535" t="s">
        <v>335</v>
      </c>
      <c r="P182" s="535" t="s">
        <v>296</v>
      </c>
      <c r="Q182" s="535" t="s">
        <v>89</v>
      </c>
      <c r="R182" s="535">
        <v>2019.0</v>
      </c>
      <c r="S182" s="536">
        <v>0.0</v>
      </c>
      <c r="T182" s="536">
        <v>0.0</v>
      </c>
      <c r="U182" s="537">
        <v>0.0</v>
      </c>
      <c r="CE182" s="525"/>
    </row>
    <row r="183">
      <c r="A183" s="509"/>
      <c r="B183" s="544" t="s">
        <v>328</v>
      </c>
      <c r="C183" s="545" t="s">
        <v>289</v>
      </c>
      <c r="D183" s="545" t="s">
        <v>496</v>
      </c>
      <c r="E183" s="546">
        <v>2019.0</v>
      </c>
      <c r="F183" s="545" t="s">
        <v>291</v>
      </c>
      <c r="G183" s="545" t="s">
        <v>89</v>
      </c>
      <c r="H183" s="547">
        <v>720.7639044</v>
      </c>
      <c r="I183" s="547">
        <v>779.2311418</v>
      </c>
      <c r="J183" s="548">
        <v>666.0174715</v>
      </c>
      <c r="K183" s="516"/>
      <c r="L183" s="534" t="s">
        <v>292</v>
      </c>
      <c r="M183" s="535" t="s">
        <v>443</v>
      </c>
      <c r="N183" s="535" t="s">
        <v>294</v>
      </c>
      <c r="O183" s="535" t="s">
        <v>300</v>
      </c>
      <c r="P183" s="535" t="s">
        <v>296</v>
      </c>
      <c r="Q183" s="535" t="s">
        <v>89</v>
      </c>
      <c r="R183" s="535">
        <v>2019.0</v>
      </c>
      <c r="S183" s="536">
        <v>0.0</v>
      </c>
      <c r="T183" s="536">
        <v>0.0</v>
      </c>
      <c r="U183" s="537">
        <v>0.0</v>
      </c>
      <c r="CE183" s="525"/>
    </row>
    <row r="184">
      <c r="A184" s="509"/>
      <c r="B184" s="526" t="s">
        <v>328</v>
      </c>
      <c r="C184" s="527" t="s">
        <v>289</v>
      </c>
      <c r="D184" s="527" t="s">
        <v>502</v>
      </c>
      <c r="E184" s="530">
        <v>2019.0</v>
      </c>
      <c r="F184" s="527" t="s">
        <v>291</v>
      </c>
      <c r="G184" s="527" t="s">
        <v>89</v>
      </c>
      <c r="H184" s="532">
        <v>195.6180772</v>
      </c>
      <c r="I184" s="532">
        <v>211.4863088</v>
      </c>
      <c r="J184" s="533">
        <v>180.7596862</v>
      </c>
      <c r="K184" s="516"/>
      <c r="L184" s="534" t="s">
        <v>292</v>
      </c>
      <c r="M184" s="535" t="s">
        <v>288</v>
      </c>
      <c r="N184" s="535" t="s">
        <v>294</v>
      </c>
      <c r="O184" s="535" t="s">
        <v>295</v>
      </c>
      <c r="P184" s="535" t="s">
        <v>296</v>
      </c>
      <c r="Q184" s="535" t="s">
        <v>89</v>
      </c>
      <c r="R184" s="535">
        <v>2019.0</v>
      </c>
      <c r="S184" s="536">
        <v>6045.400535629</v>
      </c>
      <c r="T184" s="536">
        <v>11288.0423379824</v>
      </c>
      <c r="U184" s="537">
        <v>2589.0651101277</v>
      </c>
      <c r="CE184" s="525"/>
    </row>
    <row r="185">
      <c r="A185" s="509"/>
      <c r="B185" s="544" t="s">
        <v>328</v>
      </c>
      <c r="C185" s="545" t="s">
        <v>289</v>
      </c>
      <c r="D185" s="545" t="s">
        <v>332</v>
      </c>
      <c r="E185" s="546">
        <v>2019.0</v>
      </c>
      <c r="F185" s="545" t="s">
        <v>291</v>
      </c>
      <c r="G185" s="545" t="s">
        <v>89</v>
      </c>
      <c r="H185" s="547">
        <v>754249.8614</v>
      </c>
      <c r="I185" s="547">
        <v>815433.4271</v>
      </c>
      <c r="J185" s="548">
        <v>696959.965</v>
      </c>
      <c r="K185" s="516"/>
      <c r="L185" s="534" t="s">
        <v>292</v>
      </c>
      <c r="M185" s="535" t="s">
        <v>288</v>
      </c>
      <c r="N185" s="535" t="s">
        <v>294</v>
      </c>
      <c r="O185" s="535" t="s">
        <v>311</v>
      </c>
      <c r="P185" s="535" t="s">
        <v>296</v>
      </c>
      <c r="Q185" s="535" t="s">
        <v>89</v>
      </c>
      <c r="R185" s="535">
        <v>2019.0</v>
      </c>
      <c r="S185" s="536">
        <v>0.0</v>
      </c>
      <c r="T185" s="536">
        <v>0.0</v>
      </c>
      <c r="U185" s="537">
        <v>0.0</v>
      </c>
      <c r="CE185" s="525"/>
    </row>
    <row r="186">
      <c r="A186" s="509"/>
      <c r="B186" s="526" t="s">
        <v>328</v>
      </c>
      <c r="C186" s="527" t="s">
        <v>289</v>
      </c>
      <c r="D186" s="527" t="s">
        <v>510</v>
      </c>
      <c r="E186" s="530">
        <v>2019.0</v>
      </c>
      <c r="F186" s="527" t="s">
        <v>291</v>
      </c>
      <c r="G186" s="527" t="s">
        <v>89</v>
      </c>
      <c r="H186" s="532">
        <v>13840.2338</v>
      </c>
      <c r="I186" s="532">
        <v>16101.87656</v>
      </c>
      <c r="J186" s="533">
        <v>11834.38392</v>
      </c>
      <c r="K186" s="516"/>
      <c r="L186" s="534" t="s">
        <v>292</v>
      </c>
      <c r="M186" s="535" t="s">
        <v>288</v>
      </c>
      <c r="N186" s="535" t="s">
        <v>294</v>
      </c>
      <c r="O186" s="535" t="s">
        <v>319</v>
      </c>
      <c r="P186" s="535" t="s">
        <v>296</v>
      </c>
      <c r="Q186" s="535" t="s">
        <v>89</v>
      </c>
      <c r="R186" s="535">
        <v>2019.0</v>
      </c>
      <c r="S186" s="536">
        <v>285.6197484888</v>
      </c>
      <c r="T186" s="536">
        <v>627.529395192755</v>
      </c>
      <c r="U186" s="537">
        <v>103.740022399902</v>
      </c>
      <c r="CE186" s="525"/>
    </row>
    <row r="187">
      <c r="A187" s="509"/>
      <c r="B187" s="544" t="s">
        <v>328</v>
      </c>
      <c r="C187" s="545" t="s">
        <v>289</v>
      </c>
      <c r="D187" s="545" t="s">
        <v>512</v>
      </c>
      <c r="E187" s="546">
        <v>2019.0</v>
      </c>
      <c r="F187" s="545" t="s">
        <v>291</v>
      </c>
      <c r="G187" s="545" t="s">
        <v>89</v>
      </c>
      <c r="H187" s="547">
        <v>255.2291751</v>
      </c>
      <c r="I187" s="547">
        <v>275.9329655</v>
      </c>
      <c r="J187" s="548">
        <v>235.8429561</v>
      </c>
      <c r="K187" s="516"/>
      <c r="L187" s="534" t="s">
        <v>292</v>
      </c>
      <c r="M187" s="535" t="s">
        <v>288</v>
      </c>
      <c r="N187" s="535" t="s">
        <v>294</v>
      </c>
      <c r="O187" s="535" t="s">
        <v>327</v>
      </c>
      <c r="P187" s="535" t="s">
        <v>296</v>
      </c>
      <c r="Q187" s="535" t="s">
        <v>89</v>
      </c>
      <c r="R187" s="535">
        <v>2019.0</v>
      </c>
      <c r="S187" s="536">
        <v>2305.92900795138</v>
      </c>
      <c r="T187" s="536">
        <v>4474.56847049303</v>
      </c>
      <c r="U187" s="537">
        <v>929.052988267215</v>
      </c>
      <c r="CE187" s="525"/>
    </row>
    <row r="188">
      <c r="A188" s="509"/>
      <c r="B188" s="526" t="s">
        <v>328</v>
      </c>
      <c r="C188" s="527" t="s">
        <v>289</v>
      </c>
      <c r="D188" s="527" t="s">
        <v>515</v>
      </c>
      <c r="E188" s="530">
        <v>2019.0</v>
      </c>
      <c r="F188" s="527" t="s">
        <v>291</v>
      </c>
      <c r="G188" s="527" t="s">
        <v>89</v>
      </c>
      <c r="H188" s="532">
        <v>758.2754846</v>
      </c>
      <c r="I188" s="532">
        <v>819.7856025</v>
      </c>
      <c r="J188" s="533">
        <v>700.6798175</v>
      </c>
      <c r="K188" s="516"/>
      <c r="L188" s="534" t="s">
        <v>292</v>
      </c>
      <c r="M188" s="535" t="s">
        <v>288</v>
      </c>
      <c r="N188" s="535" t="s">
        <v>294</v>
      </c>
      <c r="O188" s="535" t="s">
        <v>335</v>
      </c>
      <c r="P188" s="535" t="s">
        <v>296</v>
      </c>
      <c r="Q188" s="535" t="s">
        <v>89</v>
      </c>
      <c r="R188" s="535">
        <v>2019.0</v>
      </c>
      <c r="S188" s="536">
        <v>10784.3378416219</v>
      </c>
      <c r="T188" s="536">
        <v>21289.6572445798</v>
      </c>
      <c r="U188" s="537">
        <v>4631.71518533306</v>
      </c>
      <c r="CE188" s="525"/>
    </row>
    <row r="189">
      <c r="A189" s="509"/>
      <c r="B189" s="544" t="s">
        <v>328</v>
      </c>
      <c r="C189" s="545" t="s">
        <v>289</v>
      </c>
      <c r="D189" s="545" t="s">
        <v>518</v>
      </c>
      <c r="E189" s="546">
        <v>2019.0</v>
      </c>
      <c r="F189" s="545" t="s">
        <v>291</v>
      </c>
      <c r="G189" s="545" t="s">
        <v>89</v>
      </c>
      <c r="H189" s="547">
        <v>1013.50466</v>
      </c>
      <c r="I189" s="547">
        <v>1095.718568</v>
      </c>
      <c r="J189" s="548">
        <v>936.5227736</v>
      </c>
      <c r="K189" s="516"/>
      <c r="L189" s="534" t="s">
        <v>292</v>
      </c>
      <c r="M189" s="535" t="s">
        <v>288</v>
      </c>
      <c r="N189" s="535" t="s">
        <v>294</v>
      </c>
      <c r="O189" s="535" t="s">
        <v>300</v>
      </c>
      <c r="P189" s="535" t="s">
        <v>296</v>
      </c>
      <c r="Q189" s="535" t="s">
        <v>89</v>
      </c>
      <c r="R189" s="535">
        <v>2019.0</v>
      </c>
      <c r="S189" s="536">
        <v>832.564917977355</v>
      </c>
      <c r="T189" s="536">
        <v>1604.89513067653</v>
      </c>
      <c r="U189" s="537">
        <v>336.89291865432</v>
      </c>
      <c r="CE189" s="525"/>
    </row>
    <row r="190">
      <c r="A190" s="509"/>
      <c r="B190" s="526" t="s">
        <v>328</v>
      </c>
      <c r="C190" s="527" t="s">
        <v>289</v>
      </c>
      <c r="D190" s="527" t="s">
        <v>522</v>
      </c>
      <c r="E190" s="530">
        <v>2019.0</v>
      </c>
      <c r="F190" s="527" t="s">
        <v>291</v>
      </c>
      <c r="G190" s="527" t="s">
        <v>89</v>
      </c>
      <c r="H190" s="532">
        <v>12234.1824</v>
      </c>
      <c r="I190" s="532">
        <v>13226.60009</v>
      </c>
      <c r="J190" s="533">
        <v>11304.92132</v>
      </c>
      <c r="K190" s="516"/>
      <c r="L190" s="534" t="s">
        <v>292</v>
      </c>
      <c r="M190" s="535" t="s">
        <v>341</v>
      </c>
      <c r="N190" s="535" t="s">
        <v>294</v>
      </c>
      <c r="O190" s="535" t="s">
        <v>295</v>
      </c>
      <c r="P190" s="535" t="s">
        <v>296</v>
      </c>
      <c r="Q190" s="535" t="s">
        <v>89</v>
      </c>
      <c r="R190" s="535">
        <v>2019.0</v>
      </c>
      <c r="S190" s="536">
        <v>4618.0636746201</v>
      </c>
      <c r="T190" s="536">
        <v>8830.26771531253</v>
      </c>
      <c r="U190" s="537">
        <v>1787.01736771662</v>
      </c>
      <c r="CE190" s="525"/>
    </row>
    <row r="191">
      <c r="A191" s="509"/>
      <c r="B191" s="544" t="s">
        <v>328</v>
      </c>
      <c r="C191" s="545" t="s">
        <v>289</v>
      </c>
      <c r="D191" s="545" t="s">
        <v>302</v>
      </c>
      <c r="E191" s="546">
        <v>2019.0</v>
      </c>
      <c r="F191" s="545" t="s">
        <v>291</v>
      </c>
      <c r="G191" s="545" t="s">
        <v>89</v>
      </c>
      <c r="H191" s="547">
        <v>65342.45971</v>
      </c>
      <c r="I191" s="547">
        <v>70642.93755</v>
      </c>
      <c r="J191" s="548">
        <v>60379.29971</v>
      </c>
      <c r="K191" s="516"/>
      <c r="L191" s="534" t="s">
        <v>292</v>
      </c>
      <c r="M191" s="535" t="s">
        <v>341</v>
      </c>
      <c r="N191" s="535" t="s">
        <v>294</v>
      </c>
      <c r="O191" s="535" t="s">
        <v>311</v>
      </c>
      <c r="P191" s="535" t="s">
        <v>296</v>
      </c>
      <c r="Q191" s="535" t="s">
        <v>89</v>
      </c>
      <c r="R191" s="535">
        <v>2019.0</v>
      </c>
      <c r="S191" s="536">
        <v>0.0</v>
      </c>
      <c r="T191" s="536">
        <v>0.0</v>
      </c>
      <c r="U191" s="537">
        <v>0.0</v>
      </c>
      <c r="CE191" s="525"/>
    </row>
    <row r="192">
      <c r="A192" s="509"/>
      <c r="B192" s="526" t="s">
        <v>336</v>
      </c>
      <c r="C192" s="527" t="s">
        <v>289</v>
      </c>
      <c r="D192" s="527" t="s">
        <v>290</v>
      </c>
      <c r="E192" s="530">
        <v>2019.0</v>
      </c>
      <c r="F192" s="527" t="s">
        <v>291</v>
      </c>
      <c r="G192" s="527" t="s">
        <v>89</v>
      </c>
      <c r="H192" s="532">
        <v>47015.02236</v>
      </c>
      <c r="I192" s="532">
        <v>52423.55948</v>
      </c>
      <c r="J192" s="533">
        <v>41908.90952</v>
      </c>
      <c r="K192" s="516"/>
      <c r="L192" s="534" t="s">
        <v>292</v>
      </c>
      <c r="M192" s="535" t="s">
        <v>341</v>
      </c>
      <c r="N192" s="535" t="s">
        <v>294</v>
      </c>
      <c r="O192" s="535" t="s">
        <v>319</v>
      </c>
      <c r="P192" s="535" t="s">
        <v>296</v>
      </c>
      <c r="Q192" s="535" t="s">
        <v>89</v>
      </c>
      <c r="R192" s="535">
        <v>2019.0</v>
      </c>
      <c r="S192" s="536">
        <v>371.064587312001</v>
      </c>
      <c r="T192" s="536">
        <v>796.760126124306</v>
      </c>
      <c r="U192" s="537">
        <v>124.6269241</v>
      </c>
      <c r="CE192" s="525"/>
    </row>
    <row r="193">
      <c r="A193" s="509"/>
      <c r="B193" s="544" t="s">
        <v>336</v>
      </c>
      <c r="C193" s="545" t="s">
        <v>289</v>
      </c>
      <c r="D193" s="545" t="s">
        <v>310</v>
      </c>
      <c r="E193" s="546">
        <v>2019.0</v>
      </c>
      <c r="F193" s="545" t="s">
        <v>291</v>
      </c>
      <c r="G193" s="545" t="s">
        <v>89</v>
      </c>
      <c r="H193" s="547">
        <v>918678.2262</v>
      </c>
      <c r="I193" s="547">
        <v>1024361.581</v>
      </c>
      <c r="J193" s="548">
        <v>818904.272</v>
      </c>
      <c r="K193" s="516"/>
      <c r="L193" s="534" t="s">
        <v>292</v>
      </c>
      <c r="M193" s="535" t="s">
        <v>341</v>
      </c>
      <c r="N193" s="535" t="s">
        <v>294</v>
      </c>
      <c r="O193" s="535" t="s">
        <v>327</v>
      </c>
      <c r="P193" s="535" t="s">
        <v>296</v>
      </c>
      <c r="Q193" s="535" t="s">
        <v>89</v>
      </c>
      <c r="R193" s="535">
        <v>2019.0</v>
      </c>
      <c r="S193" s="536">
        <v>2219.58470328251</v>
      </c>
      <c r="T193" s="536">
        <v>4283.3070916392</v>
      </c>
      <c r="U193" s="537">
        <v>850.627324706511</v>
      </c>
      <c r="CE193" s="525"/>
    </row>
    <row r="194">
      <c r="A194" s="509"/>
      <c r="B194" s="526" t="s">
        <v>336</v>
      </c>
      <c r="C194" s="527" t="s">
        <v>289</v>
      </c>
      <c r="D194" s="527" t="s">
        <v>318</v>
      </c>
      <c r="E194" s="530">
        <v>2019.0</v>
      </c>
      <c r="F194" s="527" t="s">
        <v>291</v>
      </c>
      <c r="G194" s="527" t="s">
        <v>89</v>
      </c>
      <c r="H194" s="532">
        <v>705217.2979</v>
      </c>
      <c r="I194" s="532">
        <v>786344.4301</v>
      </c>
      <c r="J194" s="533">
        <v>628626.4782</v>
      </c>
      <c r="K194" s="516"/>
      <c r="L194" s="534" t="s">
        <v>292</v>
      </c>
      <c r="M194" s="535" t="s">
        <v>341</v>
      </c>
      <c r="N194" s="535" t="s">
        <v>294</v>
      </c>
      <c r="O194" s="535" t="s">
        <v>335</v>
      </c>
      <c r="P194" s="535" t="s">
        <v>296</v>
      </c>
      <c r="Q194" s="535" t="s">
        <v>89</v>
      </c>
      <c r="R194" s="535">
        <v>2019.0</v>
      </c>
      <c r="S194" s="536">
        <v>8048.92307918241</v>
      </c>
      <c r="T194" s="536">
        <v>16747.5342970633</v>
      </c>
      <c r="U194" s="537">
        <v>2812.37162789593</v>
      </c>
      <c r="CE194" s="525"/>
    </row>
    <row r="195">
      <c r="A195" s="509"/>
      <c r="B195" s="544" t="s">
        <v>336</v>
      </c>
      <c r="C195" s="545" t="s">
        <v>289</v>
      </c>
      <c r="D195" s="545" t="s">
        <v>309</v>
      </c>
      <c r="E195" s="546">
        <v>2019.0</v>
      </c>
      <c r="F195" s="545" t="s">
        <v>291</v>
      </c>
      <c r="G195" s="545" t="s">
        <v>89</v>
      </c>
      <c r="H195" s="547">
        <v>189493.7384</v>
      </c>
      <c r="I195" s="547">
        <v>211292.8117</v>
      </c>
      <c r="J195" s="548">
        <v>168913.5842</v>
      </c>
      <c r="K195" s="516"/>
      <c r="L195" s="534" t="s">
        <v>292</v>
      </c>
      <c r="M195" s="535" t="s">
        <v>341</v>
      </c>
      <c r="N195" s="535" t="s">
        <v>294</v>
      </c>
      <c r="O195" s="535" t="s">
        <v>300</v>
      </c>
      <c r="P195" s="535" t="s">
        <v>296</v>
      </c>
      <c r="Q195" s="535" t="s">
        <v>89</v>
      </c>
      <c r="R195" s="535">
        <v>2019.0</v>
      </c>
      <c r="S195" s="536">
        <v>563.030256998205</v>
      </c>
      <c r="T195" s="536">
        <v>1193.40595135354</v>
      </c>
      <c r="U195" s="537">
        <v>193.129212415393</v>
      </c>
      <c r="CE195" s="525"/>
    </row>
    <row r="196">
      <c r="A196" s="509"/>
      <c r="B196" s="526" t="s">
        <v>336</v>
      </c>
      <c r="C196" s="527" t="s">
        <v>289</v>
      </c>
      <c r="D196" s="527" t="s">
        <v>334</v>
      </c>
      <c r="E196" s="530">
        <v>2019.0</v>
      </c>
      <c r="F196" s="527" t="s">
        <v>291</v>
      </c>
      <c r="G196" s="527" t="s">
        <v>89</v>
      </c>
      <c r="H196" s="532">
        <v>229422.7425</v>
      </c>
      <c r="I196" s="532">
        <v>255815.1881</v>
      </c>
      <c r="J196" s="533">
        <v>204506.0595</v>
      </c>
      <c r="K196" s="516"/>
      <c r="L196" s="534" t="s">
        <v>292</v>
      </c>
      <c r="M196" s="535" t="s">
        <v>394</v>
      </c>
      <c r="N196" s="535" t="s">
        <v>294</v>
      </c>
      <c r="O196" s="535" t="s">
        <v>295</v>
      </c>
      <c r="P196" s="535" t="s">
        <v>296</v>
      </c>
      <c r="Q196" s="535" t="s">
        <v>89</v>
      </c>
      <c r="R196" s="535">
        <v>2019.0</v>
      </c>
      <c r="S196" s="536">
        <v>3.96968489642009</v>
      </c>
      <c r="T196" s="536">
        <v>14.2478061059131</v>
      </c>
      <c r="U196" s="537">
        <v>0.0</v>
      </c>
      <c r="CE196" s="525"/>
    </row>
    <row r="197">
      <c r="A197" s="509"/>
      <c r="B197" s="544" t="s">
        <v>336</v>
      </c>
      <c r="C197" s="545" t="s">
        <v>289</v>
      </c>
      <c r="D197" s="545" t="s">
        <v>339</v>
      </c>
      <c r="E197" s="546">
        <v>2019.0</v>
      </c>
      <c r="F197" s="545" t="s">
        <v>291</v>
      </c>
      <c r="G197" s="545" t="s">
        <v>89</v>
      </c>
      <c r="H197" s="547">
        <v>442883.6708</v>
      </c>
      <c r="I197" s="547">
        <v>493832.339</v>
      </c>
      <c r="J197" s="548">
        <v>394783.8532</v>
      </c>
      <c r="K197" s="516"/>
      <c r="L197" s="534" t="s">
        <v>292</v>
      </c>
      <c r="M197" s="535" t="s">
        <v>394</v>
      </c>
      <c r="N197" s="535" t="s">
        <v>294</v>
      </c>
      <c r="O197" s="535" t="s">
        <v>311</v>
      </c>
      <c r="P197" s="535" t="s">
        <v>296</v>
      </c>
      <c r="Q197" s="535" t="s">
        <v>89</v>
      </c>
      <c r="R197" s="535">
        <v>2019.0</v>
      </c>
      <c r="S197" s="536">
        <v>0.0</v>
      </c>
      <c r="T197" s="536">
        <v>0.0</v>
      </c>
      <c r="U197" s="537">
        <v>0.0</v>
      </c>
      <c r="CE197" s="525"/>
    </row>
    <row r="198">
      <c r="A198" s="509"/>
      <c r="B198" s="526" t="s">
        <v>336</v>
      </c>
      <c r="C198" s="527" t="s">
        <v>289</v>
      </c>
      <c r="D198" s="527" t="s">
        <v>344</v>
      </c>
      <c r="E198" s="530">
        <v>2019.0</v>
      </c>
      <c r="F198" s="527" t="s">
        <v>291</v>
      </c>
      <c r="G198" s="527" t="s">
        <v>89</v>
      </c>
      <c r="H198" s="532">
        <v>650270.3189</v>
      </c>
      <c r="I198" s="532">
        <v>725076.4336</v>
      </c>
      <c r="J198" s="533">
        <v>579647.07</v>
      </c>
      <c r="K198" s="516"/>
      <c r="L198" s="573" t="s">
        <v>292</v>
      </c>
      <c r="M198" s="574" t="s">
        <v>394</v>
      </c>
      <c r="N198" s="574" t="s">
        <v>294</v>
      </c>
      <c r="O198" s="574" t="s">
        <v>319</v>
      </c>
      <c r="P198" s="574" t="s">
        <v>296</v>
      </c>
      <c r="Q198" s="574" t="s">
        <v>89</v>
      </c>
      <c r="R198" s="575">
        <v>2019.0</v>
      </c>
      <c r="S198" s="576">
        <v>0.017396519</v>
      </c>
      <c r="T198" s="576">
        <v>0.0624776031538801</v>
      </c>
      <c r="U198" s="578">
        <v>0.0</v>
      </c>
      <c r="CE198" s="525"/>
    </row>
    <row r="199">
      <c r="A199" s="509"/>
      <c r="B199" s="544" t="s">
        <v>336</v>
      </c>
      <c r="C199" s="545" t="s">
        <v>289</v>
      </c>
      <c r="D199" s="545" t="s">
        <v>349</v>
      </c>
      <c r="E199" s="546">
        <v>2019.0</v>
      </c>
      <c r="F199" s="545" t="s">
        <v>291</v>
      </c>
      <c r="G199" s="545" t="s">
        <v>89</v>
      </c>
      <c r="H199" s="547">
        <v>213460.9283</v>
      </c>
      <c r="I199" s="547">
        <v>238017.1509</v>
      </c>
      <c r="J199" s="548">
        <v>190277.7938</v>
      </c>
      <c r="K199" s="516"/>
      <c r="L199" s="534" t="s">
        <v>292</v>
      </c>
      <c r="M199" s="535" t="s">
        <v>394</v>
      </c>
      <c r="N199" s="535" t="s">
        <v>294</v>
      </c>
      <c r="O199" s="535" t="s">
        <v>327</v>
      </c>
      <c r="P199" s="535" t="s">
        <v>296</v>
      </c>
      <c r="Q199" s="535" t="s">
        <v>89</v>
      </c>
      <c r="R199" s="535">
        <v>2019.0</v>
      </c>
      <c r="S199" s="536">
        <v>0.958287254325898</v>
      </c>
      <c r="T199" s="536">
        <v>3.4747284080767</v>
      </c>
      <c r="U199" s="537">
        <v>0.0</v>
      </c>
      <c r="CE199" s="525"/>
    </row>
    <row r="200">
      <c r="A200" s="509"/>
      <c r="B200" s="526" t="s">
        <v>336</v>
      </c>
      <c r="C200" s="527" t="s">
        <v>289</v>
      </c>
      <c r="D200" s="527" t="s">
        <v>355</v>
      </c>
      <c r="E200" s="530">
        <v>2019.0</v>
      </c>
      <c r="F200" s="527" t="s">
        <v>291</v>
      </c>
      <c r="G200" s="527" t="s">
        <v>89</v>
      </c>
      <c r="H200" s="532">
        <v>1054096.444</v>
      </c>
      <c r="I200" s="532">
        <v>1175372.872</v>
      </c>
      <c r="J200" s="533">
        <v>939594.3205</v>
      </c>
      <c r="K200" s="516"/>
      <c r="L200" s="534" t="s">
        <v>292</v>
      </c>
      <c r="M200" s="535" t="s">
        <v>394</v>
      </c>
      <c r="N200" s="535" t="s">
        <v>294</v>
      </c>
      <c r="O200" s="535" t="s">
        <v>335</v>
      </c>
      <c r="P200" s="535" t="s">
        <v>296</v>
      </c>
      <c r="Q200" s="535" t="s">
        <v>89</v>
      </c>
      <c r="R200" s="535">
        <v>2019.0</v>
      </c>
      <c r="S200" s="536">
        <v>9.10312865303406</v>
      </c>
      <c r="T200" s="536">
        <v>31.8785105372994</v>
      </c>
      <c r="U200" s="537">
        <v>0.0</v>
      </c>
      <c r="CE200" s="525"/>
    </row>
    <row r="201">
      <c r="A201" s="509"/>
      <c r="B201" s="544" t="s">
        <v>336</v>
      </c>
      <c r="C201" s="545" t="s">
        <v>289</v>
      </c>
      <c r="D201" s="545" t="s">
        <v>358</v>
      </c>
      <c r="E201" s="546">
        <v>2019.0</v>
      </c>
      <c r="F201" s="545" t="s">
        <v>291</v>
      </c>
      <c r="G201" s="545" t="s">
        <v>89</v>
      </c>
      <c r="H201" s="547">
        <v>1322798.368</v>
      </c>
      <c r="I201" s="547">
        <v>1474971.093</v>
      </c>
      <c r="J201" s="548">
        <v>1179134.547</v>
      </c>
      <c r="K201" s="516"/>
      <c r="L201" s="534" t="s">
        <v>292</v>
      </c>
      <c r="M201" s="535" t="s">
        <v>394</v>
      </c>
      <c r="N201" s="535" t="s">
        <v>294</v>
      </c>
      <c r="O201" s="535" t="s">
        <v>300</v>
      </c>
      <c r="P201" s="535" t="s">
        <v>296</v>
      </c>
      <c r="Q201" s="535" t="s">
        <v>89</v>
      </c>
      <c r="R201" s="535">
        <v>2019.0</v>
      </c>
      <c r="S201" s="536">
        <v>1.01967796938816</v>
      </c>
      <c r="T201" s="536">
        <v>3.61058207537464</v>
      </c>
      <c r="U201" s="537">
        <v>0.0</v>
      </c>
      <c r="CE201" s="525"/>
    </row>
    <row r="202">
      <c r="A202" s="509"/>
      <c r="B202" s="526" t="s">
        <v>336</v>
      </c>
      <c r="C202" s="527" t="s">
        <v>289</v>
      </c>
      <c r="D202" s="527" t="s">
        <v>362</v>
      </c>
      <c r="E202" s="530">
        <v>2019.0</v>
      </c>
      <c r="F202" s="527" t="s">
        <v>291</v>
      </c>
      <c r="G202" s="527" t="s">
        <v>89</v>
      </c>
      <c r="H202" s="532">
        <v>1420046.871</v>
      </c>
      <c r="I202" s="532">
        <v>1583426.81</v>
      </c>
      <c r="J202" s="533">
        <v>1265793.071</v>
      </c>
      <c r="K202" s="516"/>
      <c r="L202" s="534" t="s">
        <v>292</v>
      </c>
      <c r="M202" s="535" t="s">
        <v>7</v>
      </c>
      <c r="N202" s="535" t="s">
        <v>294</v>
      </c>
      <c r="O202" s="535" t="s">
        <v>295</v>
      </c>
      <c r="P202" s="535" t="s">
        <v>296</v>
      </c>
      <c r="Q202" s="535" t="s">
        <v>89</v>
      </c>
      <c r="R202" s="535">
        <v>2019.0</v>
      </c>
      <c r="S202" s="536">
        <v>95636.1263119291</v>
      </c>
      <c r="T202" s="536">
        <v>173344.026402755</v>
      </c>
      <c r="U202" s="537">
        <v>44896.5804929077</v>
      </c>
      <c r="CE202" s="525"/>
    </row>
    <row r="203">
      <c r="A203" s="509"/>
      <c r="B203" s="544" t="s">
        <v>336</v>
      </c>
      <c r="C203" s="545" t="s">
        <v>289</v>
      </c>
      <c r="D203" s="545" t="s">
        <v>366</v>
      </c>
      <c r="E203" s="546">
        <v>2019.0</v>
      </c>
      <c r="F203" s="545" t="s">
        <v>291</v>
      </c>
      <c r="G203" s="545" t="s">
        <v>89</v>
      </c>
      <c r="H203" s="547">
        <v>207386.6481</v>
      </c>
      <c r="I203" s="547">
        <v>231244.0947</v>
      </c>
      <c r="J203" s="548">
        <v>184863.2168</v>
      </c>
      <c r="K203" s="516"/>
      <c r="L203" s="534" t="s">
        <v>292</v>
      </c>
      <c r="M203" s="535" t="s">
        <v>7</v>
      </c>
      <c r="N203" s="535" t="s">
        <v>294</v>
      </c>
      <c r="O203" s="535" t="s">
        <v>311</v>
      </c>
      <c r="P203" s="535" t="s">
        <v>296</v>
      </c>
      <c r="Q203" s="535" t="s">
        <v>89</v>
      </c>
      <c r="R203" s="535">
        <v>2019.0</v>
      </c>
      <c r="S203" s="536">
        <v>0.0</v>
      </c>
      <c r="T203" s="536">
        <v>0.0</v>
      </c>
      <c r="U203" s="537">
        <v>0.0</v>
      </c>
      <c r="CE203" s="525"/>
    </row>
    <row r="204">
      <c r="A204" s="509"/>
      <c r="B204" s="526" t="s">
        <v>336</v>
      </c>
      <c r="C204" s="527" t="s">
        <v>289</v>
      </c>
      <c r="D204" s="527" t="s">
        <v>368</v>
      </c>
      <c r="E204" s="530">
        <v>2019.0</v>
      </c>
      <c r="F204" s="527" t="s">
        <v>291</v>
      </c>
      <c r="G204" s="527" t="s">
        <v>89</v>
      </c>
      <c r="H204" s="532">
        <v>1212656.428</v>
      </c>
      <c r="I204" s="532">
        <v>1352158.591</v>
      </c>
      <c r="J204" s="533">
        <v>1080954.682</v>
      </c>
      <c r="K204" s="516"/>
      <c r="L204" s="534" t="s">
        <v>292</v>
      </c>
      <c r="M204" s="535" t="s">
        <v>7</v>
      </c>
      <c r="N204" s="535" t="s">
        <v>294</v>
      </c>
      <c r="O204" s="535" t="s">
        <v>319</v>
      </c>
      <c r="P204" s="535" t="s">
        <v>296</v>
      </c>
      <c r="Q204" s="535" t="s">
        <v>89</v>
      </c>
      <c r="R204" s="535">
        <v>2019.0</v>
      </c>
      <c r="S204" s="536">
        <v>4224.06604</v>
      </c>
      <c r="T204" s="536">
        <v>8724.97769822289</v>
      </c>
      <c r="U204" s="537">
        <v>1767.98344600168</v>
      </c>
      <c r="CE204" s="525"/>
    </row>
    <row r="205">
      <c r="A205" s="509"/>
      <c r="B205" s="544" t="s">
        <v>336</v>
      </c>
      <c r="C205" s="545" t="s">
        <v>289</v>
      </c>
      <c r="D205" s="545" t="s">
        <v>373</v>
      </c>
      <c r="E205" s="546">
        <v>2019.0</v>
      </c>
      <c r="F205" s="545" t="s">
        <v>291</v>
      </c>
      <c r="G205" s="545" t="s">
        <v>89</v>
      </c>
      <c r="H205" s="547">
        <v>217139.5368</v>
      </c>
      <c r="I205" s="547">
        <v>242118.941</v>
      </c>
      <c r="J205" s="548">
        <v>193556.8834</v>
      </c>
      <c r="K205" s="516"/>
      <c r="L205" s="534" t="s">
        <v>292</v>
      </c>
      <c r="M205" s="535" t="s">
        <v>7</v>
      </c>
      <c r="N205" s="535" t="s">
        <v>294</v>
      </c>
      <c r="O205" s="535" t="s">
        <v>327</v>
      </c>
      <c r="P205" s="535" t="s">
        <v>296</v>
      </c>
      <c r="Q205" s="535" t="s">
        <v>89</v>
      </c>
      <c r="R205" s="535">
        <v>2019.0</v>
      </c>
      <c r="S205" s="536">
        <v>22863.3850424294</v>
      </c>
      <c r="T205" s="536">
        <v>44356.573863838</v>
      </c>
      <c r="U205" s="537">
        <v>10088.5605044722</v>
      </c>
      <c r="CE205" s="525"/>
    </row>
    <row r="206">
      <c r="A206" s="509"/>
      <c r="B206" s="526" t="s">
        <v>336</v>
      </c>
      <c r="C206" s="527" t="s">
        <v>289</v>
      </c>
      <c r="D206" s="527" t="s">
        <v>379</v>
      </c>
      <c r="E206" s="530">
        <v>2019.0</v>
      </c>
      <c r="F206" s="527" t="s">
        <v>291</v>
      </c>
      <c r="G206" s="527" t="s">
        <v>89</v>
      </c>
      <c r="H206" s="532">
        <v>901953.2012</v>
      </c>
      <c r="I206" s="532">
        <v>1005725.17</v>
      </c>
      <c r="J206" s="533">
        <v>803977.7673</v>
      </c>
      <c r="K206" s="516"/>
      <c r="L206" s="534" t="s">
        <v>292</v>
      </c>
      <c r="M206" s="535" t="s">
        <v>7</v>
      </c>
      <c r="N206" s="535" t="s">
        <v>294</v>
      </c>
      <c r="O206" s="535" t="s">
        <v>335</v>
      </c>
      <c r="P206" s="535" t="s">
        <v>296</v>
      </c>
      <c r="Q206" s="535" t="s">
        <v>89</v>
      </c>
      <c r="R206" s="535">
        <v>2019.0</v>
      </c>
      <c r="S206" s="536">
        <v>191106.092456624</v>
      </c>
      <c r="T206" s="536">
        <v>352275.325274514</v>
      </c>
      <c r="U206" s="537">
        <v>91478.766161589</v>
      </c>
      <c r="CE206" s="525"/>
    </row>
    <row r="207">
      <c r="A207" s="509"/>
      <c r="B207" s="544" t="s">
        <v>336</v>
      </c>
      <c r="C207" s="545" t="s">
        <v>289</v>
      </c>
      <c r="D207" s="545" t="s">
        <v>382</v>
      </c>
      <c r="E207" s="546">
        <v>2019.0</v>
      </c>
      <c r="F207" s="545" t="s">
        <v>291</v>
      </c>
      <c r="G207" s="545" t="s">
        <v>89</v>
      </c>
      <c r="H207" s="547">
        <v>217024.3918</v>
      </c>
      <c r="I207" s="547">
        <v>241990.5498</v>
      </c>
      <c r="J207" s="548">
        <v>193454.2438</v>
      </c>
      <c r="K207" s="516"/>
      <c r="L207" s="534" t="s">
        <v>292</v>
      </c>
      <c r="M207" s="535" t="s">
        <v>7</v>
      </c>
      <c r="N207" s="535" t="s">
        <v>294</v>
      </c>
      <c r="O207" s="535" t="s">
        <v>300</v>
      </c>
      <c r="P207" s="535" t="s">
        <v>296</v>
      </c>
      <c r="Q207" s="535" t="s">
        <v>89</v>
      </c>
      <c r="R207" s="535">
        <v>2019.0</v>
      </c>
      <c r="S207" s="536">
        <v>9479.29452029095</v>
      </c>
      <c r="T207" s="536">
        <v>16999.1033647602</v>
      </c>
      <c r="U207" s="537">
        <v>4638.09488955532</v>
      </c>
      <c r="CE207" s="525"/>
    </row>
    <row r="208">
      <c r="A208" s="509"/>
      <c r="B208" s="526" t="s">
        <v>336</v>
      </c>
      <c r="C208" s="527" t="s">
        <v>289</v>
      </c>
      <c r="D208" s="527" t="s">
        <v>387</v>
      </c>
      <c r="E208" s="530">
        <v>2019.0</v>
      </c>
      <c r="F208" s="527" t="s">
        <v>291</v>
      </c>
      <c r="G208" s="527" t="s">
        <v>89</v>
      </c>
      <c r="H208" s="532">
        <v>199082.1221</v>
      </c>
      <c r="I208" s="532">
        <v>221984.2286</v>
      </c>
      <c r="J208" s="533">
        <v>177460.612</v>
      </c>
      <c r="K208" s="516"/>
      <c r="L208" s="534" t="s">
        <v>292</v>
      </c>
      <c r="M208" s="535" t="s">
        <v>451</v>
      </c>
      <c r="N208" s="535" t="s">
        <v>294</v>
      </c>
      <c r="O208" s="535" t="s">
        <v>295</v>
      </c>
      <c r="P208" s="535" t="s">
        <v>296</v>
      </c>
      <c r="Q208" s="535" t="s">
        <v>89</v>
      </c>
      <c r="R208" s="535">
        <v>2019.0</v>
      </c>
      <c r="S208" s="536">
        <v>2884.28279952002</v>
      </c>
      <c r="T208" s="536">
        <v>6016.84251298992</v>
      </c>
      <c r="U208" s="537">
        <v>969.35976</v>
      </c>
      <c r="CE208" s="525"/>
    </row>
    <row r="209">
      <c r="A209" s="509"/>
      <c r="B209" s="544" t="s">
        <v>336</v>
      </c>
      <c r="C209" s="545" t="s">
        <v>289</v>
      </c>
      <c r="D209" s="545" t="s">
        <v>392</v>
      </c>
      <c r="E209" s="546">
        <v>2019.0</v>
      </c>
      <c r="F209" s="545" t="s">
        <v>291</v>
      </c>
      <c r="G209" s="545" t="s">
        <v>89</v>
      </c>
      <c r="H209" s="547">
        <v>153340.2909</v>
      </c>
      <c r="I209" s="547">
        <v>170980.3263</v>
      </c>
      <c r="J209" s="548">
        <v>136686.6175</v>
      </c>
      <c r="K209" s="516"/>
      <c r="L209" s="534" t="s">
        <v>292</v>
      </c>
      <c r="M209" s="535" t="s">
        <v>451</v>
      </c>
      <c r="N209" s="535" t="s">
        <v>294</v>
      </c>
      <c r="O209" s="535" t="s">
        <v>311</v>
      </c>
      <c r="P209" s="535" t="s">
        <v>296</v>
      </c>
      <c r="Q209" s="535" t="s">
        <v>89</v>
      </c>
      <c r="R209" s="535">
        <v>2019.0</v>
      </c>
      <c r="S209" s="536">
        <v>0.0</v>
      </c>
      <c r="T209" s="536">
        <v>0.0</v>
      </c>
      <c r="U209" s="537">
        <v>0.0</v>
      </c>
      <c r="CE209" s="525"/>
    </row>
    <row r="210">
      <c r="A210" s="509"/>
      <c r="B210" s="526" t="s">
        <v>336</v>
      </c>
      <c r="C210" s="527" t="s">
        <v>289</v>
      </c>
      <c r="D210" s="527" t="s">
        <v>398</v>
      </c>
      <c r="E210" s="530">
        <v>2019.0</v>
      </c>
      <c r="F210" s="527" t="s">
        <v>291</v>
      </c>
      <c r="G210" s="527" t="s">
        <v>89</v>
      </c>
      <c r="H210" s="532">
        <v>115364.4496</v>
      </c>
      <c r="I210" s="532">
        <v>128635.8015</v>
      </c>
      <c r="J210" s="533">
        <v>102835.1798</v>
      </c>
      <c r="K210" s="516"/>
      <c r="L210" s="534" t="s">
        <v>292</v>
      </c>
      <c r="M210" s="535" t="s">
        <v>451</v>
      </c>
      <c r="N210" s="535" t="s">
        <v>294</v>
      </c>
      <c r="O210" s="535" t="s">
        <v>319</v>
      </c>
      <c r="P210" s="535" t="s">
        <v>296</v>
      </c>
      <c r="Q210" s="535" t="s">
        <v>89</v>
      </c>
      <c r="R210" s="535">
        <v>2019.0</v>
      </c>
      <c r="S210" s="536">
        <v>219.331502318989</v>
      </c>
      <c r="T210" s="536">
        <v>498.926664695924</v>
      </c>
      <c r="U210" s="537">
        <v>70.3072375013452</v>
      </c>
      <c r="CE210" s="525"/>
    </row>
    <row r="211">
      <c r="A211" s="509"/>
      <c r="B211" s="544" t="s">
        <v>336</v>
      </c>
      <c r="C211" s="545" t="s">
        <v>289</v>
      </c>
      <c r="D211" s="545" t="s">
        <v>402</v>
      </c>
      <c r="E211" s="546">
        <v>2019.0</v>
      </c>
      <c r="F211" s="545" t="s">
        <v>291</v>
      </c>
      <c r="G211" s="545" t="s">
        <v>89</v>
      </c>
      <c r="H211" s="547">
        <v>682171.2882</v>
      </c>
      <c r="I211" s="547">
        <v>760656.7986</v>
      </c>
      <c r="J211" s="548">
        <v>608069.8516</v>
      </c>
      <c r="K211" s="516"/>
      <c r="L211" s="592" t="s">
        <v>292</v>
      </c>
      <c r="M211" s="593" t="s">
        <v>451</v>
      </c>
      <c r="N211" s="593" t="s">
        <v>294</v>
      </c>
      <c r="O211" s="593" t="s">
        <v>327</v>
      </c>
      <c r="P211" s="593" t="s">
        <v>296</v>
      </c>
      <c r="Q211" s="593" t="s">
        <v>89</v>
      </c>
      <c r="R211" s="595">
        <v>2019.0</v>
      </c>
      <c r="S211" s="596">
        <v>1379.78711750907</v>
      </c>
      <c r="T211" s="596">
        <v>3096.88402116205</v>
      </c>
      <c r="U211" s="597">
        <v>453.787459832104</v>
      </c>
      <c r="CE211" s="525"/>
    </row>
    <row r="212">
      <c r="A212" s="509"/>
      <c r="B212" s="526" t="s">
        <v>336</v>
      </c>
      <c r="C212" s="527" t="s">
        <v>289</v>
      </c>
      <c r="D212" s="527" t="s">
        <v>407</v>
      </c>
      <c r="E212" s="530">
        <v>2019.0</v>
      </c>
      <c r="F212" s="527" t="s">
        <v>291</v>
      </c>
      <c r="G212" s="527" t="s">
        <v>89</v>
      </c>
      <c r="H212" s="532">
        <v>239285.7946</v>
      </c>
      <c r="I212" s="532">
        <v>266812.8708</v>
      </c>
      <c r="J212" s="533">
        <v>213297.9251</v>
      </c>
      <c r="K212" s="516"/>
      <c r="L212" s="573" t="s">
        <v>292</v>
      </c>
      <c r="M212" s="574" t="s">
        <v>451</v>
      </c>
      <c r="N212" s="574" t="s">
        <v>294</v>
      </c>
      <c r="O212" s="574" t="s">
        <v>335</v>
      </c>
      <c r="P212" s="574" t="s">
        <v>296</v>
      </c>
      <c r="Q212" s="574" t="s">
        <v>89</v>
      </c>
      <c r="R212" s="575">
        <v>2019.0</v>
      </c>
      <c r="S212" s="576">
        <v>5919.78192457055</v>
      </c>
      <c r="T212" s="576">
        <v>13254.5403266739</v>
      </c>
      <c r="U212" s="578">
        <v>1914.31358882961</v>
      </c>
      <c r="CE212" s="525"/>
    </row>
    <row r="213">
      <c r="A213" s="509"/>
      <c r="B213" s="544" t="s">
        <v>336</v>
      </c>
      <c r="C213" s="545" t="s">
        <v>289</v>
      </c>
      <c r="D213" s="545" t="s">
        <v>414</v>
      </c>
      <c r="E213" s="546">
        <v>2019.0</v>
      </c>
      <c r="F213" s="545" t="s">
        <v>291</v>
      </c>
      <c r="G213" s="545" t="s">
        <v>89</v>
      </c>
      <c r="H213" s="547">
        <v>86582.49421</v>
      </c>
      <c r="I213" s="547">
        <v>96542.8135</v>
      </c>
      <c r="J213" s="548">
        <v>77179.1171</v>
      </c>
      <c r="K213" s="516"/>
      <c r="L213" s="592" t="s">
        <v>292</v>
      </c>
      <c r="M213" s="593" t="s">
        <v>451</v>
      </c>
      <c r="N213" s="593" t="s">
        <v>294</v>
      </c>
      <c r="O213" s="593" t="s">
        <v>300</v>
      </c>
      <c r="P213" s="593" t="s">
        <v>296</v>
      </c>
      <c r="Q213" s="593" t="s">
        <v>89</v>
      </c>
      <c r="R213" s="595">
        <v>2019.0</v>
      </c>
      <c r="S213" s="596">
        <v>479.45556029515</v>
      </c>
      <c r="T213" s="596">
        <v>1071.43042955233</v>
      </c>
      <c r="U213" s="597">
        <v>156.453379594333</v>
      </c>
      <c r="CE213" s="525"/>
    </row>
    <row r="214">
      <c r="A214" s="509"/>
      <c r="B214" s="526" t="s">
        <v>336</v>
      </c>
      <c r="C214" s="527" t="s">
        <v>289</v>
      </c>
      <c r="D214" s="527" t="s">
        <v>417</v>
      </c>
      <c r="E214" s="530">
        <v>2019.0</v>
      </c>
      <c r="F214" s="527" t="s">
        <v>291</v>
      </c>
      <c r="G214" s="527" t="s">
        <v>89</v>
      </c>
      <c r="H214" s="532">
        <v>257528.8741</v>
      </c>
      <c r="I214" s="532">
        <v>287154.6066</v>
      </c>
      <c r="J214" s="533">
        <v>229559.6969</v>
      </c>
      <c r="K214" s="516"/>
      <c r="L214" s="534" t="s">
        <v>292</v>
      </c>
      <c r="M214" s="535" t="s">
        <v>520</v>
      </c>
      <c r="N214" s="535" t="s">
        <v>294</v>
      </c>
      <c r="O214" s="535" t="s">
        <v>295</v>
      </c>
      <c r="P214" s="535" t="s">
        <v>296</v>
      </c>
      <c r="Q214" s="535" t="s">
        <v>89</v>
      </c>
      <c r="R214" s="535">
        <v>2019.0</v>
      </c>
      <c r="S214" s="536">
        <v>1206.75566223029</v>
      </c>
      <c r="T214" s="536">
        <v>3299.3211570818</v>
      </c>
      <c r="U214" s="537">
        <v>135.3478907</v>
      </c>
      <c r="CE214" s="525"/>
    </row>
    <row r="215">
      <c r="A215" s="509"/>
      <c r="B215" s="544" t="s">
        <v>336</v>
      </c>
      <c r="C215" s="545" t="s">
        <v>289</v>
      </c>
      <c r="D215" s="545" t="s">
        <v>300</v>
      </c>
      <c r="E215" s="546">
        <v>2019.0</v>
      </c>
      <c r="F215" s="545" t="s">
        <v>291</v>
      </c>
      <c r="G215" s="545" t="s">
        <v>89</v>
      </c>
      <c r="H215" s="547">
        <v>468708.5371</v>
      </c>
      <c r="I215" s="547">
        <v>522628.0589</v>
      </c>
      <c r="J215" s="548">
        <v>417803.9845</v>
      </c>
      <c r="K215" s="516"/>
      <c r="L215" s="534" t="s">
        <v>292</v>
      </c>
      <c r="M215" s="535" t="s">
        <v>520</v>
      </c>
      <c r="N215" s="535" t="s">
        <v>294</v>
      </c>
      <c r="O215" s="535" t="s">
        <v>311</v>
      </c>
      <c r="P215" s="535" t="s">
        <v>296</v>
      </c>
      <c r="Q215" s="535" t="s">
        <v>89</v>
      </c>
      <c r="R215" s="535">
        <v>2019.0</v>
      </c>
      <c r="S215" s="536">
        <v>0.0</v>
      </c>
      <c r="T215" s="536">
        <v>0.0</v>
      </c>
      <c r="U215" s="537">
        <v>0.0</v>
      </c>
      <c r="CE215" s="525"/>
    </row>
    <row r="216">
      <c r="A216" s="509"/>
      <c r="B216" s="526" t="s">
        <v>336</v>
      </c>
      <c r="C216" s="527" t="s">
        <v>289</v>
      </c>
      <c r="D216" s="527" t="s">
        <v>429</v>
      </c>
      <c r="E216" s="530">
        <v>2019.0</v>
      </c>
      <c r="F216" s="527" t="s">
        <v>291</v>
      </c>
      <c r="G216" s="527" t="s">
        <v>89</v>
      </c>
      <c r="H216" s="532">
        <v>224123.7418</v>
      </c>
      <c r="I216" s="532">
        <v>249909.738</v>
      </c>
      <c r="J216" s="533">
        <v>199778.1096</v>
      </c>
      <c r="K216" s="516"/>
      <c r="L216" s="534" t="s">
        <v>292</v>
      </c>
      <c r="M216" s="535" t="s">
        <v>520</v>
      </c>
      <c r="N216" s="535" t="s">
        <v>294</v>
      </c>
      <c r="O216" s="535" t="s">
        <v>319</v>
      </c>
      <c r="P216" s="535" t="s">
        <v>296</v>
      </c>
      <c r="Q216" s="535" t="s">
        <v>89</v>
      </c>
      <c r="R216" s="535">
        <v>2019.0</v>
      </c>
      <c r="S216" s="536">
        <v>25.5590524380826</v>
      </c>
      <c r="T216" s="536">
        <v>84.8888270664469</v>
      </c>
      <c r="U216" s="537">
        <v>2.179659568</v>
      </c>
      <c r="CE216" s="525"/>
    </row>
    <row r="217">
      <c r="A217" s="509"/>
      <c r="B217" s="544" t="s">
        <v>336</v>
      </c>
      <c r="C217" s="545" t="s">
        <v>289</v>
      </c>
      <c r="D217" s="545" t="s">
        <v>432</v>
      </c>
      <c r="E217" s="546">
        <v>2019.0</v>
      </c>
      <c r="F217" s="545" t="s">
        <v>291</v>
      </c>
      <c r="G217" s="545" t="s">
        <v>89</v>
      </c>
      <c r="H217" s="547">
        <v>72628.69936</v>
      </c>
      <c r="I217" s="547">
        <v>80983.79517</v>
      </c>
      <c r="J217" s="548">
        <v>64740.78788</v>
      </c>
      <c r="K217" s="516"/>
      <c r="L217" s="534" t="s">
        <v>292</v>
      </c>
      <c r="M217" s="535" t="s">
        <v>520</v>
      </c>
      <c r="N217" s="535" t="s">
        <v>294</v>
      </c>
      <c r="O217" s="535" t="s">
        <v>327</v>
      </c>
      <c r="P217" s="535" t="s">
        <v>296</v>
      </c>
      <c r="Q217" s="535" t="s">
        <v>89</v>
      </c>
      <c r="R217" s="535">
        <v>2019.0</v>
      </c>
      <c r="S217" s="536">
        <v>348.913721460387</v>
      </c>
      <c r="T217" s="536">
        <v>1087.99118871761</v>
      </c>
      <c r="U217" s="537">
        <v>32.1941532273211</v>
      </c>
      <c r="CE217" s="525"/>
    </row>
    <row r="218">
      <c r="A218" s="509"/>
      <c r="B218" s="526" t="s">
        <v>336</v>
      </c>
      <c r="C218" s="527" t="s">
        <v>289</v>
      </c>
      <c r="D218" s="527" t="s">
        <v>435</v>
      </c>
      <c r="E218" s="530">
        <v>2019.0</v>
      </c>
      <c r="F218" s="527" t="s">
        <v>291</v>
      </c>
      <c r="G218" s="527" t="s">
        <v>89</v>
      </c>
      <c r="H218" s="532">
        <v>57126.58254</v>
      </c>
      <c r="I218" s="532">
        <v>63698.33826</v>
      </c>
      <c r="J218" s="533">
        <v>50922.29374</v>
      </c>
      <c r="K218" s="516"/>
      <c r="L218" s="534" t="s">
        <v>292</v>
      </c>
      <c r="M218" s="535" t="s">
        <v>520</v>
      </c>
      <c r="N218" s="535" t="s">
        <v>294</v>
      </c>
      <c r="O218" s="535" t="s">
        <v>335</v>
      </c>
      <c r="P218" s="535" t="s">
        <v>296</v>
      </c>
      <c r="Q218" s="535" t="s">
        <v>89</v>
      </c>
      <c r="R218" s="535">
        <v>2019.0</v>
      </c>
      <c r="S218" s="536">
        <v>2068.18567303541</v>
      </c>
      <c r="T218" s="536">
        <v>5768.295544</v>
      </c>
      <c r="U218" s="537">
        <v>239.038665569698</v>
      </c>
      <c r="CE218" s="525"/>
    </row>
    <row r="219">
      <c r="A219" s="509"/>
      <c r="B219" s="544" t="s">
        <v>336</v>
      </c>
      <c r="C219" s="545" t="s">
        <v>289</v>
      </c>
      <c r="D219" s="545" t="s">
        <v>442</v>
      </c>
      <c r="E219" s="546">
        <v>2019.0</v>
      </c>
      <c r="F219" s="545" t="s">
        <v>291</v>
      </c>
      <c r="G219" s="545" t="s">
        <v>89</v>
      </c>
      <c r="H219" s="547">
        <v>41191.098</v>
      </c>
      <c r="I219" s="547">
        <v>45929.65966</v>
      </c>
      <c r="J219" s="548">
        <v>36717.4982</v>
      </c>
      <c r="K219" s="516"/>
      <c r="L219" s="534" t="s">
        <v>292</v>
      </c>
      <c r="M219" s="535" t="s">
        <v>520</v>
      </c>
      <c r="N219" s="535" t="s">
        <v>294</v>
      </c>
      <c r="O219" s="535" t="s">
        <v>300</v>
      </c>
      <c r="P219" s="535" t="s">
        <v>296</v>
      </c>
      <c r="Q219" s="535" t="s">
        <v>89</v>
      </c>
      <c r="R219" s="535">
        <v>2019.0</v>
      </c>
      <c r="S219" s="536">
        <v>445.92485803274</v>
      </c>
      <c r="T219" s="536">
        <v>1146.95925987414</v>
      </c>
      <c r="U219" s="537">
        <v>61.3962526382211</v>
      </c>
      <c r="CE219" s="525"/>
    </row>
    <row r="220">
      <c r="A220" s="509"/>
      <c r="B220" s="526" t="s">
        <v>336</v>
      </c>
      <c r="C220" s="527" t="s">
        <v>289</v>
      </c>
      <c r="D220" s="527" t="s">
        <v>445</v>
      </c>
      <c r="E220" s="530">
        <v>2019.0</v>
      </c>
      <c r="F220" s="527" t="s">
        <v>291</v>
      </c>
      <c r="G220" s="527" t="s">
        <v>89</v>
      </c>
      <c r="H220" s="532">
        <v>66365.45543</v>
      </c>
      <c r="I220" s="532">
        <v>74000.96682</v>
      </c>
      <c r="J220" s="533">
        <v>59156.45136</v>
      </c>
      <c r="K220" s="516"/>
      <c r="L220" s="534" t="s">
        <v>292</v>
      </c>
      <c r="M220" s="535" t="s">
        <v>508</v>
      </c>
      <c r="N220" s="535" t="s">
        <v>294</v>
      </c>
      <c r="O220" s="535" t="s">
        <v>295</v>
      </c>
      <c r="P220" s="535" t="s">
        <v>296</v>
      </c>
      <c r="Q220" s="535" t="s">
        <v>89</v>
      </c>
      <c r="R220" s="535">
        <v>2019.0</v>
      </c>
      <c r="S220" s="536">
        <v>7.74737921924978</v>
      </c>
      <c r="T220" s="536">
        <v>18.0776106000516</v>
      </c>
      <c r="U220" s="537">
        <v>2.19715864366955</v>
      </c>
      <c r="CE220" s="525"/>
    </row>
    <row r="221">
      <c r="A221" s="509"/>
      <c r="B221" s="544" t="s">
        <v>336</v>
      </c>
      <c r="C221" s="545" t="s">
        <v>289</v>
      </c>
      <c r="D221" s="545" t="s">
        <v>450</v>
      </c>
      <c r="E221" s="546">
        <v>2019.0</v>
      </c>
      <c r="F221" s="545" t="s">
        <v>291</v>
      </c>
      <c r="G221" s="545" t="s">
        <v>89</v>
      </c>
      <c r="H221" s="547">
        <v>25174.1801</v>
      </c>
      <c r="I221" s="547">
        <v>28070.17973</v>
      </c>
      <c r="J221" s="548">
        <v>22440.11346</v>
      </c>
      <c r="K221" s="516"/>
      <c r="L221" s="534" t="s">
        <v>292</v>
      </c>
      <c r="M221" s="535" t="s">
        <v>508</v>
      </c>
      <c r="N221" s="535" t="s">
        <v>294</v>
      </c>
      <c r="O221" s="535" t="s">
        <v>311</v>
      </c>
      <c r="P221" s="535" t="s">
        <v>296</v>
      </c>
      <c r="Q221" s="535" t="s">
        <v>89</v>
      </c>
      <c r="R221" s="535">
        <v>2019.0</v>
      </c>
      <c r="S221" s="536">
        <v>0.0</v>
      </c>
      <c r="T221" s="536">
        <v>0.0</v>
      </c>
      <c r="U221" s="537">
        <v>0.0</v>
      </c>
      <c r="CE221" s="525"/>
    </row>
    <row r="222">
      <c r="A222" s="509"/>
      <c r="B222" s="526" t="s">
        <v>336</v>
      </c>
      <c r="C222" s="527" t="s">
        <v>289</v>
      </c>
      <c r="D222" s="527" t="s">
        <v>457</v>
      </c>
      <c r="E222" s="530">
        <v>2019.0</v>
      </c>
      <c r="F222" s="527" t="s">
        <v>291</v>
      </c>
      <c r="G222" s="527" t="s">
        <v>89</v>
      </c>
      <c r="H222" s="532">
        <v>53176.76302</v>
      </c>
      <c r="I222" s="532">
        <v>59294.13748</v>
      </c>
      <c r="J222" s="533">
        <v>47401.44827</v>
      </c>
      <c r="K222" s="516"/>
      <c r="L222" s="534" t="s">
        <v>292</v>
      </c>
      <c r="M222" s="535" t="s">
        <v>508</v>
      </c>
      <c r="N222" s="535" t="s">
        <v>294</v>
      </c>
      <c r="O222" s="535" t="s">
        <v>319</v>
      </c>
      <c r="P222" s="535" t="s">
        <v>296</v>
      </c>
      <c r="Q222" s="535" t="s">
        <v>89</v>
      </c>
      <c r="R222" s="535">
        <v>2019.0</v>
      </c>
      <c r="S222" s="536">
        <v>0.303244837563039</v>
      </c>
      <c r="T222" s="536">
        <v>0.796193382080792</v>
      </c>
      <c r="U222" s="537">
        <v>0.07832032</v>
      </c>
      <c r="CE222" s="525"/>
    </row>
    <row r="223">
      <c r="A223" s="509"/>
      <c r="B223" s="544" t="s">
        <v>336</v>
      </c>
      <c r="C223" s="545" t="s">
        <v>289</v>
      </c>
      <c r="D223" s="545" t="s">
        <v>463</v>
      </c>
      <c r="E223" s="546">
        <v>2019.0</v>
      </c>
      <c r="F223" s="545" t="s">
        <v>291</v>
      </c>
      <c r="G223" s="545" t="s">
        <v>89</v>
      </c>
      <c r="H223" s="547">
        <v>28002.65774</v>
      </c>
      <c r="I223" s="547">
        <v>31224.43346</v>
      </c>
      <c r="J223" s="548">
        <v>24960.84522</v>
      </c>
      <c r="K223" s="516"/>
      <c r="L223" s="534" t="s">
        <v>292</v>
      </c>
      <c r="M223" s="535" t="s">
        <v>508</v>
      </c>
      <c r="N223" s="535" t="s">
        <v>294</v>
      </c>
      <c r="O223" s="535" t="s">
        <v>327</v>
      </c>
      <c r="P223" s="535" t="s">
        <v>296</v>
      </c>
      <c r="Q223" s="535" t="s">
        <v>89</v>
      </c>
      <c r="R223" s="535">
        <v>2019.0</v>
      </c>
      <c r="S223" s="536">
        <v>4.85754035166678</v>
      </c>
      <c r="T223" s="536">
        <v>11.0326046966035</v>
      </c>
      <c r="U223" s="537">
        <v>1.45645322738226</v>
      </c>
      <c r="CE223" s="525"/>
    </row>
    <row r="224">
      <c r="A224" s="509"/>
      <c r="B224" s="526" t="s">
        <v>336</v>
      </c>
      <c r="C224" s="527" t="s">
        <v>289</v>
      </c>
      <c r="D224" s="527" t="s">
        <v>467</v>
      </c>
      <c r="E224" s="530">
        <v>2019.0</v>
      </c>
      <c r="F224" s="527" t="s">
        <v>291</v>
      </c>
      <c r="G224" s="527" t="s">
        <v>89</v>
      </c>
      <c r="H224" s="532">
        <v>15117.83715</v>
      </c>
      <c r="I224" s="532">
        <v>16856.97029</v>
      </c>
      <c r="J224" s="533">
        <v>13475.94955</v>
      </c>
      <c r="K224" s="516"/>
      <c r="L224" s="534" t="s">
        <v>292</v>
      </c>
      <c r="M224" s="535" t="s">
        <v>508</v>
      </c>
      <c r="N224" s="535" t="s">
        <v>294</v>
      </c>
      <c r="O224" s="535" t="s">
        <v>335</v>
      </c>
      <c r="P224" s="535" t="s">
        <v>296</v>
      </c>
      <c r="Q224" s="535" t="s">
        <v>89</v>
      </c>
      <c r="R224" s="535">
        <v>2019.0</v>
      </c>
      <c r="S224" s="536">
        <v>12.3763546654706</v>
      </c>
      <c r="T224" s="536">
        <v>28.7730795104215</v>
      </c>
      <c r="U224" s="537">
        <v>3.569478752</v>
      </c>
      <c r="CE224" s="525"/>
    </row>
    <row r="225">
      <c r="A225" s="509"/>
      <c r="B225" s="544" t="s">
        <v>336</v>
      </c>
      <c r="C225" s="545" t="s">
        <v>289</v>
      </c>
      <c r="D225" s="545" t="s">
        <v>473</v>
      </c>
      <c r="E225" s="546">
        <v>2019.0</v>
      </c>
      <c r="F225" s="545" t="s">
        <v>291</v>
      </c>
      <c r="G225" s="545" t="s">
        <v>89</v>
      </c>
      <c r="H225" s="547">
        <v>23449.19907</v>
      </c>
      <c r="I225" s="547">
        <v>26147.08799</v>
      </c>
      <c r="J225" s="548">
        <v>20902.00987</v>
      </c>
      <c r="K225" s="516"/>
      <c r="L225" s="534" t="s">
        <v>292</v>
      </c>
      <c r="M225" s="535" t="s">
        <v>508</v>
      </c>
      <c r="N225" s="535" t="s">
        <v>294</v>
      </c>
      <c r="O225" s="535" t="s">
        <v>300</v>
      </c>
      <c r="P225" s="535" t="s">
        <v>296</v>
      </c>
      <c r="Q225" s="535" t="s">
        <v>89</v>
      </c>
      <c r="R225" s="535">
        <v>2019.0</v>
      </c>
      <c r="S225" s="536">
        <v>0.0604451432814752</v>
      </c>
      <c r="T225" s="536">
        <v>0.151435495202261</v>
      </c>
      <c r="U225" s="537">
        <v>0.0161932213863379</v>
      </c>
      <c r="CE225" s="525"/>
    </row>
    <row r="226">
      <c r="A226" s="509"/>
      <c r="B226" s="526" t="s">
        <v>336</v>
      </c>
      <c r="C226" s="527" t="s">
        <v>289</v>
      </c>
      <c r="D226" s="527" t="s">
        <v>477</v>
      </c>
      <c r="E226" s="530">
        <v>2019.0</v>
      </c>
      <c r="F226" s="527" t="s">
        <v>291</v>
      </c>
      <c r="G226" s="527" t="s">
        <v>89</v>
      </c>
      <c r="H226" s="532">
        <v>12884.74577</v>
      </c>
      <c r="I226" s="532">
        <v>14366.98745</v>
      </c>
      <c r="J226" s="533">
        <v>11485.38526</v>
      </c>
      <c r="K226" s="516"/>
      <c r="L226" s="534" t="s">
        <v>292</v>
      </c>
      <c r="M226" s="535" t="s">
        <v>410</v>
      </c>
      <c r="N226" s="535" t="s">
        <v>294</v>
      </c>
      <c r="O226" s="535" t="s">
        <v>295</v>
      </c>
      <c r="P226" s="535" t="s">
        <v>296</v>
      </c>
      <c r="Q226" s="535" t="s">
        <v>89</v>
      </c>
      <c r="R226" s="535">
        <v>2019.0</v>
      </c>
      <c r="S226" s="536">
        <v>3990.13871644344</v>
      </c>
      <c r="T226" s="536">
        <v>7557.9531431691</v>
      </c>
      <c r="U226" s="537">
        <v>1720.21358490748</v>
      </c>
      <c r="CE226" s="525"/>
    </row>
    <row r="227">
      <c r="A227" s="509"/>
      <c r="B227" s="544" t="s">
        <v>336</v>
      </c>
      <c r="C227" s="545" t="s">
        <v>289</v>
      </c>
      <c r="D227" s="545" t="s">
        <v>483</v>
      </c>
      <c r="E227" s="546">
        <v>2019.0</v>
      </c>
      <c r="F227" s="545" t="s">
        <v>291</v>
      </c>
      <c r="G227" s="545" t="s">
        <v>89</v>
      </c>
      <c r="H227" s="547">
        <v>8331.299259</v>
      </c>
      <c r="I227" s="547">
        <v>9289.719335</v>
      </c>
      <c r="J227" s="548">
        <v>7426.470292</v>
      </c>
      <c r="K227" s="516"/>
      <c r="L227" s="534" t="s">
        <v>292</v>
      </c>
      <c r="M227" s="535" t="s">
        <v>410</v>
      </c>
      <c r="N227" s="535" t="s">
        <v>294</v>
      </c>
      <c r="O227" s="535" t="s">
        <v>311</v>
      </c>
      <c r="P227" s="535" t="s">
        <v>296</v>
      </c>
      <c r="Q227" s="535" t="s">
        <v>89</v>
      </c>
      <c r="R227" s="535">
        <v>2019.0</v>
      </c>
      <c r="S227" s="536">
        <v>0.0</v>
      </c>
      <c r="T227" s="536">
        <v>0.0</v>
      </c>
      <c r="U227" s="537">
        <v>0.0</v>
      </c>
      <c r="CE227" s="525"/>
    </row>
    <row r="228">
      <c r="A228" s="509"/>
      <c r="B228" s="526" t="s">
        <v>336</v>
      </c>
      <c r="C228" s="527" t="s">
        <v>289</v>
      </c>
      <c r="D228" s="527" t="s">
        <v>489</v>
      </c>
      <c r="E228" s="530">
        <v>2019.0</v>
      </c>
      <c r="F228" s="527" t="s">
        <v>291</v>
      </c>
      <c r="G228" s="527" t="s">
        <v>89</v>
      </c>
      <c r="H228" s="532">
        <v>4553.458677</v>
      </c>
      <c r="I228" s="532">
        <v>5077.345471</v>
      </c>
      <c r="J228" s="533">
        <v>4058.835354</v>
      </c>
      <c r="K228" s="516"/>
      <c r="L228" s="534" t="s">
        <v>292</v>
      </c>
      <c r="M228" s="535" t="s">
        <v>410</v>
      </c>
      <c r="N228" s="535" t="s">
        <v>294</v>
      </c>
      <c r="O228" s="535" t="s">
        <v>319</v>
      </c>
      <c r="P228" s="535" t="s">
        <v>296</v>
      </c>
      <c r="Q228" s="535" t="s">
        <v>89</v>
      </c>
      <c r="R228" s="535">
        <v>2019.0</v>
      </c>
      <c r="S228" s="536">
        <v>239.218150461974</v>
      </c>
      <c r="T228" s="536">
        <v>506.460110824975</v>
      </c>
      <c r="U228" s="537">
        <v>90.76085019577</v>
      </c>
      <c r="CE228" s="525"/>
    </row>
    <row r="229">
      <c r="A229" s="509"/>
      <c r="B229" s="544" t="s">
        <v>336</v>
      </c>
      <c r="C229" s="545" t="s">
        <v>289</v>
      </c>
      <c r="D229" s="545" t="s">
        <v>493</v>
      </c>
      <c r="E229" s="546">
        <v>2019.0</v>
      </c>
      <c r="F229" s="545" t="s">
        <v>291</v>
      </c>
      <c r="G229" s="545" t="s">
        <v>89</v>
      </c>
      <c r="H229" s="547">
        <v>3409.736182</v>
      </c>
      <c r="I229" s="547">
        <v>3801.987079</v>
      </c>
      <c r="J229" s="548">
        <v>3039.418423</v>
      </c>
      <c r="K229" s="516"/>
      <c r="L229" s="534" t="s">
        <v>292</v>
      </c>
      <c r="M229" s="535" t="s">
        <v>410</v>
      </c>
      <c r="N229" s="535" t="s">
        <v>294</v>
      </c>
      <c r="O229" s="535" t="s">
        <v>327</v>
      </c>
      <c r="P229" s="535" t="s">
        <v>296</v>
      </c>
      <c r="Q229" s="535" t="s">
        <v>89</v>
      </c>
      <c r="R229" s="535">
        <v>2019.0</v>
      </c>
      <c r="S229" s="536">
        <v>1456.57532776587</v>
      </c>
      <c r="T229" s="536">
        <v>2898.49309470568</v>
      </c>
      <c r="U229" s="537">
        <v>589.597515686725</v>
      </c>
      <c r="CE229" s="525"/>
    </row>
    <row r="230">
      <c r="A230" s="509"/>
      <c r="B230" s="526" t="s">
        <v>336</v>
      </c>
      <c r="C230" s="527" t="s">
        <v>289</v>
      </c>
      <c r="D230" s="527" t="s">
        <v>496</v>
      </c>
      <c r="E230" s="530">
        <v>2019.0</v>
      </c>
      <c r="F230" s="527" t="s">
        <v>291</v>
      </c>
      <c r="G230" s="527" t="s">
        <v>89</v>
      </c>
      <c r="H230" s="532">
        <v>945.649193</v>
      </c>
      <c r="I230" s="532">
        <v>1054.435247</v>
      </c>
      <c r="J230" s="533">
        <v>842.9460304</v>
      </c>
      <c r="K230" s="516"/>
      <c r="L230" s="534" t="s">
        <v>292</v>
      </c>
      <c r="M230" s="535" t="s">
        <v>410</v>
      </c>
      <c r="N230" s="535" t="s">
        <v>294</v>
      </c>
      <c r="O230" s="535" t="s">
        <v>335</v>
      </c>
      <c r="P230" s="535" t="s">
        <v>296</v>
      </c>
      <c r="Q230" s="535" t="s">
        <v>89</v>
      </c>
      <c r="R230" s="535">
        <v>2019.0</v>
      </c>
      <c r="S230" s="536">
        <v>7076.33406072781</v>
      </c>
      <c r="T230" s="536">
        <v>14069.7736351605</v>
      </c>
      <c r="U230" s="537">
        <v>2898.52237074782</v>
      </c>
      <c r="CE230" s="525"/>
    </row>
    <row r="231">
      <c r="A231" s="509"/>
      <c r="B231" s="544" t="s">
        <v>336</v>
      </c>
      <c r="C231" s="545" t="s">
        <v>289</v>
      </c>
      <c r="D231" s="545" t="s">
        <v>502</v>
      </c>
      <c r="E231" s="546">
        <v>2019.0</v>
      </c>
      <c r="F231" s="545" t="s">
        <v>291</v>
      </c>
      <c r="G231" s="545" t="s">
        <v>89</v>
      </c>
      <c r="H231" s="547">
        <v>198.0611355</v>
      </c>
      <c r="I231" s="547">
        <v>220.8457892</v>
      </c>
      <c r="J231" s="548">
        <v>176.5505107</v>
      </c>
      <c r="K231" s="516"/>
      <c r="L231" s="534" t="s">
        <v>292</v>
      </c>
      <c r="M231" s="535" t="s">
        <v>410</v>
      </c>
      <c r="N231" s="535" t="s">
        <v>294</v>
      </c>
      <c r="O231" s="535" t="s">
        <v>300</v>
      </c>
      <c r="P231" s="535" t="s">
        <v>296</v>
      </c>
      <c r="Q231" s="535" t="s">
        <v>89</v>
      </c>
      <c r="R231" s="535">
        <v>2019.0</v>
      </c>
      <c r="S231" s="536">
        <v>575.754487981799</v>
      </c>
      <c r="T231" s="536">
        <v>1149.02140162022</v>
      </c>
      <c r="U231" s="537">
        <v>227.247263852418</v>
      </c>
      <c r="CE231" s="525"/>
    </row>
    <row r="232">
      <c r="A232" s="509"/>
      <c r="B232" s="526" t="s">
        <v>336</v>
      </c>
      <c r="C232" s="527" t="s">
        <v>289</v>
      </c>
      <c r="D232" s="527" t="s">
        <v>332</v>
      </c>
      <c r="E232" s="530">
        <v>2019.0</v>
      </c>
      <c r="F232" s="527" t="s">
        <v>291</v>
      </c>
      <c r="G232" s="527" t="s">
        <v>89</v>
      </c>
      <c r="H232" s="532">
        <v>2338721.303</v>
      </c>
      <c r="I232" s="532">
        <v>2607764.267</v>
      </c>
      <c r="J232" s="533">
        <v>2084722.171</v>
      </c>
      <c r="K232" s="516"/>
      <c r="L232" s="534" t="s">
        <v>292</v>
      </c>
      <c r="M232" s="535" t="s">
        <v>356</v>
      </c>
      <c r="N232" s="535" t="s">
        <v>294</v>
      </c>
      <c r="O232" s="535" t="s">
        <v>295</v>
      </c>
      <c r="P232" s="535" t="s">
        <v>296</v>
      </c>
      <c r="Q232" s="535" t="s">
        <v>89</v>
      </c>
      <c r="R232" s="535">
        <v>2019.0</v>
      </c>
      <c r="S232" s="536">
        <v>9769.71509472993</v>
      </c>
      <c r="T232" s="536">
        <v>18304.554742746</v>
      </c>
      <c r="U232" s="537">
        <v>3688.10004479749</v>
      </c>
      <c r="CE232" s="525"/>
    </row>
    <row r="233">
      <c r="A233" s="509"/>
      <c r="B233" s="544" t="s">
        <v>336</v>
      </c>
      <c r="C233" s="545" t="s">
        <v>289</v>
      </c>
      <c r="D233" s="545" t="s">
        <v>510</v>
      </c>
      <c r="E233" s="546">
        <v>2019.0</v>
      </c>
      <c r="F233" s="545" t="s">
        <v>291</v>
      </c>
      <c r="G233" s="545" t="s">
        <v>89</v>
      </c>
      <c r="H233" s="547">
        <v>48160.36299</v>
      </c>
      <c r="I233" s="547">
        <v>55482.24289</v>
      </c>
      <c r="J233" s="548">
        <v>42011.50409</v>
      </c>
      <c r="K233" s="516"/>
      <c r="L233" s="534" t="s">
        <v>292</v>
      </c>
      <c r="M233" s="535" t="s">
        <v>356</v>
      </c>
      <c r="N233" s="535" t="s">
        <v>294</v>
      </c>
      <c r="O233" s="535" t="s">
        <v>311</v>
      </c>
      <c r="P233" s="535" t="s">
        <v>296</v>
      </c>
      <c r="Q233" s="535" t="s">
        <v>89</v>
      </c>
      <c r="R233" s="535">
        <v>2019.0</v>
      </c>
      <c r="S233" s="536">
        <v>0.0</v>
      </c>
      <c r="T233" s="536">
        <v>0.0</v>
      </c>
      <c r="U233" s="537">
        <v>0.0</v>
      </c>
      <c r="CE233" s="525"/>
    </row>
    <row r="234">
      <c r="A234" s="509"/>
      <c r="B234" s="526" t="s">
        <v>336</v>
      </c>
      <c r="C234" s="527" t="s">
        <v>289</v>
      </c>
      <c r="D234" s="527" t="s">
        <v>512</v>
      </c>
      <c r="E234" s="530">
        <v>2019.0</v>
      </c>
      <c r="F234" s="527" t="s">
        <v>291</v>
      </c>
      <c r="G234" s="527" t="s">
        <v>89</v>
      </c>
      <c r="H234" s="532">
        <v>917.2806773</v>
      </c>
      <c r="I234" s="532">
        <v>1022.80326</v>
      </c>
      <c r="J234" s="533">
        <v>817.6585053</v>
      </c>
      <c r="K234" s="516"/>
      <c r="L234" s="534" t="s">
        <v>292</v>
      </c>
      <c r="M234" s="535" t="s">
        <v>356</v>
      </c>
      <c r="N234" s="535" t="s">
        <v>294</v>
      </c>
      <c r="O234" s="535" t="s">
        <v>319</v>
      </c>
      <c r="P234" s="535" t="s">
        <v>296</v>
      </c>
      <c r="Q234" s="535" t="s">
        <v>89</v>
      </c>
      <c r="R234" s="535">
        <v>2019.0</v>
      </c>
      <c r="S234" s="536">
        <v>494.262432019801</v>
      </c>
      <c r="T234" s="536">
        <v>1001.52777113372</v>
      </c>
      <c r="U234" s="537">
        <v>164.715424914712</v>
      </c>
      <c r="CE234" s="525"/>
    </row>
    <row r="235">
      <c r="A235" s="509"/>
      <c r="B235" s="544" t="s">
        <v>336</v>
      </c>
      <c r="C235" s="545" t="s">
        <v>289</v>
      </c>
      <c r="D235" s="545" t="s">
        <v>515</v>
      </c>
      <c r="E235" s="546">
        <v>2019.0</v>
      </c>
      <c r="F235" s="545" t="s">
        <v>291</v>
      </c>
      <c r="G235" s="545" t="s">
        <v>89</v>
      </c>
      <c r="H235" s="547">
        <v>2722.671694</v>
      </c>
      <c r="I235" s="547">
        <v>3035.883732</v>
      </c>
      <c r="J235" s="548">
        <v>2426.973252</v>
      </c>
      <c r="K235" s="516"/>
      <c r="L235" s="534" t="s">
        <v>292</v>
      </c>
      <c r="M235" s="535" t="s">
        <v>356</v>
      </c>
      <c r="N235" s="535" t="s">
        <v>294</v>
      </c>
      <c r="O235" s="535" t="s">
        <v>327</v>
      </c>
      <c r="P235" s="535" t="s">
        <v>296</v>
      </c>
      <c r="Q235" s="535" t="s">
        <v>89</v>
      </c>
      <c r="R235" s="535">
        <v>2019.0</v>
      </c>
      <c r="S235" s="536">
        <v>3285.60738939228</v>
      </c>
      <c r="T235" s="536">
        <v>6774.25153277512</v>
      </c>
      <c r="U235" s="537">
        <v>1084.13032396279</v>
      </c>
      <c r="CE235" s="525"/>
    </row>
    <row r="236">
      <c r="A236" s="509"/>
      <c r="B236" s="526" t="s">
        <v>336</v>
      </c>
      <c r="C236" s="527" t="s">
        <v>289</v>
      </c>
      <c r="D236" s="527" t="s">
        <v>518</v>
      </c>
      <c r="E236" s="530">
        <v>2019.0</v>
      </c>
      <c r="F236" s="527" t="s">
        <v>291</v>
      </c>
      <c r="G236" s="527" t="s">
        <v>89</v>
      </c>
      <c r="H236" s="532">
        <v>3639.952372</v>
      </c>
      <c r="I236" s="532">
        <v>4058.686992</v>
      </c>
      <c r="J236" s="533">
        <v>3244.631757</v>
      </c>
      <c r="K236" s="516"/>
      <c r="L236" s="534" t="s">
        <v>292</v>
      </c>
      <c r="M236" s="535" t="s">
        <v>356</v>
      </c>
      <c r="N236" s="535" t="s">
        <v>294</v>
      </c>
      <c r="O236" s="535" t="s">
        <v>335</v>
      </c>
      <c r="P236" s="535" t="s">
        <v>296</v>
      </c>
      <c r="Q236" s="535" t="s">
        <v>89</v>
      </c>
      <c r="R236" s="535">
        <v>2019.0</v>
      </c>
      <c r="S236" s="536">
        <v>22651.8172302951</v>
      </c>
      <c r="T236" s="536">
        <v>43101.8682756457</v>
      </c>
      <c r="U236" s="537">
        <v>8401.49106320663</v>
      </c>
      <c r="CE236" s="525"/>
    </row>
    <row r="237">
      <c r="A237" s="509"/>
      <c r="B237" s="544" t="s">
        <v>336</v>
      </c>
      <c r="C237" s="545" t="s">
        <v>289</v>
      </c>
      <c r="D237" s="545" t="s">
        <v>522</v>
      </c>
      <c r="E237" s="546">
        <v>2019.0</v>
      </c>
      <c r="F237" s="545" t="s">
        <v>291</v>
      </c>
      <c r="G237" s="545" t="s">
        <v>89</v>
      </c>
      <c r="H237" s="547">
        <v>43375.06999</v>
      </c>
      <c r="I237" s="547">
        <v>48364.87249</v>
      </c>
      <c r="J237" s="548">
        <v>38664.27777</v>
      </c>
      <c r="K237" s="516"/>
      <c r="L237" s="534" t="s">
        <v>292</v>
      </c>
      <c r="M237" s="535" t="s">
        <v>356</v>
      </c>
      <c r="N237" s="535" t="s">
        <v>294</v>
      </c>
      <c r="O237" s="535" t="s">
        <v>300</v>
      </c>
      <c r="P237" s="535" t="s">
        <v>296</v>
      </c>
      <c r="Q237" s="535" t="s">
        <v>89</v>
      </c>
      <c r="R237" s="535">
        <v>2019.0</v>
      </c>
      <c r="S237" s="536">
        <v>1073.44375823999</v>
      </c>
      <c r="T237" s="536">
        <v>2206.93384653507</v>
      </c>
      <c r="U237" s="537">
        <v>354.634082491024</v>
      </c>
      <c r="CE237" s="525"/>
    </row>
    <row r="238">
      <c r="A238" s="509"/>
      <c r="B238" s="526" t="s">
        <v>336</v>
      </c>
      <c r="C238" s="527" t="s">
        <v>289</v>
      </c>
      <c r="D238" s="527" t="s">
        <v>302</v>
      </c>
      <c r="E238" s="530">
        <v>2019.0</v>
      </c>
      <c r="F238" s="527" t="s">
        <v>291</v>
      </c>
      <c r="G238" s="527" t="s">
        <v>89</v>
      </c>
      <c r="H238" s="532">
        <v>236508.7607</v>
      </c>
      <c r="I238" s="532">
        <v>263716.3712</v>
      </c>
      <c r="J238" s="533">
        <v>210822.4937</v>
      </c>
      <c r="K238" s="516"/>
      <c r="L238" s="534" t="s">
        <v>292</v>
      </c>
      <c r="M238" s="535" t="s">
        <v>3</v>
      </c>
      <c r="N238" s="535" t="s">
        <v>294</v>
      </c>
      <c r="O238" s="535" t="s">
        <v>295</v>
      </c>
      <c r="P238" s="535" t="s">
        <v>296</v>
      </c>
      <c r="Q238" s="535" t="s">
        <v>89</v>
      </c>
      <c r="R238" s="535">
        <v>2019.0</v>
      </c>
      <c r="S238" s="536">
        <v>16395.3694901677</v>
      </c>
      <c r="T238" s="536">
        <v>29949.5070490337</v>
      </c>
      <c r="U238" s="537">
        <v>6870.13768832884</v>
      </c>
      <c r="CE238" s="525"/>
    </row>
    <row r="239">
      <c r="A239" s="509"/>
      <c r="B239" s="544" t="s">
        <v>3</v>
      </c>
      <c r="C239" s="545" t="s">
        <v>289</v>
      </c>
      <c r="D239" s="545" t="s">
        <v>290</v>
      </c>
      <c r="E239" s="546">
        <v>2019.0</v>
      </c>
      <c r="F239" s="545" t="s">
        <v>291</v>
      </c>
      <c r="G239" s="545" t="s">
        <v>89</v>
      </c>
      <c r="H239" s="547">
        <v>885137.5773</v>
      </c>
      <c r="I239" s="547">
        <v>1020939.938</v>
      </c>
      <c r="J239" s="548">
        <v>756084.8206</v>
      </c>
      <c r="K239" s="516"/>
      <c r="L239" s="592" t="s">
        <v>292</v>
      </c>
      <c r="M239" s="593" t="s">
        <v>3</v>
      </c>
      <c r="N239" s="593" t="s">
        <v>294</v>
      </c>
      <c r="O239" s="593" t="s">
        <v>311</v>
      </c>
      <c r="P239" s="593" t="s">
        <v>296</v>
      </c>
      <c r="Q239" s="593" t="s">
        <v>89</v>
      </c>
      <c r="R239" s="595">
        <v>2019.0</v>
      </c>
      <c r="S239" s="596">
        <v>0.0</v>
      </c>
      <c r="T239" s="596">
        <v>0.0</v>
      </c>
      <c r="U239" s="597">
        <v>0.0</v>
      </c>
      <c r="CE239" s="525"/>
    </row>
    <row r="240">
      <c r="A240" s="509"/>
      <c r="B240" s="526" t="s">
        <v>3</v>
      </c>
      <c r="C240" s="527" t="s">
        <v>289</v>
      </c>
      <c r="D240" s="527" t="s">
        <v>310</v>
      </c>
      <c r="E240" s="530">
        <v>2019.0</v>
      </c>
      <c r="F240" s="527" t="s">
        <v>291</v>
      </c>
      <c r="G240" s="527" t="s">
        <v>89</v>
      </c>
      <c r="H240" s="532">
        <v>1.277047886E7</v>
      </c>
      <c r="I240" s="532">
        <v>1.472979143E7</v>
      </c>
      <c r="J240" s="533">
        <v>1.09085474E7</v>
      </c>
      <c r="K240" s="516"/>
      <c r="L240" s="534" t="s">
        <v>292</v>
      </c>
      <c r="M240" s="535" t="s">
        <v>3</v>
      </c>
      <c r="N240" s="535" t="s">
        <v>294</v>
      </c>
      <c r="O240" s="535" t="s">
        <v>319</v>
      </c>
      <c r="P240" s="535" t="s">
        <v>296</v>
      </c>
      <c r="Q240" s="535" t="s">
        <v>89</v>
      </c>
      <c r="R240" s="535">
        <v>2019.0</v>
      </c>
      <c r="S240" s="536">
        <v>683.012100501328</v>
      </c>
      <c r="T240" s="536">
        <v>1408.13323088917</v>
      </c>
      <c r="U240" s="537">
        <v>260.988838501857</v>
      </c>
      <c r="CE240" s="525"/>
    </row>
    <row r="241">
      <c r="A241" s="509"/>
      <c r="B241" s="544" t="s">
        <v>3</v>
      </c>
      <c r="C241" s="545" t="s">
        <v>289</v>
      </c>
      <c r="D241" s="545" t="s">
        <v>318</v>
      </c>
      <c r="E241" s="546">
        <v>2019.0</v>
      </c>
      <c r="F241" s="545" t="s">
        <v>291</v>
      </c>
      <c r="G241" s="545" t="s">
        <v>89</v>
      </c>
      <c r="H241" s="547">
        <v>1.039340293E7</v>
      </c>
      <c r="I241" s="547">
        <v>1.198801228E7</v>
      </c>
      <c r="J241" s="548">
        <v>8878048.333</v>
      </c>
      <c r="K241" s="516"/>
      <c r="L241" s="534" t="s">
        <v>292</v>
      </c>
      <c r="M241" s="535" t="s">
        <v>3</v>
      </c>
      <c r="N241" s="535" t="s">
        <v>294</v>
      </c>
      <c r="O241" s="535" t="s">
        <v>327</v>
      </c>
      <c r="P241" s="535" t="s">
        <v>296</v>
      </c>
      <c r="Q241" s="535" t="s">
        <v>89</v>
      </c>
      <c r="R241" s="535">
        <v>2019.0</v>
      </c>
      <c r="S241" s="536">
        <v>5135.61437005002</v>
      </c>
      <c r="T241" s="536">
        <v>9785.66828</v>
      </c>
      <c r="U241" s="537">
        <v>2011.75309531125</v>
      </c>
      <c r="CE241" s="525"/>
    </row>
    <row r="242">
      <c r="A242" s="509"/>
      <c r="B242" s="526" t="s">
        <v>3</v>
      </c>
      <c r="C242" s="527" t="s">
        <v>289</v>
      </c>
      <c r="D242" s="527" t="s">
        <v>309</v>
      </c>
      <c r="E242" s="530">
        <v>2019.0</v>
      </c>
      <c r="F242" s="527" t="s">
        <v>291</v>
      </c>
      <c r="G242" s="527" t="s">
        <v>89</v>
      </c>
      <c r="H242" s="532">
        <v>3159819.734</v>
      </c>
      <c r="I242" s="532">
        <v>3644615.534</v>
      </c>
      <c r="J242" s="533">
        <v>2699119.095</v>
      </c>
      <c r="K242" s="516"/>
      <c r="L242" s="881" t="s">
        <v>292</v>
      </c>
      <c r="M242" s="882" t="s">
        <v>3</v>
      </c>
      <c r="N242" s="882" t="s">
        <v>294</v>
      </c>
      <c r="O242" s="882" t="s">
        <v>335</v>
      </c>
      <c r="P242" s="882" t="s">
        <v>296</v>
      </c>
      <c r="Q242" s="882" t="s">
        <v>89</v>
      </c>
      <c r="R242" s="882">
        <v>2019.0</v>
      </c>
      <c r="S242" s="883">
        <v>26304.7468000016</v>
      </c>
      <c r="T242" s="883">
        <v>48308.499465344</v>
      </c>
      <c r="U242" s="884">
        <v>10690.71727</v>
      </c>
      <c r="CE242" s="525"/>
    </row>
    <row r="243">
      <c r="A243" s="509"/>
      <c r="B243" s="544" t="s">
        <v>3</v>
      </c>
      <c r="C243" s="545" t="s">
        <v>289</v>
      </c>
      <c r="D243" s="545" t="s">
        <v>334</v>
      </c>
      <c r="E243" s="546">
        <v>2019.0</v>
      </c>
      <c r="F243" s="545" t="s">
        <v>291</v>
      </c>
      <c r="G243" s="545" t="s">
        <v>89</v>
      </c>
      <c r="H243" s="547">
        <v>2903267.056</v>
      </c>
      <c r="I243" s="547">
        <v>3348701.225</v>
      </c>
      <c r="J243" s="548">
        <v>2479971.71</v>
      </c>
      <c r="K243" s="516"/>
      <c r="L243" s="534" t="s">
        <v>292</v>
      </c>
      <c r="M243" s="535" t="s">
        <v>3</v>
      </c>
      <c r="N243" s="535" t="s">
        <v>294</v>
      </c>
      <c r="O243" s="535" t="s">
        <v>300</v>
      </c>
      <c r="P243" s="535" t="s">
        <v>296</v>
      </c>
      <c r="Q243" s="535" t="s">
        <v>89</v>
      </c>
      <c r="R243" s="535">
        <v>2019.0</v>
      </c>
      <c r="S243" s="536">
        <v>684.668232108393</v>
      </c>
      <c r="T243" s="536">
        <v>1432.54287267697</v>
      </c>
      <c r="U243" s="537">
        <v>237.788883350941</v>
      </c>
      <c r="CE243" s="525"/>
    </row>
    <row r="244">
      <c r="A244" s="509"/>
      <c r="B244" s="526" t="s">
        <v>3</v>
      </c>
      <c r="C244" s="527" t="s">
        <v>289</v>
      </c>
      <c r="D244" s="527" t="s">
        <v>339</v>
      </c>
      <c r="E244" s="530">
        <v>2019.0</v>
      </c>
      <c r="F244" s="527" t="s">
        <v>291</v>
      </c>
      <c r="G244" s="527" t="s">
        <v>89</v>
      </c>
      <c r="H244" s="532">
        <v>5280342.987</v>
      </c>
      <c r="I244" s="532">
        <v>6090480.374</v>
      </c>
      <c r="J244" s="533">
        <v>4510470.782</v>
      </c>
      <c r="K244" s="516"/>
      <c r="L244" s="534" t="s">
        <v>292</v>
      </c>
      <c r="M244" s="535" t="s">
        <v>514</v>
      </c>
      <c r="N244" s="535" t="s">
        <v>294</v>
      </c>
      <c r="O244" s="535" t="s">
        <v>295</v>
      </c>
      <c r="P244" s="535" t="s">
        <v>296</v>
      </c>
      <c r="Q244" s="535" t="s">
        <v>89</v>
      </c>
      <c r="R244" s="535">
        <v>2019.0</v>
      </c>
      <c r="S244" s="536">
        <v>6444.05535578963</v>
      </c>
      <c r="T244" s="536">
        <v>10903.8432179372</v>
      </c>
      <c r="U244" s="537">
        <v>2764.6744993718</v>
      </c>
      <c r="CE244" s="525"/>
    </row>
    <row r="245">
      <c r="A245" s="509"/>
      <c r="B245" s="544" t="s">
        <v>3</v>
      </c>
      <c r="C245" s="545" t="s">
        <v>289</v>
      </c>
      <c r="D245" s="545" t="s">
        <v>344</v>
      </c>
      <c r="E245" s="546">
        <v>2019.0</v>
      </c>
      <c r="F245" s="545" t="s">
        <v>291</v>
      </c>
      <c r="G245" s="545" t="s">
        <v>89</v>
      </c>
      <c r="H245" s="547">
        <v>7224210.382</v>
      </c>
      <c r="I245" s="547">
        <v>8332585.906</v>
      </c>
      <c r="J245" s="548">
        <v>6170922.974</v>
      </c>
      <c r="K245" s="516"/>
      <c r="L245" s="534" t="s">
        <v>292</v>
      </c>
      <c r="M245" s="535" t="s">
        <v>514</v>
      </c>
      <c r="N245" s="535" t="s">
        <v>294</v>
      </c>
      <c r="O245" s="535" t="s">
        <v>311</v>
      </c>
      <c r="P245" s="535" t="s">
        <v>296</v>
      </c>
      <c r="Q245" s="535" t="s">
        <v>89</v>
      </c>
      <c r="R245" s="535">
        <v>2019.0</v>
      </c>
      <c r="S245" s="536">
        <v>0.0</v>
      </c>
      <c r="T245" s="536">
        <v>0.0</v>
      </c>
      <c r="U245" s="537">
        <v>0.0</v>
      </c>
      <c r="CE245" s="525"/>
    </row>
    <row r="246">
      <c r="A246" s="509"/>
      <c r="B246" s="526" t="s">
        <v>3</v>
      </c>
      <c r="C246" s="527" t="s">
        <v>289</v>
      </c>
      <c r="D246" s="527" t="s">
        <v>349</v>
      </c>
      <c r="E246" s="530">
        <v>2019.0</v>
      </c>
      <c r="F246" s="527" t="s">
        <v>291</v>
      </c>
      <c r="G246" s="527" t="s">
        <v>89</v>
      </c>
      <c r="H246" s="532">
        <v>2377075.931</v>
      </c>
      <c r="I246" s="532">
        <v>2741779.15</v>
      </c>
      <c r="J246" s="533">
        <v>2030499.071</v>
      </c>
      <c r="K246" s="516"/>
      <c r="L246" s="534" t="s">
        <v>292</v>
      </c>
      <c r="M246" s="535" t="s">
        <v>514</v>
      </c>
      <c r="N246" s="535" t="s">
        <v>294</v>
      </c>
      <c r="O246" s="535" t="s">
        <v>319</v>
      </c>
      <c r="P246" s="535" t="s">
        <v>296</v>
      </c>
      <c r="Q246" s="535" t="s">
        <v>89</v>
      </c>
      <c r="R246" s="535">
        <v>2019.0</v>
      </c>
      <c r="S246" s="536">
        <v>204.24885240455</v>
      </c>
      <c r="T246" s="536">
        <v>442.3908816</v>
      </c>
      <c r="U246" s="537">
        <v>64.4835613103114</v>
      </c>
      <c r="CE246" s="525"/>
    </row>
    <row r="247">
      <c r="A247" s="509"/>
      <c r="B247" s="544" t="s">
        <v>3</v>
      </c>
      <c r="C247" s="545" t="s">
        <v>289</v>
      </c>
      <c r="D247" s="545" t="s">
        <v>355</v>
      </c>
      <c r="E247" s="546">
        <v>2019.0</v>
      </c>
      <c r="F247" s="545" t="s">
        <v>291</v>
      </c>
      <c r="G247" s="545" t="s">
        <v>89</v>
      </c>
      <c r="H247" s="547">
        <v>8536078.22</v>
      </c>
      <c r="I247" s="547">
        <v>9846903.943</v>
      </c>
      <c r="J247" s="548">
        <v>7290700.817</v>
      </c>
      <c r="K247" s="516"/>
      <c r="L247" s="534" t="s">
        <v>292</v>
      </c>
      <c r="M247" s="535" t="s">
        <v>514</v>
      </c>
      <c r="N247" s="535" t="s">
        <v>294</v>
      </c>
      <c r="O247" s="535" t="s">
        <v>327</v>
      </c>
      <c r="P247" s="535" t="s">
        <v>296</v>
      </c>
      <c r="Q247" s="535" t="s">
        <v>89</v>
      </c>
      <c r="R247" s="535">
        <v>2019.0</v>
      </c>
      <c r="S247" s="536">
        <v>2548.29115665217</v>
      </c>
      <c r="T247" s="536">
        <v>4533.56372818681</v>
      </c>
      <c r="U247" s="537">
        <v>979.926257793773</v>
      </c>
      <c r="CE247" s="525"/>
    </row>
    <row r="248">
      <c r="A248" s="509"/>
      <c r="B248" s="526" t="s">
        <v>3</v>
      </c>
      <c r="C248" s="527" t="s">
        <v>289</v>
      </c>
      <c r="D248" s="527" t="s">
        <v>358</v>
      </c>
      <c r="E248" s="530">
        <v>2019.0</v>
      </c>
      <c r="F248" s="527" t="s">
        <v>291</v>
      </c>
      <c r="G248" s="527" t="s">
        <v>89</v>
      </c>
      <c r="H248" s="532">
        <v>1.0240033E7</v>
      </c>
      <c r="I248" s="532">
        <v>1.181111155E7</v>
      </c>
      <c r="J248" s="533">
        <v>8747039.688</v>
      </c>
      <c r="K248" s="516"/>
      <c r="L248" s="534" t="s">
        <v>292</v>
      </c>
      <c r="M248" s="535" t="s">
        <v>514</v>
      </c>
      <c r="N248" s="535" t="s">
        <v>294</v>
      </c>
      <c r="O248" s="535" t="s">
        <v>335</v>
      </c>
      <c r="P248" s="535" t="s">
        <v>296</v>
      </c>
      <c r="Q248" s="535" t="s">
        <v>89</v>
      </c>
      <c r="R248" s="535">
        <v>2019.0</v>
      </c>
      <c r="S248" s="536">
        <v>11717.2020652172</v>
      </c>
      <c r="T248" s="536">
        <v>20600.7464505352</v>
      </c>
      <c r="U248" s="537">
        <v>4661.926618</v>
      </c>
      <c r="CE248" s="525"/>
    </row>
    <row r="249">
      <c r="A249" s="509"/>
      <c r="B249" s="544" t="s">
        <v>3</v>
      </c>
      <c r="C249" s="545" t="s">
        <v>289</v>
      </c>
      <c r="D249" s="545" t="s">
        <v>362</v>
      </c>
      <c r="E249" s="546">
        <v>2019.0</v>
      </c>
      <c r="F249" s="545" t="s">
        <v>291</v>
      </c>
      <c r="G249" s="545" t="s">
        <v>89</v>
      </c>
      <c r="H249" s="547">
        <v>9921223.086</v>
      </c>
      <c r="I249" s="547">
        <v>1.14447558E7</v>
      </c>
      <c r="J249" s="548">
        <v>8473758.955</v>
      </c>
      <c r="K249" s="516"/>
      <c r="L249" s="534" t="s">
        <v>292</v>
      </c>
      <c r="M249" s="535" t="s">
        <v>514</v>
      </c>
      <c r="N249" s="535" t="s">
        <v>294</v>
      </c>
      <c r="O249" s="535" t="s">
        <v>300</v>
      </c>
      <c r="P249" s="535" t="s">
        <v>296</v>
      </c>
      <c r="Q249" s="535" t="s">
        <v>89</v>
      </c>
      <c r="R249" s="535">
        <v>2019.0</v>
      </c>
      <c r="S249" s="536">
        <v>510.72443704064</v>
      </c>
      <c r="T249" s="536">
        <v>939.559582592088</v>
      </c>
      <c r="U249" s="537">
        <v>180.532521439944</v>
      </c>
      <c r="CE249" s="525"/>
    </row>
    <row r="250">
      <c r="A250" s="509"/>
      <c r="B250" s="526" t="s">
        <v>3</v>
      </c>
      <c r="C250" s="527" t="s">
        <v>289</v>
      </c>
      <c r="D250" s="527" t="s">
        <v>366</v>
      </c>
      <c r="E250" s="530">
        <v>2019.0</v>
      </c>
      <c r="F250" s="527" t="s">
        <v>291</v>
      </c>
      <c r="G250" s="527" t="s">
        <v>89</v>
      </c>
      <c r="H250" s="532">
        <v>1943867.395</v>
      </c>
      <c r="I250" s="532">
        <v>2242105.532</v>
      </c>
      <c r="J250" s="533">
        <v>1660452.192</v>
      </c>
      <c r="K250" s="516"/>
      <c r="L250" s="534" t="s">
        <v>292</v>
      </c>
      <c r="M250" s="535" t="s">
        <v>8</v>
      </c>
      <c r="N250" s="535" t="s">
        <v>294</v>
      </c>
      <c r="O250" s="535" t="s">
        <v>295</v>
      </c>
      <c r="P250" s="535" t="s">
        <v>296</v>
      </c>
      <c r="Q250" s="535" t="s">
        <v>89</v>
      </c>
      <c r="R250" s="535">
        <v>2019.0</v>
      </c>
      <c r="S250" s="536">
        <v>1880.40794320354</v>
      </c>
      <c r="T250" s="536">
        <v>3868.6380854142</v>
      </c>
      <c r="U250" s="537">
        <v>699.635308146551</v>
      </c>
      <c r="CE250" s="525"/>
    </row>
    <row r="251">
      <c r="A251" s="509"/>
      <c r="B251" s="544" t="s">
        <v>3</v>
      </c>
      <c r="C251" s="545" t="s">
        <v>289</v>
      </c>
      <c r="D251" s="545" t="s">
        <v>368</v>
      </c>
      <c r="E251" s="546">
        <v>2019.0</v>
      </c>
      <c r="F251" s="545" t="s">
        <v>291</v>
      </c>
      <c r="G251" s="545" t="s">
        <v>89</v>
      </c>
      <c r="H251" s="547">
        <v>7977426.99</v>
      </c>
      <c r="I251" s="547">
        <v>9201364.881</v>
      </c>
      <c r="J251" s="548">
        <v>6814320.857</v>
      </c>
      <c r="K251" s="516"/>
      <c r="L251" s="534" t="s">
        <v>292</v>
      </c>
      <c r="M251" s="535" t="s">
        <v>8</v>
      </c>
      <c r="N251" s="535" t="s">
        <v>294</v>
      </c>
      <c r="O251" s="535" t="s">
        <v>311</v>
      </c>
      <c r="P251" s="535" t="s">
        <v>296</v>
      </c>
      <c r="Q251" s="535" t="s">
        <v>89</v>
      </c>
      <c r="R251" s="535">
        <v>2019.0</v>
      </c>
      <c r="S251" s="536">
        <v>0.0</v>
      </c>
      <c r="T251" s="536">
        <v>0.0</v>
      </c>
      <c r="U251" s="537">
        <v>0.0</v>
      </c>
      <c r="CE251" s="525"/>
    </row>
    <row r="252">
      <c r="A252" s="509"/>
      <c r="B252" s="526" t="s">
        <v>3</v>
      </c>
      <c r="C252" s="527" t="s">
        <v>289</v>
      </c>
      <c r="D252" s="527" t="s">
        <v>373</v>
      </c>
      <c r="E252" s="530">
        <v>2019.0</v>
      </c>
      <c r="F252" s="527" t="s">
        <v>291</v>
      </c>
      <c r="G252" s="527" t="s">
        <v>89</v>
      </c>
      <c r="H252" s="532">
        <v>1626106.849</v>
      </c>
      <c r="I252" s="532">
        <v>1875592.528</v>
      </c>
      <c r="J252" s="533">
        <v>1389021.025</v>
      </c>
      <c r="K252" s="516"/>
      <c r="L252" s="534" t="s">
        <v>292</v>
      </c>
      <c r="M252" s="535" t="s">
        <v>8</v>
      </c>
      <c r="N252" s="535" t="s">
        <v>294</v>
      </c>
      <c r="O252" s="535" t="s">
        <v>319</v>
      </c>
      <c r="P252" s="535" t="s">
        <v>296</v>
      </c>
      <c r="Q252" s="535" t="s">
        <v>89</v>
      </c>
      <c r="R252" s="535">
        <v>2019.0</v>
      </c>
      <c r="S252" s="536">
        <v>82.1438456374381</v>
      </c>
      <c r="T252" s="536">
        <v>178.449692735573</v>
      </c>
      <c r="U252" s="537">
        <v>28.3541940118054</v>
      </c>
      <c r="CE252" s="525"/>
    </row>
    <row r="253">
      <c r="A253" s="509"/>
      <c r="B253" s="544" t="s">
        <v>3</v>
      </c>
      <c r="C253" s="545" t="s">
        <v>289</v>
      </c>
      <c r="D253" s="545" t="s">
        <v>379</v>
      </c>
      <c r="E253" s="546">
        <v>2019.0</v>
      </c>
      <c r="F253" s="545" t="s">
        <v>291</v>
      </c>
      <c r="G253" s="545" t="s">
        <v>89</v>
      </c>
      <c r="H253" s="547">
        <v>5919047.141</v>
      </c>
      <c r="I253" s="547">
        <v>6827993.739</v>
      </c>
      <c r="J253" s="548">
        <v>5055483.41</v>
      </c>
      <c r="K253" s="516"/>
      <c r="L253" s="534" t="s">
        <v>292</v>
      </c>
      <c r="M253" s="535" t="s">
        <v>8</v>
      </c>
      <c r="N253" s="535" t="s">
        <v>294</v>
      </c>
      <c r="O253" s="535" t="s">
        <v>327</v>
      </c>
      <c r="P253" s="535" t="s">
        <v>296</v>
      </c>
      <c r="Q253" s="535" t="s">
        <v>89</v>
      </c>
      <c r="R253" s="535">
        <v>2019.0</v>
      </c>
      <c r="S253" s="536">
        <v>575.084442435558</v>
      </c>
      <c r="T253" s="536">
        <v>1198.70229078403</v>
      </c>
      <c r="U253" s="537">
        <v>200.219894101497</v>
      </c>
      <c r="CE253" s="525"/>
    </row>
    <row r="254">
      <c r="A254" s="509"/>
      <c r="B254" s="526" t="s">
        <v>3</v>
      </c>
      <c r="C254" s="527" t="s">
        <v>289</v>
      </c>
      <c r="D254" s="527" t="s">
        <v>382</v>
      </c>
      <c r="E254" s="530">
        <v>2019.0</v>
      </c>
      <c r="F254" s="527" t="s">
        <v>291</v>
      </c>
      <c r="G254" s="527" t="s">
        <v>89</v>
      </c>
      <c r="H254" s="532">
        <v>1403113.123</v>
      </c>
      <c r="I254" s="532">
        <v>1618385.957</v>
      </c>
      <c r="J254" s="533">
        <v>1198539.709</v>
      </c>
      <c r="K254" s="516"/>
      <c r="L254" s="534" t="s">
        <v>292</v>
      </c>
      <c r="M254" s="535" t="s">
        <v>8</v>
      </c>
      <c r="N254" s="535" t="s">
        <v>294</v>
      </c>
      <c r="O254" s="535" t="s">
        <v>335</v>
      </c>
      <c r="P254" s="535" t="s">
        <v>296</v>
      </c>
      <c r="Q254" s="535" t="s">
        <v>89</v>
      </c>
      <c r="R254" s="535">
        <v>2019.0</v>
      </c>
      <c r="S254" s="536">
        <v>5436.18786097608</v>
      </c>
      <c r="T254" s="536">
        <v>10610.3793</v>
      </c>
      <c r="U254" s="537">
        <v>2047.92053787122</v>
      </c>
      <c r="CE254" s="525"/>
    </row>
    <row r="255">
      <c r="A255" s="509"/>
      <c r="B255" s="544" t="s">
        <v>3</v>
      </c>
      <c r="C255" s="545" t="s">
        <v>289</v>
      </c>
      <c r="D255" s="545" t="s">
        <v>387</v>
      </c>
      <c r="E255" s="546">
        <v>2019.0</v>
      </c>
      <c r="F255" s="545" t="s">
        <v>291</v>
      </c>
      <c r="G255" s="545" t="s">
        <v>89</v>
      </c>
      <c r="H255" s="547">
        <v>1185976.266</v>
      </c>
      <c r="I255" s="547">
        <v>1367934.847</v>
      </c>
      <c r="J255" s="548">
        <v>1013061.332</v>
      </c>
      <c r="K255" s="516"/>
      <c r="L255" s="534" t="s">
        <v>292</v>
      </c>
      <c r="M255" s="535" t="s">
        <v>8</v>
      </c>
      <c r="N255" s="535" t="s">
        <v>294</v>
      </c>
      <c r="O255" s="535" t="s">
        <v>300</v>
      </c>
      <c r="P255" s="535" t="s">
        <v>296</v>
      </c>
      <c r="Q255" s="535" t="s">
        <v>89</v>
      </c>
      <c r="R255" s="535">
        <v>2019.0</v>
      </c>
      <c r="S255" s="536">
        <v>236.430874114941</v>
      </c>
      <c r="T255" s="536">
        <v>482.873592670172</v>
      </c>
      <c r="U255" s="537">
        <v>85.5061688177509</v>
      </c>
      <c r="CE255" s="525"/>
    </row>
    <row r="256">
      <c r="A256" s="509"/>
      <c r="B256" s="526" t="s">
        <v>3</v>
      </c>
      <c r="C256" s="527" t="s">
        <v>289</v>
      </c>
      <c r="D256" s="527" t="s">
        <v>392</v>
      </c>
      <c r="E256" s="530">
        <v>2019.0</v>
      </c>
      <c r="F256" s="527" t="s">
        <v>291</v>
      </c>
      <c r="G256" s="527" t="s">
        <v>89</v>
      </c>
      <c r="H256" s="532">
        <v>957029.4317</v>
      </c>
      <c r="I256" s="532">
        <v>1103861.811</v>
      </c>
      <c r="J256" s="533">
        <v>817494.8672</v>
      </c>
      <c r="K256" s="516"/>
      <c r="L256" s="534" t="s">
        <v>292</v>
      </c>
      <c r="M256" s="535" t="s">
        <v>5</v>
      </c>
      <c r="N256" s="535" t="s">
        <v>294</v>
      </c>
      <c r="O256" s="535" t="s">
        <v>295</v>
      </c>
      <c r="P256" s="535" t="s">
        <v>296</v>
      </c>
      <c r="Q256" s="535" t="s">
        <v>89</v>
      </c>
      <c r="R256" s="535">
        <v>2019.0</v>
      </c>
      <c r="S256" s="536">
        <v>44077.9480979105</v>
      </c>
      <c r="T256" s="536">
        <v>71207.62174</v>
      </c>
      <c r="U256" s="537">
        <v>21118.1939296982</v>
      </c>
      <c r="CE256" s="525"/>
    </row>
    <row r="257">
      <c r="A257" s="509"/>
      <c r="B257" s="544" t="s">
        <v>3</v>
      </c>
      <c r="C257" s="545" t="s">
        <v>289</v>
      </c>
      <c r="D257" s="545" t="s">
        <v>398</v>
      </c>
      <c r="E257" s="546">
        <v>2019.0</v>
      </c>
      <c r="F257" s="545" t="s">
        <v>291</v>
      </c>
      <c r="G257" s="545" t="s">
        <v>89</v>
      </c>
      <c r="H257" s="547">
        <v>746864.0086</v>
      </c>
      <c r="I257" s="547">
        <v>861451.7272</v>
      </c>
      <c r="J257" s="548">
        <v>637971.491</v>
      </c>
      <c r="K257" s="516"/>
      <c r="L257" s="534" t="s">
        <v>292</v>
      </c>
      <c r="M257" s="535" t="s">
        <v>5</v>
      </c>
      <c r="N257" s="535" t="s">
        <v>294</v>
      </c>
      <c r="O257" s="535" t="s">
        <v>311</v>
      </c>
      <c r="P257" s="535" t="s">
        <v>296</v>
      </c>
      <c r="Q257" s="535" t="s">
        <v>89</v>
      </c>
      <c r="R257" s="535">
        <v>2019.0</v>
      </c>
      <c r="S257" s="536">
        <v>0.0</v>
      </c>
      <c r="T257" s="536">
        <v>0.0</v>
      </c>
      <c r="U257" s="537">
        <v>0.0</v>
      </c>
      <c r="CE257" s="525"/>
    </row>
    <row r="258">
      <c r="A258" s="509"/>
      <c r="B258" s="526" t="s">
        <v>3</v>
      </c>
      <c r="C258" s="527" t="s">
        <v>289</v>
      </c>
      <c r="D258" s="527" t="s">
        <v>402</v>
      </c>
      <c r="E258" s="530">
        <v>2019.0</v>
      </c>
      <c r="F258" s="527" t="s">
        <v>291</v>
      </c>
      <c r="G258" s="527" t="s">
        <v>89</v>
      </c>
      <c r="H258" s="532">
        <v>8725458.847</v>
      </c>
      <c r="I258" s="532">
        <v>1.006536643E7</v>
      </c>
      <c r="J258" s="533">
        <v>7452451.618</v>
      </c>
      <c r="K258" s="516"/>
      <c r="L258" s="534" t="s">
        <v>292</v>
      </c>
      <c r="M258" s="535" t="s">
        <v>5</v>
      </c>
      <c r="N258" s="535" t="s">
        <v>294</v>
      </c>
      <c r="O258" s="535" t="s">
        <v>319</v>
      </c>
      <c r="P258" s="535" t="s">
        <v>296</v>
      </c>
      <c r="Q258" s="535" t="s">
        <v>89</v>
      </c>
      <c r="R258" s="535">
        <v>2019.0</v>
      </c>
      <c r="S258" s="536">
        <v>3092.74907906871</v>
      </c>
      <c r="T258" s="536">
        <v>5487.36357908817</v>
      </c>
      <c r="U258" s="537">
        <v>1313.13897385455</v>
      </c>
      <c r="CE258" s="525"/>
    </row>
    <row r="259">
      <c r="A259" s="509"/>
      <c r="B259" s="886" t="s">
        <v>3</v>
      </c>
      <c r="C259" s="887" t="s">
        <v>289</v>
      </c>
      <c r="D259" s="887" t="s">
        <v>407</v>
      </c>
      <c r="E259" s="888">
        <v>2019.0</v>
      </c>
      <c r="F259" s="887" t="s">
        <v>291</v>
      </c>
      <c r="G259" s="887" t="s">
        <v>89</v>
      </c>
      <c r="H259" s="547">
        <v>3445178.566</v>
      </c>
      <c r="I259" s="547">
        <v>3973755.586</v>
      </c>
      <c r="J259" s="548">
        <v>2942872.707</v>
      </c>
      <c r="K259" s="220"/>
      <c r="L259" s="534" t="s">
        <v>292</v>
      </c>
      <c r="M259" s="535" t="s">
        <v>5</v>
      </c>
      <c r="N259" s="535" t="s">
        <v>294</v>
      </c>
      <c r="O259" s="535" t="s">
        <v>327</v>
      </c>
      <c r="P259" s="535" t="s">
        <v>296</v>
      </c>
      <c r="Q259" s="535" t="s">
        <v>89</v>
      </c>
      <c r="R259" s="535">
        <v>2019.0</v>
      </c>
      <c r="S259" s="536">
        <v>17514.1097236335</v>
      </c>
      <c r="T259" s="536">
        <v>29822.6131775025</v>
      </c>
      <c r="U259" s="537">
        <v>7768.60859688556</v>
      </c>
      <c r="CE259" s="525"/>
    </row>
    <row r="260">
      <c r="A260" s="509"/>
      <c r="B260" s="889" t="s">
        <v>3</v>
      </c>
      <c r="C260" s="890" t="s">
        <v>289</v>
      </c>
      <c r="D260" s="890" t="s">
        <v>414</v>
      </c>
      <c r="E260" s="891">
        <v>2019.0</v>
      </c>
      <c r="F260" s="890" t="s">
        <v>291</v>
      </c>
      <c r="G260" s="890" t="s">
        <v>89</v>
      </c>
      <c r="H260" s="532">
        <v>591737.2832</v>
      </c>
      <c r="I260" s="532">
        <v>682524.6616</v>
      </c>
      <c r="J260" s="533">
        <v>505462.1893</v>
      </c>
      <c r="K260" s="220"/>
      <c r="L260" s="534" t="s">
        <v>292</v>
      </c>
      <c r="M260" s="535" t="s">
        <v>5</v>
      </c>
      <c r="N260" s="535" t="s">
        <v>294</v>
      </c>
      <c r="O260" s="535" t="s">
        <v>335</v>
      </c>
      <c r="P260" s="535" t="s">
        <v>296</v>
      </c>
      <c r="Q260" s="535" t="s">
        <v>89</v>
      </c>
      <c r="R260" s="535">
        <v>2019.0</v>
      </c>
      <c r="S260" s="536">
        <v>57160.1545554498</v>
      </c>
      <c r="T260" s="536">
        <v>96575.6853555613</v>
      </c>
      <c r="U260" s="537">
        <v>25658.1525379773</v>
      </c>
      <c r="CE260" s="525"/>
    </row>
    <row r="261">
      <c r="A261" s="509"/>
      <c r="B261" s="886" t="s">
        <v>3</v>
      </c>
      <c r="C261" s="887" t="s">
        <v>289</v>
      </c>
      <c r="D261" s="887" t="s">
        <v>417</v>
      </c>
      <c r="E261" s="888">
        <v>2019.0</v>
      </c>
      <c r="F261" s="887" t="s">
        <v>291</v>
      </c>
      <c r="G261" s="887" t="s">
        <v>89</v>
      </c>
      <c r="H261" s="547">
        <v>1667289.956</v>
      </c>
      <c r="I261" s="547">
        <v>1923094.158</v>
      </c>
      <c r="J261" s="548">
        <v>1424199.649</v>
      </c>
      <c r="K261" s="220"/>
      <c r="L261" s="534" t="s">
        <v>292</v>
      </c>
      <c r="M261" s="535" t="s">
        <v>5</v>
      </c>
      <c r="N261" s="535" t="s">
        <v>294</v>
      </c>
      <c r="O261" s="535" t="s">
        <v>300</v>
      </c>
      <c r="P261" s="535" t="s">
        <v>296</v>
      </c>
      <c r="Q261" s="535" t="s">
        <v>89</v>
      </c>
      <c r="R261" s="535">
        <v>2019.0</v>
      </c>
      <c r="S261" s="536">
        <v>3154.30483603711</v>
      </c>
      <c r="T261" s="536">
        <v>6038.2902376689</v>
      </c>
      <c r="U261" s="537">
        <v>1193.32425070424</v>
      </c>
      <c r="CE261" s="525"/>
    </row>
    <row r="262">
      <c r="A262" s="509"/>
      <c r="B262" s="889" t="s">
        <v>3</v>
      </c>
      <c r="C262" s="890" t="s">
        <v>289</v>
      </c>
      <c r="D262" s="890" t="s">
        <v>300</v>
      </c>
      <c r="E262" s="891">
        <v>2019.0</v>
      </c>
      <c r="F262" s="890" t="s">
        <v>291</v>
      </c>
      <c r="G262" s="890" t="s">
        <v>89</v>
      </c>
      <c r="H262" s="532">
        <v>6348445.622</v>
      </c>
      <c r="I262" s="532">
        <v>7322456.811</v>
      </c>
      <c r="J262" s="533">
        <v>5422844.417</v>
      </c>
      <c r="K262" s="220"/>
      <c r="L262" s="534" t="s">
        <v>292</v>
      </c>
      <c r="M262" s="535" t="s">
        <v>458</v>
      </c>
      <c r="N262" s="535" t="s">
        <v>294</v>
      </c>
      <c r="O262" s="535" t="s">
        <v>295</v>
      </c>
      <c r="P262" s="535" t="s">
        <v>296</v>
      </c>
      <c r="Q262" s="535" t="s">
        <v>89</v>
      </c>
      <c r="R262" s="535">
        <v>2019.0</v>
      </c>
      <c r="S262" s="536">
        <v>2097.16787036851</v>
      </c>
      <c r="T262" s="536">
        <v>4480.14143297988</v>
      </c>
      <c r="U262" s="537">
        <v>764.984644006829</v>
      </c>
      <c r="CE262" s="525"/>
    </row>
    <row r="263">
      <c r="A263" s="509"/>
      <c r="B263" s="886" t="s">
        <v>3</v>
      </c>
      <c r="C263" s="887" t="s">
        <v>289</v>
      </c>
      <c r="D263" s="887" t="s">
        <v>429</v>
      </c>
      <c r="E263" s="888">
        <v>2019.0</v>
      </c>
      <c r="F263" s="887" t="s">
        <v>291</v>
      </c>
      <c r="G263" s="887" t="s">
        <v>89</v>
      </c>
      <c r="H263" s="547">
        <v>1466589.488</v>
      </c>
      <c r="I263" s="547">
        <v>1691803.36</v>
      </c>
      <c r="J263" s="548">
        <v>1252620.337</v>
      </c>
      <c r="K263" s="220"/>
      <c r="L263" s="534" t="s">
        <v>292</v>
      </c>
      <c r="M263" s="535" t="s">
        <v>458</v>
      </c>
      <c r="N263" s="535" t="s">
        <v>294</v>
      </c>
      <c r="O263" s="535" t="s">
        <v>311</v>
      </c>
      <c r="P263" s="535" t="s">
        <v>296</v>
      </c>
      <c r="Q263" s="535" t="s">
        <v>89</v>
      </c>
      <c r="R263" s="535">
        <v>2019.0</v>
      </c>
      <c r="S263" s="536">
        <v>0.0</v>
      </c>
      <c r="T263" s="536">
        <v>0.0</v>
      </c>
      <c r="U263" s="537">
        <v>0.0</v>
      </c>
      <c r="CE263" s="525"/>
    </row>
    <row r="264">
      <c r="A264" s="509"/>
      <c r="B264" s="889" t="s">
        <v>3</v>
      </c>
      <c r="C264" s="890" t="s">
        <v>289</v>
      </c>
      <c r="D264" s="890" t="s">
        <v>432</v>
      </c>
      <c r="E264" s="891">
        <v>2019.0</v>
      </c>
      <c r="F264" s="890" t="s">
        <v>291</v>
      </c>
      <c r="G264" s="890" t="s">
        <v>89</v>
      </c>
      <c r="H264" s="532">
        <v>467800.0061</v>
      </c>
      <c r="I264" s="532">
        <v>539572.2897</v>
      </c>
      <c r="J264" s="533">
        <v>399594.9248</v>
      </c>
      <c r="K264" s="220"/>
      <c r="L264" s="534" t="s">
        <v>292</v>
      </c>
      <c r="M264" s="535" t="s">
        <v>458</v>
      </c>
      <c r="N264" s="535" t="s">
        <v>294</v>
      </c>
      <c r="O264" s="535" t="s">
        <v>319</v>
      </c>
      <c r="P264" s="535" t="s">
        <v>296</v>
      </c>
      <c r="Q264" s="535" t="s">
        <v>89</v>
      </c>
      <c r="R264" s="535">
        <v>2019.0</v>
      </c>
      <c r="S264" s="536">
        <v>129.30356147281</v>
      </c>
      <c r="T264" s="536">
        <v>307.042042425127</v>
      </c>
      <c r="U264" s="537">
        <v>42.2975243152949</v>
      </c>
      <c r="CE264" s="525"/>
    </row>
    <row r="265">
      <c r="A265" s="509"/>
      <c r="B265" s="886" t="s">
        <v>3</v>
      </c>
      <c r="C265" s="887" t="s">
        <v>289</v>
      </c>
      <c r="D265" s="887" t="s">
        <v>435</v>
      </c>
      <c r="E265" s="888">
        <v>2019.0</v>
      </c>
      <c r="F265" s="887" t="s">
        <v>291</v>
      </c>
      <c r="G265" s="887" t="s">
        <v>89</v>
      </c>
      <c r="H265" s="547">
        <v>354896.6626</v>
      </c>
      <c r="I265" s="547">
        <v>409346.7344</v>
      </c>
      <c r="J265" s="548">
        <v>303152.8503</v>
      </c>
      <c r="K265" s="220"/>
      <c r="L265" s="534" t="s">
        <v>292</v>
      </c>
      <c r="M265" s="535" t="s">
        <v>458</v>
      </c>
      <c r="N265" s="535" t="s">
        <v>294</v>
      </c>
      <c r="O265" s="535" t="s">
        <v>327</v>
      </c>
      <c r="P265" s="535" t="s">
        <v>296</v>
      </c>
      <c r="Q265" s="535" t="s">
        <v>89</v>
      </c>
      <c r="R265" s="535">
        <v>2019.0</v>
      </c>
      <c r="S265" s="536">
        <v>806.229379890934</v>
      </c>
      <c r="T265" s="536">
        <v>1921.51858524426</v>
      </c>
      <c r="U265" s="537">
        <v>272.144205183781</v>
      </c>
      <c r="CE265" s="525"/>
    </row>
    <row r="266">
      <c r="A266" s="509"/>
      <c r="B266" s="889" t="s">
        <v>3</v>
      </c>
      <c r="C266" s="890" t="s">
        <v>289</v>
      </c>
      <c r="D266" s="890" t="s">
        <v>442</v>
      </c>
      <c r="E266" s="891">
        <v>2019.0</v>
      </c>
      <c r="F266" s="890" t="s">
        <v>291</v>
      </c>
      <c r="G266" s="890" t="s">
        <v>89</v>
      </c>
      <c r="H266" s="532">
        <v>252856.0037</v>
      </c>
      <c r="I266" s="532">
        <v>291650.4727</v>
      </c>
      <c r="J266" s="533">
        <v>215989.6847</v>
      </c>
      <c r="K266" s="220"/>
      <c r="L266" s="534" t="s">
        <v>292</v>
      </c>
      <c r="M266" s="535" t="s">
        <v>458</v>
      </c>
      <c r="N266" s="535" t="s">
        <v>294</v>
      </c>
      <c r="O266" s="535" t="s">
        <v>335</v>
      </c>
      <c r="P266" s="535" t="s">
        <v>296</v>
      </c>
      <c r="Q266" s="535" t="s">
        <v>89</v>
      </c>
      <c r="R266" s="535">
        <v>2019.0</v>
      </c>
      <c r="S266" s="536">
        <v>3385.81580499514</v>
      </c>
      <c r="T266" s="536">
        <v>7594.9839456837</v>
      </c>
      <c r="U266" s="537">
        <v>1163.54009999845</v>
      </c>
      <c r="CE266" s="525"/>
    </row>
    <row r="267">
      <c r="A267" s="509"/>
      <c r="B267" s="886" t="s">
        <v>3</v>
      </c>
      <c r="C267" s="887" t="s">
        <v>289</v>
      </c>
      <c r="D267" s="887" t="s">
        <v>445</v>
      </c>
      <c r="E267" s="888">
        <v>2019.0</v>
      </c>
      <c r="F267" s="887" t="s">
        <v>291</v>
      </c>
      <c r="G267" s="887" t="s">
        <v>89</v>
      </c>
      <c r="H267" s="547">
        <v>435521.562</v>
      </c>
      <c r="I267" s="547">
        <v>502401.5567</v>
      </c>
      <c r="J267" s="548">
        <v>371980.8237</v>
      </c>
      <c r="K267" s="220"/>
      <c r="L267" s="534" t="s">
        <v>292</v>
      </c>
      <c r="M267" s="535" t="s">
        <v>458</v>
      </c>
      <c r="N267" s="535" t="s">
        <v>294</v>
      </c>
      <c r="O267" s="535" t="s">
        <v>300</v>
      </c>
      <c r="P267" s="535" t="s">
        <v>296</v>
      </c>
      <c r="Q267" s="535" t="s">
        <v>89</v>
      </c>
      <c r="R267" s="535">
        <v>2019.0</v>
      </c>
      <c r="S267" s="536">
        <v>173.795567080808</v>
      </c>
      <c r="T267" s="536">
        <v>398.767045084728</v>
      </c>
      <c r="U267" s="537">
        <v>53.368618807208</v>
      </c>
      <c r="CE267" s="525"/>
    </row>
    <row r="268">
      <c r="A268" s="509"/>
      <c r="B268" s="889" t="s">
        <v>3</v>
      </c>
      <c r="C268" s="890" t="s">
        <v>289</v>
      </c>
      <c r="D268" s="890" t="s">
        <v>450</v>
      </c>
      <c r="E268" s="891">
        <v>2019.0</v>
      </c>
      <c r="F268" s="890" t="s">
        <v>291</v>
      </c>
      <c r="G268" s="890" t="s">
        <v>89</v>
      </c>
      <c r="H268" s="532">
        <v>182668.6882</v>
      </c>
      <c r="I268" s="532">
        <v>210694.6581</v>
      </c>
      <c r="J268" s="533">
        <v>156035.6558</v>
      </c>
      <c r="K268" s="220"/>
      <c r="L268" s="534" t="s">
        <v>292</v>
      </c>
      <c r="M268" s="535" t="s">
        <v>364</v>
      </c>
      <c r="N268" s="535" t="s">
        <v>294</v>
      </c>
      <c r="O268" s="535" t="s">
        <v>295</v>
      </c>
      <c r="P268" s="535" t="s">
        <v>296</v>
      </c>
      <c r="Q268" s="535" t="s">
        <v>89</v>
      </c>
      <c r="R268" s="535">
        <v>2019.0</v>
      </c>
      <c r="S268" s="536">
        <v>2312.11190860435</v>
      </c>
      <c r="T268" s="536">
        <v>4726.32621008998</v>
      </c>
      <c r="U268" s="537">
        <v>903.691564243475</v>
      </c>
      <c r="CE268" s="525"/>
    </row>
    <row r="269">
      <c r="A269" s="509"/>
      <c r="B269" s="886" t="s">
        <v>3</v>
      </c>
      <c r="C269" s="887" t="s">
        <v>289</v>
      </c>
      <c r="D269" s="887" t="s">
        <v>457</v>
      </c>
      <c r="E269" s="888">
        <v>2019.0</v>
      </c>
      <c r="F269" s="887" t="s">
        <v>291</v>
      </c>
      <c r="G269" s="887" t="s">
        <v>89</v>
      </c>
      <c r="H269" s="547">
        <v>391047.3555</v>
      </c>
      <c r="I269" s="547">
        <v>451043.8526</v>
      </c>
      <c r="J269" s="548">
        <v>334032.7845</v>
      </c>
      <c r="K269" s="220"/>
      <c r="L269" s="534" t="s">
        <v>292</v>
      </c>
      <c r="M269" s="535" t="s">
        <v>364</v>
      </c>
      <c r="N269" s="535" t="s">
        <v>294</v>
      </c>
      <c r="O269" s="535" t="s">
        <v>311</v>
      </c>
      <c r="P269" s="535" t="s">
        <v>296</v>
      </c>
      <c r="Q269" s="535" t="s">
        <v>89</v>
      </c>
      <c r="R269" s="535">
        <v>2019.0</v>
      </c>
      <c r="S269" s="536">
        <v>0.0</v>
      </c>
      <c r="T269" s="536">
        <v>0.0</v>
      </c>
      <c r="U269" s="537">
        <v>0.0</v>
      </c>
      <c r="CE269" s="525"/>
    </row>
    <row r="270">
      <c r="A270" s="509"/>
      <c r="B270" s="889" t="s">
        <v>3</v>
      </c>
      <c r="C270" s="890" t="s">
        <v>289</v>
      </c>
      <c r="D270" s="890" t="s">
        <v>463</v>
      </c>
      <c r="E270" s="891">
        <v>2019.0</v>
      </c>
      <c r="F270" s="890" t="s">
        <v>291</v>
      </c>
      <c r="G270" s="890" t="s">
        <v>89</v>
      </c>
      <c r="H270" s="532">
        <v>208377.1698</v>
      </c>
      <c r="I270" s="532">
        <v>240376.1918</v>
      </c>
      <c r="J270" s="533">
        <v>177975.8296</v>
      </c>
      <c r="K270" s="220"/>
      <c r="L270" s="534" t="s">
        <v>292</v>
      </c>
      <c r="M270" s="535" t="s">
        <v>364</v>
      </c>
      <c r="N270" s="535" t="s">
        <v>294</v>
      </c>
      <c r="O270" s="535" t="s">
        <v>319</v>
      </c>
      <c r="P270" s="535" t="s">
        <v>296</v>
      </c>
      <c r="Q270" s="535" t="s">
        <v>89</v>
      </c>
      <c r="R270" s="535">
        <v>2019.0</v>
      </c>
      <c r="S270" s="536">
        <v>178.278917285091</v>
      </c>
      <c r="T270" s="536">
        <v>381.895870476899</v>
      </c>
      <c r="U270" s="537">
        <v>68.0807956322915</v>
      </c>
      <c r="CE270" s="525"/>
    </row>
    <row r="271">
      <c r="A271" s="509"/>
      <c r="B271" s="886" t="s">
        <v>3</v>
      </c>
      <c r="C271" s="887" t="s">
        <v>289</v>
      </c>
      <c r="D271" s="887" t="s">
        <v>467</v>
      </c>
      <c r="E271" s="888">
        <v>2019.0</v>
      </c>
      <c r="F271" s="887" t="s">
        <v>291</v>
      </c>
      <c r="G271" s="887" t="s">
        <v>89</v>
      </c>
      <c r="H271" s="547">
        <v>112630.4246</v>
      </c>
      <c r="I271" s="547">
        <v>129910.7638</v>
      </c>
      <c r="J271" s="548">
        <v>96208.94711</v>
      </c>
      <c r="K271" s="220"/>
      <c r="L271" s="534" t="s">
        <v>292</v>
      </c>
      <c r="M271" s="535" t="s">
        <v>364</v>
      </c>
      <c r="N271" s="535" t="s">
        <v>294</v>
      </c>
      <c r="O271" s="535" t="s">
        <v>327</v>
      </c>
      <c r="P271" s="535" t="s">
        <v>296</v>
      </c>
      <c r="Q271" s="535" t="s">
        <v>89</v>
      </c>
      <c r="R271" s="535">
        <v>2019.0</v>
      </c>
      <c r="S271" s="536">
        <v>876.844572830123</v>
      </c>
      <c r="T271" s="536">
        <v>1861.41948737532</v>
      </c>
      <c r="U271" s="537">
        <v>328.37892852514</v>
      </c>
      <c r="CE271" s="525"/>
    </row>
    <row r="272">
      <c r="A272" s="509"/>
      <c r="B272" s="889" t="s">
        <v>3</v>
      </c>
      <c r="C272" s="890" t="s">
        <v>289</v>
      </c>
      <c r="D272" s="890" t="s">
        <v>473</v>
      </c>
      <c r="E272" s="891">
        <v>2019.0</v>
      </c>
      <c r="F272" s="890" t="s">
        <v>291</v>
      </c>
      <c r="G272" s="890" t="s">
        <v>89</v>
      </c>
      <c r="H272" s="532">
        <v>172290.0886</v>
      </c>
      <c r="I272" s="532">
        <v>198747.4703</v>
      </c>
      <c r="J272" s="533">
        <v>147153.6995</v>
      </c>
      <c r="K272" s="220"/>
      <c r="L272" s="534" t="s">
        <v>292</v>
      </c>
      <c r="M272" s="535" t="s">
        <v>364</v>
      </c>
      <c r="N272" s="535" t="s">
        <v>294</v>
      </c>
      <c r="O272" s="535" t="s">
        <v>335</v>
      </c>
      <c r="P272" s="535" t="s">
        <v>296</v>
      </c>
      <c r="Q272" s="535" t="s">
        <v>89</v>
      </c>
      <c r="R272" s="535">
        <v>2019.0</v>
      </c>
      <c r="S272" s="536">
        <v>4247.59195083286</v>
      </c>
      <c r="T272" s="536">
        <v>9040.32385128999</v>
      </c>
      <c r="U272" s="537">
        <v>1707.05067323785</v>
      </c>
      <c r="CE272" s="525"/>
    </row>
    <row r="273">
      <c r="A273" s="509"/>
      <c r="B273" s="886" t="s">
        <v>3</v>
      </c>
      <c r="C273" s="887" t="s">
        <v>289</v>
      </c>
      <c r="D273" s="887" t="s">
        <v>477</v>
      </c>
      <c r="E273" s="888">
        <v>2019.0</v>
      </c>
      <c r="F273" s="887" t="s">
        <v>291</v>
      </c>
      <c r="G273" s="887" t="s">
        <v>89</v>
      </c>
      <c r="H273" s="547">
        <v>95748.24278</v>
      </c>
      <c r="I273" s="547">
        <v>110438.4308</v>
      </c>
      <c r="J273" s="548">
        <v>81788.18166</v>
      </c>
      <c r="K273" s="220"/>
      <c r="L273" s="534" t="s">
        <v>292</v>
      </c>
      <c r="M273" s="535" t="s">
        <v>364</v>
      </c>
      <c r="N273" s="535" t="s">
        <v>294</v>
      </c>
      <c r="O273" s="535" t="s">
        <v>300</v>
      </c>
      <c r="P273" s="535" t="s">
        <v>296</v>
      </c>
      <c r="Q273" s="535" t="s">
        <v>89</v>
      </c>
      <c r="R273" s="535">
        <v>2019.0</v>
      </c>
      <c r="S273" s="536">
        <v>289.652547439724</v>
      </c>
      <c r="T273" s="536">
        <v>568.047507187367</v>
      </c>
      <c r="U273" s="537">
        <v>124.427751127121</v>
      </c>
      <c r="CE273" s="525"/>
    </row>
    <row r="274">
      <c r="A274" s="509"/>
      <c r="B274" s="889" t="s">
        <v>3</v>
      </c>
      <c r="C274" s="890" t="s">
        <v>289</v>
      </c>
      <c r="D274" s="890" t="s">
        <v>483</v>
      </c>
      <c r="E274" s="891">
        <v>2019.0</v>
      </c>
      <c r="F274" s="890" t="s">
        <v>291</v>
      </c>
      <c r="G274" s="890" t="s">
        <v>89</v>
      </c>
      <c r="H274" s="532">
        <v>59660.90217</v>
      </c>
      <c r="I274" s="532">
        <v>68814.38472</v>
      </c>
      <c r="J274" s="533">
        <v>50962.36299</v>
      </c>
      <c r="K274" s="220"/>
      <c r="L274" s="534" t="s">
        <v>292</v>
      </c>
      <c r="M274" s="535" t="s">
        <v>6</v>
      </c>
      <c r="N274" s="535" t="s">
        <v>294</v>
      </c>
      <c r="O274" s="535" t="s">
        <v>295</v>
      </c>
      <c r="P274" s="535" t="s">
        <v>296</v>
      </c>
      <c r="Q274" s="535" t="s">
        <v>89</v>
      </c>
      <c r="R274" s="535">
        <v>2019.0</v>
      </c>
      <c r="S274" s="536">
        <v>8958.65943424732</v>
      </c>
      <c r="T274" s="536">
        <v>16691.6966055525</v>
      </c>
      <c r="U274" s="537">
        <v>3928.67464792267</v>
      </c>
      <c r="CE274" s="525"/>
    </row>
    <row r="275">
      <c r="A275" s="509"/>
      <c r="B275" s="886" t="s">
        <v>3</v>
      </c>
      <c r="C275" s="887" t="s">
        <v>289</v>
      </c>
      <c r="D275" s="887" t="s">
        <v>489</v>
      </c>
      <c r="E275" s="888">
        <v>2019.0</v>
      </c>
      <c r="F275" s="887" t="s">
        <v>291</v>
      </c>
      <c r="G275" s="887" t="s">
        <v>89</v>
      </c>
      <c r="H275" s="547">
        <v>36087.08127</v>
      </c>
      <c r="I275" s="547">
        <v>41628.72149</v>
      </c>
      <c r="J275" s="548">
        <v>30822.13003</v>
      </c>
      <c r="K275" s="220"/>
      <c r="L275" s="534" t="s">
        <v>292</v>
      </c>
      <c r="M275" s="535" t="s">
        <v>6</v>
      </c>
      <c r="N275" s="535" t="s">
        <v>294</v>
      </c>
      <c r="O275" s="535" t="s">
        <v>311</v>
      </c>
      <c r="P275" s="535" t="s">
        <v>296</v>
      </c>
      <c r="Q275" s="535" t="s">
        <v>89</v>
      </c>
      <c r="R275" s="535">
        <v>2019.0</v>
      </c>
      <c r="S275" s="536">
        <v>0.0</v>
      </c>
      <c r="T275" s="536">
        <v>0.0</v>
      </c>
      <c r="U275" s="537">
        <v>0.0</v>
      </c>
      <c r="CE275" s="525"/>
    </row>
    <row r="276">
      <c r="A276" s="509"/>
      <c r="B276" s="889" t="s">
        <v>3</v>
      </c>
      <c r="C276" s="890" t="s">
        <v>289</v>
      </c>
      <c r="D276" s="890" t="s">
        <v>493</v>
      </c>
      <c r="E276" s="891">
        <v>2019.0</v>
      </c>
      <c r="F276" s="890" t="s">
        <v>291</v>
      </c>
      <c r="G276" s="890" t="s">
        <v>89</v>
      </c>
      <c r="H276" s="532">
        <v>25618.96216</v>
      </c>
      <c r="I276" s="532">
        <v>29549.55514</v>
      </c>
      <c r="J276" s="533">
        <v>21883.72622</v>
      </c>
      <c r="K276" s="220"/>
      <c r="L276" s="534" t="s">
        <v>292</v>
      </c>
      <c r="M276" s="535" t="s">
        <v>6</v>
      </c>
      <c r="N276" s="535" t="s">
        <v>294</v>
      </c>
      <c r="O276" s="535" t="s">
        <v>319</v>
      </c>
      <c r="P276" s="535" t="s">
        <v>296</v>
      </c>
      <c r="Q276" s="535" t="s">
        <v>89</v>
      </c>
      <c r="R276" s="535">
        <v>2019.0</v>
      </c>
      <c r="S276" s="536">
        <v>356.208153853694</v>
      </c>
      <c r="T276" s="536">
        <v>746.887335441669</v>
      </c>
      <c r="U276" s="537">
        <v>126.884012470181</v>
      </c>
      <c r="CE276" s="525"/>
    </row>
    <row r="277">
      <c r="A277" s="509"/>
      <c r="B277" s="886" t="s">
        <v>3</v>
      </c>
      <c r="C277" s="887" t="s">
        <v>289</v>
      </c>
      <c r="D277" s="887" t="s">
        <v>496</v>
      </c>
      <c r="E277" s="888">
        <v>2019.0</v>
      </c>
      <c r="F277" s="887" t="s">
        <v>291</v>
      </c>
      <c r="G277" s="887" t="s">
        <v>89</v>
      </c>
      <c r="H277" s="547">
        <v>8472.011193</v>
      </c>
      <c r="I277" s="547">
        <v>9771.830737</v>
      </c>
      <c r="J277" s="548">
        <v>7236.794852</v>
      </c>
      <c r="K277" s="220"/>
      <c r="L277" s="534" t="s">
        <v>292</v>
      </c>
      <c r="M277" s="535" t="s">
        <v>6</v>
      </c>
      <c r="N277" s="535" t="s">
        <v>294</v>
      </c>
      <c r="O277" s="535" t="s">
        <v>327</v>
      </c>
      <c r="P277" s="535" t="s">
        <v>296</v>
      </c>
      <c r="Q277" s="535" t="s">
        <v>89</v>
      </c>
      <c r="R277" s="535">
        <v>2019.0</v>
      </c>
      <c r="S277" s="536">
        <v>4677.58004995434</v>
      </c>
      <c r="T277" s="536">
        <v>9085.31910718979</v>
      </c>
      <c r="U277" s="537">
        <v>1916.99612693933</v>
      </c>
      <c r="CE277" s="525"/>
    </row>
    <row r="278">
      <c r="A278" s="509"/>
      <c r="B278" s="889" t="s">
        <v>3</v>
      </c>
      <c r="C278" s="890" t="s">
        <v>289</v>
      </c>
      <c r="D278" s="890" t="s">
        <v>502</v>
      </c>
      <c r="E278" s="891">
        <v>2019.0</v>
      </c>
      <c r="F278" s="890" t="s">
        <v>291</v>
      </c>
      <c r="G278" s="890" t="s">
        <v>89</v>
      </c>
      <c r="H278" s="532">
        <v>1996.367253</v>
      </c>
      <c r="I278" s="532">
        <v>2302.660188</v>
      </c>
      <c r="J278" s="533">
        <v>1705.297589</v>
      </c>
      <c r="K278" s="220"/>
      <c r="L278" s="534" t="s">
        <v>292</v>
      </c>
      <c r="M278" s="535" t="s">
        <v>6</v>
      </c>
      <c r="N278" s="535" t="s">
        <v>294</v>
      </c>
      <c r="O278" s="535" t="s">
        <v>335</v>
      </c>
      <c r="P278" s="535" t="s">
        <v>296</v>
      </c>
      <c r="Q278" s="535" t="s">
        <v>89</v>
      </c>
      <c r="R278" s="535">
        <v>2019.0</v>
      </c>
      <c r="S278" s="536">
        <v>20527.6486229885</v>
      </c>
      <c r="T278" s="536">
        <v>39632.1245229853</v>
      </c>
      <c r="U278" s="537">
        <v>8451.0856070476</v>
      </c>
      <c r="CE278" s="525"/>
    </row>
    <row r="279">
      <c r="A279" s="509"/>
      <c r="B279" s="886" t="s">
        <v>3</v>
      </c>
      <c r="C279" s="887" t="s">
        <v>289</v>
      </c>
      <c r="D279" s="887" t="s">
        <v>332</v>
      </c>
      <c r="E279" s="888">
        <v>2019.0</v>
      </c>
      <c r="F279" s="887" t="s">
        <v>291</v>
      </c>
      <c r="G279" s="887" t="s">
        <v>89</v>
      </c>
      <c r="H279" s="547">
        <v>2.269177325E7</v>
      </c>
      <c r="I279" s="547">
        <v>2.617326185E7</v>
      </c>
      <c r="J279" s="548">
        <v>1.938332045E7</v>
      </c>
      <c r="K279" s="220"/>
      <c r="L279" s="534" t="s">
        <v>292</v>
      </c>
      <c r="M279" s="535" t="s">
        <v>6</v>
      </c>
      <c r="N279" s="535" t="s">
        <v>294</v>
      </c>
      <c r="O279" s="535" t="s">
        <v>300</v>
      </c>
      <c r="P279" s="535" t="s">
        <v>296</v>
      </c>
      <c r="Q279" s="535" t="s">
        <v>89</v>
      </c>
      <c r="R279" s="535">
        <v>2019.0</v>
      </c>
      <c r="S279" s="536">
        <v>2060.17055915898</v>
      </c>
      <c r="T279" s="536">
        <v>3566.9171894083</v>
      </c>
      <c r="U279" s="537">
        <v>943.333629195567</v>
      </c>
      <c r="CE279" s="525"/>
    </row>
    <row r="280">
      <c r="A280" s="509"/>
      <c r="B280" s="889" t="s">
        <v>3</v>
      </c>
      <c r="C280" s="890" t="s">
        <v>289</v>
      </c>
      <c r="D280" s="890" t="s">
        <v>510</v>
      </c>
      <c r="E280" s="891">
        <v>2019.0</v>
      </c>
      <c r="F280" s="890" t="s">
        <v>291</v>
      </c>
      <c r="G280" s="890" t="s">
        <v>89</v>
      </c>
      <c r="H280" s="532">
        <v>937301.375</v>
      </c>
      <c r="I280" s="532">
        <v>1007698.959</v>
      </c>
      <c r="J280" s="533">
        <v>873520.691</v>
      </c>
      <c r="K280" s="220"/>
      <c r="L280" s="534" t="s">
        <v>292</v>
      </c>
      <c r="M280" s="535" t="s">
        <v>586</v>
      </c>
      <c r="N280" s="535" t="s">
        <v>294</v>
      </c>
      <c r="O280" s="535" t="s">
        <v>295</v>
      </c>
      <c r="P280" s="535" t="s">
        <v>296</v>
      </c>
      <c r="Q280" s="535" t="s">
        <v>89</v>
      </c>
      <c r="R280" s="535">
        <v>2019.0</v>
      </c>
      <c r="S280" s="536">
        <v>13993.6729240303</v>
      </c>
      <c r="T280" s="536">
        <v>23086.0867440446</v>
      </c>
      <c r="U280" s="537">
        <v>7001.95673709215</v>
      </c>
      <c r="CE280" s="525"/>
    </row>
    <row r="281">
      <c r="A281" s="509"/>
      <c r="B281" s="886" t="s">
        <v>3</v>
      </c>
      <c r="C281" s="887" t="s">
        <v>289</v>
      </c>
      <c r="D281" s="887" t="s">
        <v>512</v>
      </c>
      <c r="E281" s="888">
        <v>2019.0</v>
      </c>
      <c r="F281" s="887" t="s">
        <v>291</v>
      </c>
      <c r="G281" s="887" t="s">
        <v>89</v>
      </c>
      <c r="H281" s="547">
        <v>17843.64549</v>
      </c>
      <c r="I281" s="547">
        <v>20581.30938</v>
      </c>
      <c r="J281" s="548">
        <v>15242.04807</v>
      </c>
      <c r="K281" s="220"/>
      <c r="L281" s="534" t="s">
        <v>292</v>
      </c>
      <c r="M281" s="535" t="s">
        <v>586</v>
      </c>
      <c r="N281" s="535" t="s">
        <v>294</v>
      </c>
      <c r="O281" s="535" t="s">
        <v>311</v>
      </c>
      <c r="P281" s="535" t="s">
        <v>296</v>
      </c>
      <c r="Q281" s="535" t="s">
        <v>89</v>
      </c>
      <c r="R281" s="535">
        <v>2019.0</v>
      </c>
      <c r="S281" s="536">
        <v>0.0</v>
      </c>
      <c r="T281" s="536">
        <v>0.0</v>
      </c>
      <c r="U281" s="537">
        <v>0.0</v>
      </c>
      <c r="CE281" s="525"/>
    </row>
    <row r="282">
      <c r="A282" s="509"/>
      <c r="B282" s="889" t="s">
        <v>3</v>
      </c>
      <c r="C282" s="890" t="s">
        <v>289</v>
      </c>
      <c r="D282" s="890" t="s">
        <v>515</v>
      </c>
      <c r="E282" s="891">
        <v>2019.0</v>
      </c>
      <c r="F282" s="890" t="s">
        <v>291</v>
      </c>
      <c r="G282" s="890" t="s">
        <v>89</v>
      </c>
      <c r="H282" s="532">
        <v>52689.90459</v>
      </c>
      <c r="I282" s="532">
        <v>60773.86084</v>
      </c>
      <c r="J282" s="533">
        <v>45007.73449</v>
      </c>
      <c r="K282" s="220"/>
      <c r="L282" s="534" t="s">
        <v>292</v>
      </c>
      <c r="M282" s="535" t="s">
        <v>586</v>
      </c>
      <c r="N282" s="535" t="s">
        <v>294</v>
      </c>
      <c r="O282" s="535" t="s">
        <v>319</v>
      </c>
      <c r="P282" s="535" t="s">
        <v>296</v>
      </c>
      <c r="Q282" s="535" t="s">
        <v>89</v>
      </c>
      <c r="R282" s="535">
        <v>2019.0</v>
      </c>
      <c r="S282" s="536">
        <v>813.370500161058</v>
      </c>
      <c r="T282" s="536">
        <v>1631.52531792211</v>
      </c>
      <c r="U282" s="537">
        <v>332.93342119249</v>
      </c>
      <c r="CE282" s="525"/>
    </row>
    <row r="283">
      <c r="A283" s="509"/>
      <c r="B283" s="886" t="s">
        <v>3</v>
      </c>
      <c r="C283" s="887" t="s">
        <v>289</v>
      </c>
      <c r="D283" s="887" t="s">
        <v>518</v>
      </c>
      <c r="E283" s="888">
        <v>2019.0</v>
      </c>
      <c r="F283" s="887" t="s">
        <v>291</v>
      </c>
      <c r="G283" s="887" t="s">
        <v>89</v>
      </c>
      <c r="H283" s="547">
        <v>70533.55008</v>
      </c>
      <c r="I283" s="547">
        <v>81355.17022</v>
      </c>
      <c r="J283" s="548">
        <v>60249.78256</v>
      </c>
      <c r="K283" s="220"/>
      <c r="L283" s="534" t="s">
        <v>292</v>
      </c>
      <c r="M283" s="535" t="s">
        <v>586</v>
      </c>
      <c r="N283" s="535" t="s">
        <v>294</v>
      </c>
      <c r="O283" s="535" t="s">
        <v>327</v>
      </c>
      <c r="P283" s="535" t="s">
        <v>296</v>
      </c>
      <c r="Q283" s="535" t="s">
        <v>89</v>
      </c>
      <c r="R283" s="535">
        <v>2019.0</v>
      </c>
      <c r="S283" s="536">
        <v>3576.5109966276</v>
      </c>
      <c r="T283" s="536">
        <v>6879.75063826478</v>
      </c>
      <c r="U283" s="537">
        <v>1484.39939008783</v>
      </c>
      <c r="CE283" s="525"/>
    </row>
    <row r="284">
      <c r="A284" s="509"/>
      <c r="B284" s="889" t="s">
        <v>3</v>
      </c>
      <c r="C284" s="890" t="s">
        <v>289</v>
      </c>
      <c r="D284" s="890" t="s">
        <v>522</v>
      </c>
      <c r="E284" s="891">
        <v>2019.0</v>
      </c>
      <c r="F284" s="890" t="s">
        <v>291</v>
      </c>
      <c r="G284" s="890" t="s">
        <v>89</v>
      </c>
      <c r="H284" s="532">
        <v>814604.0272</v>
      </c>
      <c r="I284" s="532">
        <v>939584.768</v>
      </c>
      <c r="J284" s="533">
        <v>695835.038</v>
      </c>
      <c r="K284" s="220"/>
      <c r="L284" s="534" t="s">
        <v>292</v>
      </c>
      <c r="M284" s="535" t="s">
        <v>586</v>
      </c>
      <c r="N284" s="535" t="s">
        <v>294</v>
      </c>
      <c r="O284" s="535" t="s">
        <v>335</v>
      </c>
      <c r="P284" s="535" t="s">
        <v>296</v>
      </c>
      <c r="Q284" s="535" t="s">
        <v>89</v>
      </c>
      <c r="R284" s="535">
        <v>2019.0</v>
      </c>
      <c r="S284" s="536">
        <v>29397.7399672855</v>
      </c>
      <c r="T284" s="536">
        <v>52210.9216327225</v>
      </c>
      <c r="U284" s="537">
        <v>14560.6013453821</v>
      </c>
      <c r="CE284" s="525"/>
    </row>
    <row r="285">
      <c r="A285" s="509"/>
      <c r="B285" s="886" t="s">
        <v>3</v>
      </c>
      <c r="C285" s="887" t="s">
        <v>289</v>
      </c>
      <c r="D285" s="887" t="s">
        <v>302</v>
      </c>
      <c r="E285" s="888">
        <v>2019.0</v>
      </c>
      <c r="F285" s="887" t="s">
        <v>291</v>
      </c>
      <c r="G285" s="887" t="s">
        <v>89</v>
      </c>
      <c r="H285" s="547">
        <v>4044957.311</v>
      </c>
      <c r="I285" s="547">
        <v>4665555.472</v>
      </c>
      <c r="J285" s="548">
        <v>3455203.915</v>
      </c>
      <c r="K285" s="220"/>
      <c r="L285" s="534" t="s">
        <v>292</v>
      </c>
      <c r="M285" s="535" t="s">
        <v>586</v>
      </c>
      <c r="N285" s="535" t="s">
        <v>294</v>
      </c>
      <c r="O285" s="535" t="s">
        <v>300</v>
      </c>
      <c r="P285" s="535" t="s">
        <v>296</v>
      </c>
      <c r="Q285" s="535" t="s">
        <v>89</v>
      </c>
      <c r="R285" s="535">
        <v>2019.0</v>
      </c>
      <c r="S285" s="536">
        <v>1270.34907266117</v>
      </c>
      <c r="T285" s="536">
        <v>2472.41173324976</v>
      </c>
      <c r="U285" s="537">
        <v>520.0298009</v>
      </c>
      <c r="CE285" s="525"/>
    </row>
    <row r="286">
      <c r="A286" s="509"/>
      <c r="B286" s="889" t="s">
        <v>347</v>
      </c>
      <c r="C286" s="890" t="s">
        <v>289</v>
      </c>
      <c r="D286" s="890" t="s">
        <v>290</v>
      </c>
      <c r="E286" s="891">
        <v>2019.0</v>
      </c>
      <c r="F286" s="890" t="s">
        <v>291</v>
      </c>
      <c r="G286" s="890" t="s">
        <v>89</v>
      </c>
      <c r="H286" s="532">
        <v>443511.8373</v>
      </c>
      <c r="I286" s="532">
        <v>502886.5196</v>
      </c>
      <c r="J286" s="533">
        <v>382946.1443</v>
      </c>
      <c r="K286" s="220"/>
      <c r="L286" s="534" t="s">
        <v>292</v>
      </c>
      <c r="M286" s="535" t="s">
        <v>4</v>
      </c>
      <c r="N286" s="535" t="s">
        <v>294</v>
      </c>
      <c r="O286" s="535" t="s">
        <v>295</v>
      </c>
      <c r="P286" s="535" t="s">
        <v>296</v>
      </c>
      <c r="Q286" s="535" t="s">
        <v>89</v>
      </c>
      <c r="R286" s="535">
        <v>2019.0</v>
      </c>
      <c r="S286" s="536">
        <v>4525.73244604996</v>
      </c>
      <c r="T286" s="536">
        <v>10947.3727293352</v>
      </c>
      <c r="U286" s="537">
        <v>1333.29780510501</v>
      </c>
      <c r="CE286" s="525"/>
    </row>
    <row r="287">
      <c r="A287" s="509"/>
      <c r="B287" s="886" t="s">
        <v>347</v>
      </c>
      <c r="C287" s="887" t="s">
        <v>289</v>
      </c>
      <c r="D287" s="887" t="s">
        <v>310</v>
      </c>
      <c r="E287" s="888">
        <v>2019.0</v>
      </c>
      <c r="F287" s="887" t="s">
        <v>291</v>
      </c>
      <c r="G287" s="887" t="s">
        <v>89</v>
      </c>
      <c r="H287" s="547">
        <v>6660217.153</v>
      </c>
      <c r="I287" s="547">
        <v>7551846.743</v>
      </c>
      <c r="J287" s="548">
        <v>5750702.157</v>
      </c>
      <c r="K287" s="220"/>
      <c r="L287" s="534" t="s">
        <v>292</v>
      </c>
      <c r="M287" s="535" t="s">
        <v>4</v>
      </c>
      <c r="N287" s="535" t="s">
        <v>294</v>
      </c>
      <c r="O287" s="535" t="s">
        <v>311</v>
      </c>
      <c r="P287" s="535" t="s">
        <v>296</v>
      </c>
      <c r="Q287" s="535" t="s">
        <v>89</v>
      </c>
      <c r="R287" s="535">
        <v>2019.0</v>
      </c>
      <c r="S287" s="536">
        <v>0.0</v>
      </c>
      <c r="T287" s="536">
        <v>0.0</v>
      </c>
      <c r="U287" s="537">
        <v>0.0</v>
      </c>
      <c r="CE287" s="525"/>
    </row>
    <row r="288">
      <c r="A288" s="509"/>
      <c r="B288" s="889" t="s">
        <v>347</v>
      </c>
      <c r="C288" s="890" t="s">
        <v>289</v>
      </c>
      <c r="D288" s="890" t="s">
        <v>318</v>
      </c>
      <c r="E288" s="891">
        <v>2019.0</v>
      </c>
      <c r="F288" s="890" t="s">
        <v>291</v>
      </c>
      <c r="G288" s="890" t="s">
        <v>89</v>
      </c>
      <c r="H288" s="532">
        <v>5401386.455</v>
      </c>
      <c r="I288" s="532">
        <v>6124491.404</v>
      </c>
      <c r="J288" s="533">
        <v>4663776.574</v>
      </c>
      <c r="K288" s="220"/>
      <c r="L288" s="534" t="s">
        <v>292</v>
      </c>
      <c r="M288" s="535" t="s">
        <v>4</v>
      </c>
      <c r="N288" s="535" t="s">
        <v>294</v>
      </c>
      <c r="O288" s="535" t="s">
        <v>319</v>
      </c>
      <c r="P288" s="535" t="s">
        <v>296</v>
      </c>
      <c r="Q288" s="535" t="s">
        <v>89</v>
      </c>
      <c r="R288" s="535">
        <v>2019.0</v>
      </c>
      <c r="S288" s="536">
        <v>207.98591325582</v>
      </c>
      <c r="T288" s="536">
        <v>530.950486327938</v>
      </c>
      <c r="U288" s="537">
        <v>56.6831449996185</v>
      </c>
      <c r="CE288" s="525"/>
    </row>
    <row r="289">
      <c r="A289" s="509"/>
      <c r="B289" s="886" t="s">
        <v>347</v>
      </c>
      <c r="C289" s="887" t="s">
        <v>289</v>
      </c>
      <c r="D289" s="887" t="s">
        <v>309</v>
      </c>
      <c r="E289" s="888">
        <v>2019.0</v>
      </c>
      <c r="F289" s="887" t="s">
        <v>291</v>
      </c>
      <c r="G289" s="887" t="s">
        <v>89</v>
      </c>
      <c r="H289" s="547">
        <v>1635459.193</v>
      </c>
      <c r="I289" s="547">
        <v>1854404.578</v>
      </c>
      <c r="J289" s="548">
        <v>1412121.931</v>
      </c>
      <c r="K289" s="220"/>
      <c r="L289" s="534" t="s">
        <v>292</v>
      </c>
      <c r="M289" s="535" t="s">
        <v>4</v>
      </c>
      <c r="N289" s="535" t="s">
        <v>294</v>
      </c>
      <c r="O289" s="535" t="s">
        <v>327</v>
      </c>
      <c r="P289" s="535" t="s">
        <v>296</v>
      </c>
      <c r="Q289" s="535" t="s">
        <v>89</v>
      </c>
      <c r="R289" s="535">
        <v>2019.0</v>
      </c>
      <c r="S289" s="536">
        <v>1402.47165898354</v>
      </c>
      <c r="T289" s="536">
        <v>3446.87878533376</v>
      </c>
      <c r="U289" s="537">
        <v>402.609540385531</v>
      </c>
      <c r="CE289" s="525"/>
    </row>
    <row r="290">
      <c r="A290" s="509"/>
      <c r="B290" s="889" t="s">
        <v>347</v>
      </c>
      <c r="C290" s="890" t="s">
        <v>289</v>
      </c>
      <c r="D290" s="890" t="s">
        <v>334</v>
      </c>
      <c r="E290" s="891">
        <v>2019.0</v>
      </c>
      <c r="F290" s="890" t="s">
        <v>291</v>
      </c>
      <c r="G290" s="890" t="s">
        <v>89</v>
      </c>
      <c r="H290" s="532">
        <v>1533188.107</v>
      </c>
      <c r="I290" s="532">
        <v>1738442.057</v>
      </c>
      <c r="J290" s="533">
        <v>1323816.919</v>
      </c>
      <c r="K290" s="220"/>
      <c r="L290" s="534" t="s">
        <v>292</v>
      </c>
      <c r="M290" s="535" t="s">
        <v>4</v>
      </c>
      <c r="N290" s="535" t="s">
        <v>294</v>
      </c>
      <c r="O290" s="535" t="s">
        <v>335</v>
      </c>
      <c r="P290" s="535" t="s">
        <v>296</v>
      </c>
      <c r="Q290" s="535" t="s">
        <v>89</v>
      </c>
      <c r="R290" s="535">
        <v>2019.0</v>
      </c>
      <c r="S290" s="536">
        <v>7194.19944040964</v>
      </c>
      <c r="T290" s="536">
        <v>16574.187561218</v>
      </c>
      <c r="U290" s="537">
        <v>2159.21959485081</v>
      </c>
      <c r="CE290" s="525"/>
    </row>
    <row r="291">
      <c r="A291" s="509"/>
      <c r="B291" s="886" t="s">
        <v>347</v>
      </c>
      <c r="C291" s="887" t="s">
        <v>289</v>
      </c>
      <c r="D291" s="887" t="s">
        <v>339</v>
      </c>
      <c r="E291" s="888">
        <v>2019.0</v>
      </c>
      <c r="F291" s="887" t="s">
        <v>291</v>
      </c>
      <c r="G291" s="887" t="s">
        <v>89</v>
      </c>
      <c r="H291" s="547">
        <v>2792018.805</v>
      </c>
      <c r="I291" s="547">
        <v>3165797.396</v>
      </c>
      <c r="J291" s="548">
        <v>2410742.502</v>
      </c>
      <c r="K291" s="220"/>
      <c r="L291" s="534" t="s">
        <v>292</v>
      </c>
      <c r="M291" s="535" t="s">
        <v>4</v>
      </c>
      <c r="N291" s="535" t="s">
        <v>294</v>
      </c>
      <c r="O291" s="535" t="s">
        <v>300</v>
      </c>
      <c r="P291" s="535" t="s">
        <v>296</v>
      </c>
      <c r="Q291" s="535" t="s">
        <v>89</v>
      </c>
      <c r="R291" s="535">
        <v>2019.0</v>
      </c>
      <c r="S291" s="536">
        <v>313.88837206594</v>
      </c>
      <c r="T291" s="536">
        <v>783.997024546625</v>
      </c>
      <c r="U291" s="537">
        <v>89.4623430263917</v>
      </c>
      <c r="CE291" s="525"/>
    </row>
    <row r="292">
      <c r="A292" s="509"/>
      <c r="B292" s="889" t="s">
        <v>347</v>
      </c>
      <c r="C292" s="890" t="s">
        <v>289</v>
      </c>
      <c r="D292" s="890" t="s">
        <v>344</v>
      </c>
      <c r="E292" s="891">
        <v>2019.0</v>
      </c>
      <c r="F292" s="890" t="s">
        <v>291</v>
      </c>
      <c r="G292" s="890" t="s">
        <v>89</v>
      </c>
      <c r="H292" s="532">
        <v>3832376.882</v>
      </c>
      <c r="I292" s="532">
        <v>4345432.32</v>
      </c>
      <c r="J292" s="533">
        <v>3309029.945</v>
      </c>
      <c r="K292" s="220"/>
      <c r="L292" s="534" t="s">
        <v>292</v>
      </c>
      <c r="M292" s="535" t="s">
        <v>388</v>
      </c>
      <c r="N292" s="535" t="s">
        <v>294</v>
      </c>
      <c r="O292" s="535" t="s">
        <v>295</v>
      </c>
      <c r="P292" s="535" t="s">
        <v>296</v>
      </c>
      <c r="Q292" s="535" t="s">
        <v>89</v>
      </c>
      <c r="R292" s="535">
        <v>2019.0</v>
      </c>
      <c r="S292" s="536">
        <v>342.398908516608</v>
      </c>
      <c r="T292" s="536">
        <v>590.608333427754</v>
      </c>
      <c r="U292" s="537">
        <v>161.217817865596</v>
      </c>
      <c r="CE292" s="525"/>
    </row>
    <row r="293">
      <c r="A293" s="509"/>
      <c r="B293" s="886" t="s">
        <v>347</v>
      </c>
      <c r="C293" s="887" t="s">
        <v>289</v>
      </c>
      <c r="D293" s="887" t="s">
        <v>349</v>
      </c>
      <c r="E293" s="888">
        <v>2019.0</v>
      </c>
      <c r="F293" s="887" t="s">
        <v>291</v>
      </c>
      <c r="G293" s="887" t="s">
        <v>89</v>
      </c>
      <c r="H293" s="547">
        <v>1258830.699</v>
      </c>
      <c r="I293" s="547">
        <v>1427355.339</v>
      </c>
      <c r="J293" s="548">
        <v>1086925.583</v>
      </c>
      <c r="K293" s="220"/>
      <c r="L293" s="534" t="s">
        <v>292</v>
      </c>
      <c r="M293" s="535" t="s">
        <v>388</v>
      </c>
      <c r="N293" s="535" t="s">
        <v>294</v>
      </c>
      <c r="O293" s="535" t="s">
        <v>311</v>
      </c>
      <c r="P293" s="535" t="s">
        <v>296</v>
      </c>
      <c r="Q293" s="535" t="s">
        <v>89</v>
      </c>
      <c r="R293" s="535">
        <v>2019.0</v>
      </c>
      <c r="S293" s="536">
        <v>0.0</v>
      </c>
      <c r="T293" s="536">
        <v>0.0</v>
      </c>
      <c r="U293" s="537">
        <v>0.0</v>
      </c>
      <c r="CE293" s="525"/>
    </row>
    <row r="294">
      <c r="A294" s="509"/>
      <c r="B294" s="889" t="s">
        <v>347</v>
      </c>
      <c r="C294" s="890" t="s">
        <v>289</v>
      </c>
      <c r="D294" s="890" t="s">
        <v>355</v>
      </c>
      <c r="E294" s="891">
        <v>2019.0</v>
      </c>
      <c r="F294" s="890" t="s">
        <v>291</v>
      </c>
      <c r="G294" s="890" t="s">
        <v>89</v>
      </c>
      <c r="H294" s="532">
        <v>4620458.231</v>
      </c>
      <c r="I294" s="532">
        <v>5239645.443</v>
      </c>
      <c r="J294" s="533">
        <v>3989705.377</v>
      </c>
      <c r="K294" s="220"/>
      <c r="L294" s="534" t="s">
        <v>292</v>
      </c>
      <c r="M294" s="535" t="s">
        <v>388</v>
      </c>
      <c r="N294" s="535" t="s">
        <v>294</v>
      </c>
      <c r="O294" s="535" t="s">
        <v>319</v>
      </c>
      <c r="P294" s="535" t="s">
        <v>296</v>
      </c>
      <c r="Q294" s="535" t="s">
        <v>89</v>
      </c>
      <c r="R294" s="535">
        <v>2019.0</v>
      </c>
      <c r="S294" s="536">
        <v>24.7299702155094</v>
      </c>
      <c r="T294" s="536">
        <v>51.7142613836706</v>
      </c>
      <c r="U294" s="537">
        <v>9.42335980922923</v>
      </c>
      <c r="CE294" s="525"/>
    </row>
    <row r="295">
      <c r="A295" s="509"/>
      <c r="B295" s="886" t="s">
        <v>347</v>
      </c>
      <c r="C295" s="887" t="s">
        <v>289</v>
      </c>
      <c r="D295" s="887" t="s">
        <v>358</v>
      </c>
      <c r="E295" s="888">
        <v>2019.0</v>
      </c>
      <c r="F295" s="887" t="s">
        <v>291</v>
      </c>
      <c r="G295" s="887" t="s">
        <v>89</v>
      </c>
      <c r="H295" s="547">
        <v>5480856.71</v>
      </c>
      <c r="I295" s="547">
        <v>6214600.657</v>
      </c>
      <c r="J295" s="548">
        <v>4732394.422</v>
      </c>
      <c r="K295" s="220"/>
      <c r="L295" s="534" t="s">
        <v>292</v>
      </c>
      <c r="M295" s="535" t="s">
        <v>388</v>
      </c>
      <c r="N295" s="535" t="s">
        <v>294</v>
      </c>
      <c r="O295" s="535" t="s">
        <v>327</v>
      </c>
      <c r="P295" s="535" t="s">
        <v>296</v>
      </c>
      <c r="Q295" s="535" t="s">
        <v>89</v>
      </c>
      <c r="R295" s="535">
        <v>2019.0</v>
      </c>
      <c r="S295" s="536">
        <v>146.26555187476</v>
      </c>
      <c r="T295" s="536">
        <v>264.123855438642</v>
      </c>
      <c r="U295" s="537">
        <v>62.2149717845575</v>
      </c>
      <c r="CE295" s="525"/>
    </row>
    <row r="296">
      <c r="A296" s="509"/>
      <c r="B296" s="889" t="s">
        <v>347</v>
      </c>
      <c r="C296" s="890" t="s">
        <v>289</v>
      </c>
      <c r="D296" s="890" t="s">
        <v>362</v>
      </c>
      <c r="E296" s="891">
        <v>2019.0</v>
      </c>
      <c r="F296" s="890" t="s">
        <v>291</v>
      </c>
      <c r="G296" s="890" t="s">
        <v>89</v>
      </c>
      <c r="H296" s="532">
        <v>5273515.995</v>
      </c>
      <c r="I296" s="532">
        <v>5980219.422</v>
      </c>
      <c r="J296" s="533">
        <v>4553612.234</v>
      </c>
      <c r="K296" s="220"/>
      <c r="L296" s="534" t="s">
        <v>292</v>
      </c>
      <c r="M296" s="535" t="s">
        <v>388</v>
      </c>
      <c r="N296" s="535" t="s">
        <v>294</v>
      </c>
      <c r="O296" s="535" t="s">
        <v>335</v>
      </c>
      <c r="P296" s="535" t="s">
        <v>296</v>
      </c>
      <c r="Q296" s="535" t="s">
        <v>89</v>
      </c>
      <c r="R296" s="535">
        <v>2019.0</v>
      </c>
      <c r="S296" s="536">
        <v>768.174767883975</v>
      </c>
      <c r="T296" s="536">
        <v>1540.03931265338</v>
      </c>
      <c r="U296" s="537">
        <v>332.031939565472</v>
      </c>
      <c r="CE296" s="525"/>
    </row>
    <row r="297">
      <c r="A297" s="509"/>
      <c r="B297" s="886" t="s">
        <v>347</v>
      </c>
      <c r="C297" s="887" t="s">
        <v>289</v>
      </c>
      <c r="D297" s="887" t="s">
        <v>366</v>
      </c>
      <c r="E297" s="888">
        <v>2019.0</v>
      </c>
      <c r="F297" s="887" t="s">
        <v>291</v>
      </c>
      <c r="G297" s="887" t="s">
        <v>89</v>
      </c>
      <c r="H297" s="547">
        <v>1040358.077</v>
      </c>
      <c r="I297" s="547">
        <v>1179634.924</v>
      </c>
      <c r="J297" s="548">
        <v>898287.443</v>
      </c>
      <c r="K297" s="220"/>
      <c r="L297" s="534" t="s">
        <v>292</v>
      </c>
      <c r="M297" s="535" t="s">
        <v>388</v>
      </c>
      <c r="N297" s="535" t="s">
        <v>294</v>
      </c>
      <c r="O297" s="535" t="s">
        <v>300</v>
      </c>
      <c r="P297" s="535" t="s">
        <v>296</v>
      </c>
      <c r="Q297" s="535" t="s">
        <v>89</v>
      </c>
      <c r="R297" s="535">
        <v>2019.0</v>
      </c>
      <c r="S297" s="536">
        <v>70.3086154432915</v>
      </c>
      <c r="T297" s="536">
        <v>125.536519785467</v>
      </c>
      <c r="U297" s="537">
        <v>29.8670814136781</v>
      </c>
      <c r="CE297" s="525"/>
    </row>
    <row r="298">
      <c r="A298" s="509"/>
      <c r="B298" s="889" t="s">
        <v>347</v>
      </c>
      <c r="C298" s="890" t="s">
        <v>289</v>
      </c>
      <c r="D298" s="890" t="s">
        <v>368</v>
      </c>
      <c r="E298" s="891">
        <v>2019.0</v>
      </c>
      <c r="F298" s="890" t="s">
        <v>291</v>
      </c>
      <c r="G298" s="890" t="s">
        <v>89</v>
      </c>
      <c r="H298" s="532">
        <v>4233785.519</v>
      </c>
      <c r="I298" s="532">
        <v>4800579.117</v>
      </c>
      <c r="J298" s="533">
        <v>3655622.475</v>
      </c>
      <c r="K298" s="220"/>
      <c r="L298" s="534" t="s">
        <v>292</v>
      </c>
      <c r="M298" s="535" t="s">
        <v>480</v>
      </c>
      <c r="N298" s="535" t="s">
        <v>294</v>
      </c>
      <c r="O298" s="535" t="s">
        <v>295</v>
      </c>
      <c r="P298" s="535" t="s">
        <v>296</v>
      </c>
      <c r="Q298" s="535" t="s">
        <v>89</v>
      </c>
      <c r="R298" s="535">
        <v>2019.0</v>
      </c>
      <c r="S298" s="536">
        <v>13364.3389633706</v>
      </c>
      <c r="T298" s="536">
        <v>26134.2336576016</v>
      </c>
      <c r="U298" s="537">
        <v>5316.4856920431</v>
      </c>
      <c r="CE298" s="525"/>
    </row>
    <row r="299">
      <c r="A299" s="509"/>
      <c r="B299" s="886" t="s">
        <v>347</v>
      </c>
      <c r="C299" s="887" t="s">
        <v>289</v>
      </c>
      <c r="D299" s="887" t="s">
        <v>373</v>
      </c>
      <c r="E299" s="888">
        <v>2019.0</v>
      </c>
      <c r="F299" s="887" t="s">
        <v>291</v>
      </c>
      <c r="G299" s="887" t="s">
        <v>89</v>
      </c>
      <c r="H299" s="547">
        <v>882757.5639</v>
      </c>
      <c r="I299" s="547">
        <v>1000935.807</v>
      </c>
      <c r="J299" s="548">
        <v>762208.7554</v>
      </c>
      <c r="K299" s="220"/>
      <c r="L299" s="534" t="s">
        <v>292</v>
      </c>
      <c r="M299" s="535" t="s">
        <v>480</v>
      </c>
      <c r="N299" s="535" t="s">
        <v>294</v>
      </c>
      <c r="O299" s="535" t="s">
        <v>311</v>
      </c>
      <c r="P299" s="535" t="s">
        <v>296</v>
      </c>
      <c r="Q299" s="535" t="s">
        <v>89</v>
      </c>
      <c r="R299" s="535">
        <v>2019.0</v>
      </c>
      <c r="S299" s="536">
        <v>0.0</v>
      </c>
      <c r="T299" s="536">
        <v>0.0</v>
      </c>
      <c r="U299" s="537">
        <v>0.0</v>
      </c>
      <c r="CE299" s="525"/>
    </row>
    <row r="300">
      <c r="A300" s="509"/>
      <c r="B300" s="889" t="s">
        <v>347</v>
      </c>
      <c r="C300" s="890" t="s">
        <v>289</v>
      </c>
      <c r="D300" s="890" t="s">
        <v>379</v>
      </c>
      <c r="E300" s="891">
        <v>2019.0</v>
      </c>
      <c r="F300" s="890" t="s">
        <v>291</v>
      </c>
      <c r="G300" s="890" t="s">
        <v>89</v>
      </c>
      <c r="H300" s="532">
        <v>3181289.33</v>
      </c>
      <c r="I300" s="532">
        <v>3607613.641</v>
      </c>
      <c r="J300" s="533">
        <v>2747001.815</v>
      </c>
      <c r="K300" s="220"/>
      <c r="L300" s="534" t="s">
        <v>292</v>
      </c>
      <c r="M300" s="535" t="s">
        <v>480</v>
      </c>
      <c r="N300" s="535" t="s">
        <v>294</v>
      </c>
      <c r="O300" s="535" t="s">
        <v>319</v>
      </c>
      <c r="P300" s="535" t="s">
        <v>296</v>
      </c>
      <c r="Q300" s="535" t="s">
        <v>89</v>
      </c>
      <c r="R300" s="535">
        <v>2019.0</v>
      </c>
      <c r="S300" s="536">
        <v>584.839796048806</v>
      </c>
      <c r="T300" s="536">
        <v>1292.97762795466</v>
      </c>
      <c r="U300" s="537">
        <v>201.458878597459</v>
      </c>
      <c r="CE300" s="525"/>
    </row>
    <row r="301">
      <c r="A301" s="509"/>
      <c r="B301" s="886" t="s">
        <v>347</v>
      </c>
      <c r="C301" s="887" t="s">
        <v>289</v>
      </c>
      <c r="D301" s="887" t="s">
        <v>382</v>
      </c>
      <c r="E301" s="888">
        <v>2019.0</v>
      </c>
      <c r="F301" s="887" t="s">
        <v>291</v>
      </c>
      <c r="G301" s="887" t="s">
        <v>89</v>
      </c>
      <c r="H301" s="547">
        <v>783353.4629</v>
      </c>
      <c r="I301" s="547">
        <v>888224.0866</v>
      </c>
      <c r="J301" s="548">
        <v>676379.2148</v>
      </c>
      <c r="K301" s="220"/>
      <c r="L301" s="534" t="s">
        <v>292</v>
      </c>
      <c r="M301" s="535" t="s">
        <v>480</v>
      </c>
      <c r="N301" s="535" t="s">
        <v>294</v>
      </c>
      <c r="O301" s="535" t="s">
        <v>327</v>
      </c>
      <c r="P301" s="535" t="s">
        <v>296</v>
      </c>
      <c r="Q301" s="535" t="s">
        <v>89</v>
      </c>
      <c r="R301" s="535">
        <v>2019.0</v>
      </c>
      <c r="S301" s="536">
        <v>5783.31340511809</v>
      </c>
      <c r="T301" s="536">
        <v>11561.564173627</v>
      </c>
      <c r="U301" s="537">
        <v>2198.8932124279</v>
      </c>
      <c r="CE301" s="525"/>
    </row>
    <row r="302">
      <c r="A302" s="509"/>
      <c r="B302" s="889" t="s">
        <v>347</v>
      </c>
      <c r="C302" s="890" t="s">
        <v>289</v>
      </c>
      <c r="D302" s="890" t="s">
        <v>387</v>
      </c>
      <c r="E302" s="891">
        <v>2019.0</v>
      </c>
      <c r="F302" s="890" t="s">
        <v>291</v>
      </c>
      <c r="G302" s="890" t="s">
        <v>89</v>
      </c>
      <c r="H302" s="532">
        <v>655708.3081</v>
      </c>
      <c r="I302" s="532">
        <v>743490.5705</v>
      </c>
      <c r="J302" s="533">
        <v>566165.2008</v>
      </c>
      <c r="K302" s="220"/>
      <c r="L302" s="534" t="s">
        <v>292</v>
      </c>
      <c r="M302" s="535" t="s">
        <v>480</v>
      </c>
      <c r="N302" s="535" t="s">
        <v>294</v>
      </c>
      <c r="O302" s="535" t="s">
        <v>335</v>
      </c>
      <c r="P302" s="535" t="s">
        <v>296</v>
      </c>
      <c r="Q302" s="535" t="s">
        <v>89</v>
      </c>
      <c r="R302" s="535">
        <v>2019.0</v>
      </c>
      <c r="S302" s="536">
        <v>17014.4702555633</v>
      </c>
      <c r="T302" s="536">
        <v>34398.1515797032</v>
      </c>
      <c r="U302" s="537">
        <v>6549.71755261164</v>
      </c>
      <c r="CE302" s="525"/>
    </row>
    <row r="303">
      <c r="A303" s="509"/>
      <c r="B303" s="886" t="s">
        <v>347</v>
      </c>
      <c r="C303" s="887" t="s">
        <v>289</v>
      </c>
      <c r="D303" s="887" t="s">
        <v>392</v>
      </c>
      <c r="E303" s="888">
        <v>2019.0</v>
      </c>
      <c r="F303" s="887" t="s">
        <v>291</v>
      </c>
      <c r="G303" s="887" t="s">
        <v>89</v>
      </c>
      <c r="H303" s="547">
        <v>490660.1021</v>
      </c>
      <c r="I303" s="547">
        <v>556346.7089</v>
      </c>
      <c r="J303" s="548">
        <v>423655.8722</v>
      </c>
      <c r="K303" s="220"/>
      <c r="L303" s="534" t="s">
        <v>292</v>
      </c>
      <c r="M303" s="535" t="s">
        <v>480</v>
      </c>
      <c r="N303" s="535" t="s">
        <v>294</v>
      </c>
      <c r="O303" s="535" t="s">
        <v>300</v>
      </c>
      <c r="P303" s="535" t="s">
        <v>296</v>
      </c>
      <c r="Q303" s="535" t="s">
        <v>89</v>
      </c>
      <c r="R303" s="535">
        <v>2019.0</v>
      </c>
      <c r="S303" s="536">
        <v>720.41962301143</v>
      </c>
      <c r="T303" s="536">
        <v>1636.05129099939</v>
      </c>
      <c r="U303" s="537">
        <v>256.082227598653</v>
      </c>
      <c r="CE303" s="525"/>
    </row>
    <row r="304">
      <c r="A304" s="509"/>
      <c r="B304" s="889" t="s">
        <v>347</v>
      </c>
      <c r="C304" s="890" t="s">
        <v>289</v>
      </c>
      <c r="D304" s="890" t="s">
        <v>398</v>
      </c>
      <c r="E304" s="891">
        <v>2019.0</v>
      </c>
      <c r="F304" s="890" t="s">
        <v>291</v>
      </c>
      <c r="G304" s="890" t="s">
        <v>89</v>
      </c>
      <c r="H304" s="532">
        <v>369188.4977</v>
      </c>
      <c r="I304" s="532">
        <v>418613.2209</v>
      </c>
      <c r="J304" s="533">
        <v>318772.3525</v>
      </c>
      <c r="K304" s="220"/>
      <c r="L304" s="534" t="s">
        <v>292</v>
      </c>
      <c r="M304" s="535" t="s">
        <v>314</v>
      </c>
      <c r="N304" s="535" t="s">
        <v>294</v>
      </c>
      <c r="O304" s="535" t="s">
        <v>295</v>
      </c>
      <c r="P304" s="535" t="s">
        <v>296</v>
      </c>
      <c r="Q304" s="535" t="s">
        <v>89</v>
      </c>
      <c r="R304" s="535">
        <v>2019.0</v>
      </c>
      <c r="S304" s="536">
        <v>2411.31266967707</v>
      </c>
      <c r="T304" s="536">
        <v>6081.25236754885</v>
      </c>
      <c r="U304" s="537">
        <v>728.032235742353</v>
      </c>
      <c r="CE304" s="525"/>
    </row>
    <row r="305">
      <c r="A305" s="509"/>
      <c r="B305" s="886" t="s">
        <v>347</v>
      </c>
      <c r="C305" s="887" t="s">
        <v>289</v>
      </c>
      <c r="D305" s="887" t="s">
        <v>402</v>
      </c>
      <c r="E305" s="888">
        <v>2019.0</v>
      </c>
      <c r="F305" s="887" t="s">
        <v>291</v>
      </c>
      <c r="G305" s="887" t="s">
        <v>89</v>
      </c>
      <c r="H305" s="547">
        <v>4580700.975</v>
      </c>
      <c r="I305" s="547">
        <v>5194560.32</v>
      </c>
      <c r="J305" s="548">
        <v>3955375.506</v>
      </c>
      <c r="K305" s="220"/>
      <c r="L305" s="534" t="s">
        <v>292</v>
      </c>
      <c r="M305" s="535" t="s">
        <v>314</v>
      </c>
      <c r="N305" s="535" t="s">
        <v>294</v>
      </c>
      <c r="O305" s="535" t="s">
        <v>311</v>
      </c>
      <c r="P305" s="535" t="s">
        <v>296</v>
      </c>
      <c r="Q305" s="535" t="s">
        <v>89</v>
      </c>
      <c r="R305" s="535">
        <v>2019.0</v>
      </c>
      <c r="S305" s="536">
        <v>0.0</v>
      </c>
      <c r="T305" s="536">
        <v>0.0</v>
      </c>
      <c r="U305" s="537">
        <v>0.0</v>
      </c>
      <c r="CE305" s="525"/>
    </row>
    <row r="306">
      <c r="A306" s="509"/>
      <c r="B306" s="889" t="s">
        <v>347</v>
      </c>
      <c r="C306" s="890" t="s">
        <v>289</v>
      </c>
      <c r="D306" s="890" t="s">
        <v>407</v>
      </c>
      <c r="E306" s="891">
        <v>2019.0</v>
      </c>
      <c r="F306" s="890" t="s">
        <v>291</v>
      </c>
      <c r="G306" s="890" t="s">
        <v>89</v>
      </c>
      <c r="H306" s="532">
        <v>1789227.318</v>
      </c>
      <c r="I306" s="532">
        <v>2028758.249</v>
      </c>
      <c r="J306" s="533">
        <v>1544891.579</v>
      </c>
      <c r="K306" s="220"/>
      <c r="L306" s="534" t="s">
        <v>292</v>
      </c>
      <c r="M306" s="535" t="s">
        <v>314</v>
      </c>
      <c r="N306" s="535" t="s">
        <v>294</v>
      </c>
      <c r="O306" s="535" t="s">
        <v>319</v>
      </c>
      <c r="P306" s="535" t="s">
        <v>296</v>
      </c>
      <c r="Q306" s="535" t="s">
        <v>89</v>
      </c>
      <c r="R306" s="535">
        <v>2019.0</v>
      </c>
      <c r="S306" s="536">
        <v>158.371349859412</v>
      </c>
      <c r="T306" s="536">
        <v>425.623473207606</v>
      </c>
      <c r="U306" s="537">
        <v>47.4597944214637</v>
      </c>
      <c r="CE306" s="525"/>
    </row>
    <row r="307">
      <c r="A307" s="509"/>
      <c r="B307" s="886" t="s">
        <v>347</v>
      </c>
      <c r="C307" s="887" t="s">
        <v>289</v>
      </c>
      <c r="D307" s="887" t="s">
        <v>414</v>
      </c>
      <c r="E307" s="888">
        <v>2019.0</v>
      </c>
      <c r="F307" s="887" t="s">
        <v>291</v>
      </c>
      <c r="G307" s="887" t="s">
        <v>89</v>
      </c>
      <c r="H307" s="547">
        <v>305461.6802</v>
      </c>
      <c r="I307" s="547">
        <v>346355.0424</v>
      </c>
      <c r="J307" s="548">
        <v>263748.0284</v>
      </c>
      <c r="K307" s="220"/>
      <c r="L307" s="534" t="s">
        <v>292</v>
      </c>
      <c r="M307" s="535" t="s">
        <v>314</v>
      </c>
      <c r="N307" s="535" t="s">
        <v>294</v>
      </c>
      <c r="O307" s="535" t="s">
        <v>327</v>
      </c>
      <c r="P307" s="535" t="s">
        <v>296</v>
      </c>
      <c r="Q307" s="535" t="s">
        <v>89</v>
      </c>
      <c r="R307" s="535">
        <v>2019.0</v>
      </c>
      <c r="S307" s="536">
        <v>949.539361582121</v>
      </c>
      <c r="T307" s="536">
        <v>2474.3078175726</v>
      </c>
      <c r="U307" s="537">
        <v>279.905417467639</v>
      </c>
      <c r="CE307" s="525"/>
    </row>
    <row r="308">
      <c r="A308" s="509"/>
      <c r="B308" s="889" t="s">
        <v>347</v>
      </c>
      <c r="C308" s="890" t="s">
        <v>289</v>
      </c>
      <c r="D308" s="890" t="s">
        <v>417</v>
      </c>
      <c r="E308" s="891">
        <v>2019.0</v>
      </c>
      <c r="F308" s="890" t="s">
        <v>291</v>
      </c>
      <c r="G308" s="890" t="s">
        <v>89</v>
      </c>
      <c r="H308" s="532">
        <v>888519.0879</v>
      </c>
      <c r="I308" s="532">
        <v>1007468.649</v>
      </c>
      <c r="J308" s="533">
        <v>767183.4894</v>
      </c>
      <c r="K308" s="220"/>
      <c r="L308" s="534" t="s">
        <v>292</v>
      </c>
      <c r="M308" s="535" t="s">
        <v>314</v>
      </c>
      <c r="N308" s="535" t="s">
        <v>294</v>
      </c>
      <c r="O308" s="535" t="s">
        <v>335</v>
      </c>
      <c r="P308" s="535" t="s">
        <v>296</v>
      </c>
      <c r="Q308" s="535" t="s">
        <v>89</v>
      </c>
      <c r="R308" s="535">
        <v>2019.0</v>
      </c>
      <c r="S308" s="536">
        <v>3898.6485598363</v>
      </c>
      <c r="T308" s="536">
        <v>10098.3709741095</v>
      </c>
      <c r="U308" s="537">
        <v>1187.9280329553</v>
      </c>
      <c r="CE308" s="525"/>
    </row>
    <row r="309">
      <c r="A309" s="509"/>
      <c r="B309" s="886" t="s">
        <v>347</v>
      </c>
      <c r="C309" s="887" t="s">
        <v>289</v>
      </c>
      <c r="D309" s="887" t="s">
        <v>300</v>
      </c>
      <c r="E309" s="888">
        <v>2019.0</v>
      </c>
      <c r="F309" s="887" t="s">
        <v>291</v>
      </c>
      <c r="G309" s="887" t="s">
        <v>89</v>
      </c>
      <c r="H309" s="547">
        <v>3322415.424</v>
      </c>
      <c r="I309" s="547">
        <v>3767200.307</v>
      </c>
      <c r="J309" s="548">
        <v>2868708.498</v>
      </c>
      <c r="K309" s="220"/>
      <c r="L309" s="681" t="s">
        <v>292</v>
      </c>
      <c r="M309" s="682" t="s">
        <v>314</v>
      </c>
      <c r="N309" s="682" t="s">
        <v>294</v>
      </c>
      <c r="O309" s="682" t="s">
        <v>300</v>
      </c>
      <c r="P309" s="682" t="s">
        <v>296</v>
      </c>
      <c r="Q309" s="682" t="s">
        <v>89</v>
      </c>
      <c r="R309" s="682">
        <v>2019.0</v>
      </c>
      <c r="S309" s="684">
        <v>293.024855090019</v>
      </c>
      <c r="T309" s="684">
        <v>745.952314371303</v>
      </c>
      <c r="U309" s="685">
        <v>93.9776188631564</v>
      </c>
      <c r="CE309" s="525"/>
    </row>
    <row r="310">
      <c r="A310" s="509"/>
      <c r="B310" s="889" t="s">
        <v>347</v>
      </c>
      <c r="C310" s="890" t="s">
        <v>289</v>
      </c>
      <c r="D310" s="890" t="s">
        <v>429</v>
      </c>
      <c r="E310" s="891">
        <v>2019.0</v>
      </c>
      <c r="F310" s="890" t="s">
        <v>291</v>
      </c>
      <c r="G310" s="890" t="s">
        <v>89</v>
      </c>
      <c r="H310" s="532">
        <v>746567.055</v>
      </c>
      <c r="I310" s="532">
        <v>846614.4421</v>
      </c>
      <c r="J310" s="533">
        <v>644650.908</v>
      </c>
      <c r="K310" s="220"/>
      <c r="CE310" s="525"/>
    </row>
    <row r="311">
      <c r="A311" s="509"/>
      <c r="B311" s="886" t="s">
        <v>347</v>
      </c>
      <c r="C311" s="887" t="s">
        <v>289</v>
      </c>
      <c r="D311" s="887" t="s">
        <v>432</v>
      </c>
      <c r="E311" s="888">
        <v>2019.0</v>
      </c>
      <c r="F311" s="887" t="s">
        <v>291</v>
      </c>
      <c r="G311" s="887" t="s">
        <v>89</v>
      </c>
      <c r="H311" s="547">
        <v>253069.4393</v>
      </c>
      <c r="I311" s="547">
        <v>286948.8453</v>
      </c>
      <c r="J311" s="548">
        <v>218510.4385</v>
      </c>
      <c r="K311" s="220"/>
      <c r="CE311" s="525"/>
    </row>
    <row r="312">
      <c r="A312" s="509"/>
      <c r="B312" s="889" t="s">
        <v>347</v>
      </c>
      <c r="C312" s="890" t="s">
        <v>289</v>
      </c>
      <c r="D312" s="890" t="s">
        <v>435</v>
      </c>
      <c r="E312" s="891">
        <v>2019.0</v>
      </c>
      <c r="F312" s="890" t="s">
        <v>291</v>
      </c>
      <c r="G312" s="890" t="s">
        <v>89</v>
      </c>
      <c r="H312" s="532">
        <v>195824.1973</v>
      </c>
      <c r="I312" s="532">
        <v>222039.9564</v>
      </c>
      <c r="J312" s="533">
        <v>169082.5701</v>
      </c>
      <c r="K312" s="220"/>
      <c r="CE312" s="525"/>
    </row>
    <row r="313">
      <c r="A313" s="509"/>
      <c r="B313" s="886" t="s">
        <v>347</v>
      </c>
      <c r="C313" s="887" t="s">
        <v>289</v>
      </c>
      <c r="D313" s="887" t="s">
        <v>442</v>
      </c>
      <c r="E313" s="888">
        <v>2019.0</v>
      </c>
      <c r="F313" s="887" t="s">
        <v>291</v>
      </c>
      <c r="G313" s="887" t="s">
        <v>89</v>
      </c>
      <c r="H313" s="547">
        <v>134163.7711</v>
      </c>
      <c r="I313" s="547">
        <v>152124.8053</v>
      </c>
      <c r="J313" s="548">
        <v>115842.4523</v>
      </c>
      <c r="K313" s="220"/>
      <c r="CE313" s="525"/>
    </row>
    <row r="314">
      <c r="A314" s="509"/>
      <c r="B314" s="889" t="s">
        <v>347</v>
      </c>
      <c r="C314" s="890" t="s">
        <v>289</v>
      </c>
      <c r="D314" s="890" t="s">
        <v>445</v>
      </c>
      <c r="E314" s="891">
        <v>2019.0</v>
      </c>
      <c r="F314" s="890" t="s">
        <v>291</v>
      </c>
      <c r="G314" s="890" t="s">
        <v>89</v>
      </c>
      <c r="H314" s="532">
        <v>210245.0468</v>
      </c>
      <c r="I314" s="532">
        <v>238419.9675</v>
      </c>
      <c r="J314" s="533">
        <v>181543.8539</v>
      </c>
      <c r="K314" s="220"/>
      <c r="CE314" s="525"/>
    </row>
    <row r="315">
      <c r="A315" s="509"/>
      <c r="B315" s="886" t="s">
        <v>347</v>
      </c>
      <c r="C315" s="887" t="s">
        <v>289</v>
      </c>
      <c r="D315" s="887" t="s">
        <v>450</v>
      </c>
      <c r="E315" s="888">
        <v>2019.0</v>
      </c>
      <c r="F315" s="887" t="s">
        <v>291</v>
      </c>
      <c r="G315" s="887" t="s">
        <v>89</v>
      </c>
      <c r="H315" s="547">
        <v>76106.29693</v>
      </c>
      <c r="I315" s="547">
        <v>86294.94766</v>
      </c>
      <c r="J315" s="548">
        <v>65713.26968</v>
      </c>
      <c r="K315" s="220"/>
      <c r="CE315" s="525"/>
    </row>
    <row r="316">
      <c r="A316" s="509"/>
      <c r="B316" s="889" t="s">
        <v>347</v>
      </c>
      <c r="C316" s="890" t="s">
        <v>289</v>
      </c>
      <c r="D316" s="890" t="s">
        <v>457</v>
      </c>
      <c r="E316" s="891">
        <v>2019.0</v>
      </c>
      <c r="F316" s="890" t="s">
        <v>291</v>
      </c>
      <c r="G316" s="890" t="s">
        <v>89</v>
      </c>
      <c r="H316" s="532">
        <v>163598.496</v>
      </c>
      <c r="I316" s="532">
        <v>185500.0732</v>
      </c>
      <c r="J316" s="533">
        <v>141257.59</v>
      </c>
      <c r="K316" s="220"/>
      <c r="CE316" s="525"/>
    </row>
    <row r="317">
      <c r="A317" s="509"/>
      <c r="B317" s="886" t="s">
        <v>347</v>
      </c>
      <c r="C317" s="887" t="s">
        <v>289</v>
      </c>
      <c r="D317" s="887" t="s">
        <v>463</v>
      </c>
      <c r="E317" s="888">
        <v>2019.0</v>
      </c>
      <c r="F317" s="887" t="s">
        <v>291</v>
      </c>
      <c r="G317" s="887" t="s">
        <v>89</v>
      </c>
      <c r="H317" s="547">
        <v>87481.78787</v>
      </c>
      <c r="I317" s="547">
        <v>99205.21478</v>
      </c>
      <c r="J317" s="548">
        <v>75539.38204</v>
      </c>
      <c r="K317" s="220"/>
      <c r="CE317" s="525"/>
    </row>
    <row r="318">
      <c r="A318" s="509"/>
      <c r="B318" s="889" t="s">
        <v>347</v>
      </c>
      <c r="C318" s="890" t="s">
        <v>289</v>
      </c>
      <c r="D318" s="890" t="s">
        <v>467</v>
      </c>
      <c r="E318" s="891">
        <v>2019.0</v>
      </c>
      <c r="F318" s="890" t="s">
        <v>291</v>
      </c>
      <c r="G318" s="890" t="s">
        <v>89</v>
      </c>
      <c r="H318" s="532">
        <v>46369.55203</v>
      </c>
      <c r="I318" s="532">
        <v>52577.2272</v>
      </c>
      <c r="J318" s="533">
        <v>40037.35565</v>
      </c>
      <c r="K318" s="220"/>
      <c r="CE318" s="525"/>
    </row>
    <row r="319">
      <c r="A319" s="509"/>
      <c r="B319" s="886" t="s">
        <v>347</v>
      </c>
      <c r="C319" s="887" t="s">
        <v>289</v>
      </c>
      <c r="D319" s="887" t="s">
        <v>473</v>
      </c>
      <c r="E319" s="888">
        <v>2019.0</v>
      </c>
      <c r="F319" s="887" t="s">
        <v>291</v>
      </c>
      <c r="G319" s="887" t="s">
        <v>89</v>
      </c>
      <c r="H319" s="547">
        <v>72611.47234</v>
      </c>
      <c r="I319" s="547">
        <v>82342.12954</v>
      </c>
      <c r="J319" s="548">
        <v>62699.05866</v>
      </c>
      <c r="K319" s="220"/>
      <c r="CE319" s="525"/>
    </row>
    <row r="320">
      <c r="A320" s="509"/>
      <c r="B320" s="889" t="s">
        <v>347</v>
      </c>
      <c r="C320" s="890" t="s">
        <v>289</v>
      </c>
      <c r="D320" s="890" t="s">
        <v>477</v>
      </c>
      <c r="E320" s="891">
        <v>2019.0</v>
      </c>
      <c r="F320" s="890" t="s">
        <v>291</v>
      </c>
      <c r="G320" s="890" t="s">
        <v>89</v>
      </c>
      <c r="H320" s="532">
        <v>41122.64704</v>
      </c>
      <c r="I320" s="532">
        <v>46627.8983</v>
      </c>
      <c r="J320" s="533">
        <v>35506.96465</v>
      </c>
      <c r="K320" s="220"/>
      <c r="CE320" s="525"/>
    </row>
    <row r="321">
      <c r="A321" s="509"/>
      <c r="B321" s="886" t="s">
        <v>347</v>
      </c>
      <c r="C321" s="887" t="s">
        <v>289</v>
      </c>
      <c r="D321" s="887" t="s">
        <v>483</v>
      </c>
      <c r="E321" s="888">
        <v>2019.0</v>
      </c>
      <c r="F321" s="887" t="s">
        <v>291</v>
      </c>
      <c r="G321" s="887" t="s">
        <v>89</v>
      </c>
      <c r="H321" s="547">
        <v>26250.56179</v>
      </c>
      <c r="I321" s="547">
        <v>29764.82824</v>
      </c>
      <c r="J321" s="548">
        <v>22665.80186</v>
      </c>
      <c r="K321" s="220"/>
      <c r="CE321" s="525"/>
    </row>
    <row r="322">
      <c r="A322" s="509"/>
      <c r="B322" s="889" t="s">
        <v>347</v>
      </c>
      <c r="C322" s="890" t="s">
        <v>289</v>
      </c>
      <c r="D322" s="890" t="s">
        <v>489</v>
      </c>
      <c r="E322" s="891">
        <v>2019.0</v>
      </c>
      <c r="F322" s="890" t="s">
        <v>291</v>
      </c>
      <c r="G322" s="890" t="s">
        <v>89</v>
      </c>
      <c r="H322" s="532">
        <v>14870.31553</v>
      </c>
      <c r="I322" s="532">
        <v>16863.08524</v>
      </c>
      <c r="J322" s="533">
        <v>12840.32338</v>
      </c>
      <c r="K322" s="220"/>
      <c r="CE322" s="525"/>
    </row>
    <row r="323">
      <c r="A323" s="509"/>
      <c r="B323" s="886" t="s">
        <v>347</v>
      </c>
      <c r="C323" s="887" t="s">
        <v>289</v>
      </c>
      <c r="D323" s="887" t="s">
        <v>493</v>
      </c>
      <c r="E323" s="888">
        <v>2019.0</v>
      </c>
      <c r="F323" s="887" t="s">
        <v>291</v>
      </c>
      <c r="G323" s="887" t="s">
        <v>89</v>
      </c>
      <c r="H323" s="547">
        <v>10958.7975</v>
      </c>
      <c r="I323" s="547">
        <v>12425.89502</v>
      </c>
      <c r="J323" s="548">
        <v>9462.271116</v>
      </c>
      <c r="K323" s="220"/>
      <c r="CE323" s="525"/>
    </row>
    <row r="324">
      <c r="A324" s="509"/>
      <c r="B324" s="889" t="s">
        <v>347</v>
      </c>
      <c r="C324" s="890" t="s">
        <v>289</v>
      </c>
      <c r="D324" s="890" t="s">
        <v>496</v>
      </c>
      <c r="E324" s="891">
        <v>2019.0</v>
      </c>
      <c r="F324" s="890" t="s">
        <v>291</v>
      </c>
      <c r="G324" s="890" t="s">
        <v>89</v>
      </c>
      <c r="H324" s="532">
        <v>3197.297798</v>
      </c>
      <c r="I324" s="532">
        <v>3625.332689</v>
      </c>
      <c r="J324" s="533">
        <v>2760.676855</v>
      </c>
      <c r="K324" s="220"/>
      <c r="CE324" s="525"/>
    </row>
    <row r="325">
      <c r="A325" s="509"/>
      <c r="B325" s="886" t="s">
        <v>347</v>
      </c>
      <c r="C325" s="887" t="s">
        <v>289</v>
      </c>
      <c r="D325" s="887" t="s">
        <v>502</v>
      </c>
      <c r="E325" s="888">
        <v>2019.0</v>
      </c>
      <c r="F325" s="887" t="s">
        <v>291</v>
      </c>
      <c r="G325" s="887" t="s">
        <v>89</v>
      </c>
      <c r="H325" s="547">
        <v>715.9899497</v>
      </c>
      <c r="I325" s="547">
        <v>811.8423537</v>
      </c>
      <c r="J325" s="548">
        <v>618.2148199</v>
      </c>
      <c r="K325" s="220"/>
      <c r="CE325" s="525"/>
    </row>
    <row r="326">
      <c r="A326" s="509"/>
      <c r="B326" s="889" t="s">
        <v>347</v>
      </c>
      <c r="C326" s="890" t="s">
        <v>289</v>
      </c>
      <c r="D326" s="890" t="s">
        <v>332</v>
      </c>
      <c r="E326" s="891">
        <v>2019.0</v>
      </c>
      <c r="F326" s="890" t="s">
        <v>291</v>
      </c>
      <c r="G326" s="890" t="s">
        <v>89</v>
      </c>
      <c r="H326" s="532">
        <v>1.193436075E7</v>
      </c>
      <c r="I326" s="532">
        <v>1.353206078E7</v>
      </c>
      <c r="J326" s="533">
        <v>1.030461208E7</v>
      </c>
      <c r="K326" s="220"/>
      <c r="CE326" s="525"/>
    </row>
    <row r="327">
      <c r="A327" s="509"/>
      <c r="B327" s="886" t="s">
        <v>347</v>
      </c>
      <c r="C327" s="887" t="s">
        <v>289</v>
      </c>
      <c r="D327" s="887" t="s">
        <v>510</v>
      </c>
      <c r="E327" s="888">
        <v>2019.0</v>
      </c>
      <c r="F327" s="887" t="s">
        <v>291</v>
      </c>
      <c r="G327" s="887" t="s">
        <v>89</v>
      </c>
      <c r="H327" s="547">
        <v>466221.1984</v>
      </c>
      <c r="I327" s="547">
        <v>499074.1811</v>
      </c>
      <c r="J327" s="548">
        <v>436490.4056</v>
      </c>
      <c r="K327" s="220"/>
      <c r="CE327" s="525"/>
    </row>
    <row r="328">
      <c r="A328" s="509"/>
      <c r="B328" s="889" t="s">
        <v>347</v>
      </c>
      <c r="C328" s="890" t="s">
        <v>289</v>
      </c>
      <c r="D328" s="890" t="s">
        <v>512</v>
      </c>
      <c r="E328" s="891">
        <v>2019.0</v>
      </c>
      <c r="F328" s="890" t="s">
        <v>291</v>
      </c>
      <c r="G328" s="890" t="s">
        <v>89</v>
      </c>
      <c r="H328" s="532">
        <v>8856.636748</v>
      </c>
      <c r="I328" s="532">
        <v>10042.30971</v>
      </c>
      <c r="J328" s="533">
        <v>7647.180096</v>
      </c>
      <c r="K328" s="220"/>
      <c r="CE328" s="525"/>
    </row>
    <row r="329">
      <c r="A329" s="509"/>
      <c r="B329" s="886" t="s">
        <v>347</v>
      </c>
      <c r="C329" s="887" t="s">
        <v>289</v>
      </c>
      <c r="D329" s="887" t="s">
        <v>515</v>
      </c>
      <c r="E329" s="888">
        <v>2019.0</v>
      </c>
      <c r="F329" s="887" t="s">
        <v>291</v>
      </c>
      <c r="G329" s="887" t="s">
        <v>89</v>
      </c>
      <c r="H329" s="547">
        <v>26215.88039</v>
      </c>
      <c r="I329" s="547">
        <v>29725.50389</v>
      </c>
      <c r="J329" s="548">
        <v>22635.85652</v>
      </c>
      <c r="K329" s="220"/>
      <c r="CE329" s="525"/>
    </row>
    <row r="330">
      <c r="A330" s="509"/>
      <c r="B330" s="889" t="s">
        <v>347</v>
      </c>
      <c r="C330" s="890" t="s">
        <v>289</v>
      </c>
      <c r="D330" s="890" t="s">
        <v>518</v>
      </c>
      <c r="E330" s="891">
        <v>2019.0</v>
      </c>
      <c r="F330" s="890" t="s">
        <v>291</v>
      </c>
      <c r="G330" s="890" t="s">
        <v>89</v>
      </c>
      <c r="H330" s="532">
        <v>35072.51714</v>
      </c>
      <c r="I330" s="532">
        <v>39767.8136</v>
      </c>
      <c r="J330" s="533">
        <v>30283.03662</v>
      </c>
      <c r="K330" s="220"/>
      <c r="CE330" s="525"/>
    </row>
    <row r="331">
      <c r="A331" s="509"/>
      <c r="B331" s="886" t="s">
        <v>347</v>
      </c>
      <c r="C331" s="887" t="s">
        <v>289</v>
      </c>
      <c r="D331" s="887" t="s">
        <v>522</v>
      </c>
      <c r="E331" s="888">
        <v>2019.0</v>
      </c>
      <c r="F331" s="887" t="s">
        <v>291</v>
      </c>
      <c r="G331" s="887" t="s">
        <v>89</v>
      </c>
      <c r="H331" s="547">
        <v>408439.3201</v>
      </c>
      <c r="I331" s="547">
        <v>463118.706</v>
      </c>
      <c r="J331" s="548">
        <v>352663.1077</v>
      </c>
      <c r="K331" s="220"/>
      <c r="CE331" s="525"/>
    </row>
    <row r="332">
      <c r="A332" s="509"/>
      <c r="B332" s="889" t="s">
        <v>347</v>
      </c>
      <c r="C332" s="890" t="s">
        <v>289</v>
      </c>
      <c r="D332" s="890" t="s">
        <v>302</v>
      </c>
      <c r="E332" s="891">
        <v>2019.0</v>
      </c>
      <c r="F332" s="890" t="s">
        <v>291</v>
      </c>
      <c r="G332" s="890" t="s">
        <v>89</v>
      </c>
      <c r="H332" s="532">
        <v>2078971.03</v>
      </c>
      <c r="I332" s="532">
        <v>2357291.098</v>
      </c>
      <c r="J332" s="533">
        <v>1795068.076</v>
      </c>
      <c r="K332" s="220"/>
      <c r="CE332" s="525"/>
    </row>
    <row r="333">
      <c r="A333" s="509"/>
      <c r="B333" s="886" t="s">
        <v>552</v>
      </c>
      <c r="C333" s="887" t="s">
        <v>289</v>
      </c>
      <c r="D333" s="887" t="s">
        <v>290</v>
      </c>
      <c r="E333" s="888">
        <v>2019.0</v>
      </c>
      <c r="F333" s="887" t="s">
        <v>291</v>
      </c>
      <c r="G333" s="887" t="s">
        <v>89</v>
      </c>
      <c r="H333" s="547">
        <v>846048.2408</v>
      </c>
      <c r="I333" s="547">
        <v>933378.0485</v>
      </c>
      <c r="J333" s="548">
        <v>762049.4465</v>
      </c>
      <c r="K333" s="220"/>
      <c r="CE333" s="525"/>
    </row>
    <row r="334">
      <c r="A334" s="509"/>
      <c r="B334" s="889" t="s">
        <v>552</v>
      </c>
      <c r="C334" s="890" t="s">
        <v>289</v>
      </c>
      <c r="D334" s="890" t="s">
        <v>310</v>
      </c>
      <c r="E334" s="891">
        <v>2019.0</v>
      </c>
      <c r="F334" s="890" t="s">
        <v>291</v>
      </c>
      <c r="G334" s="890" t="s">
        <v>89</v>
      </c>
      <c r="H334" s="532">
        <v>1.33252224E7</v>
      </c>
      <c r="I334" s="532">
        <v>1.470066301E7</v>
      </c>
      <c r="J334" s="533">
        <v>1.20022451E7</v>
      </c>
      <c r="K334" s="220"/>
      <c r="CE334" s="525"/>
    </row>
    <row r="335">
      <c r="A335" s="509"/>
      <c r="B335" s="886" t="s">
        <v>552</v>
      </c>
      <c r="C335" s="887" t="s">
        <v>289</v>
      </c>
      <c r="D335" s="887" t="s">
        <v>318</v>
      </c>
      <c r="E335" s="888">
        <v>2019.0</v>
      </c>
      <c r="F335" s="887" t="s">
        <v>291</v>
      </c>
      <c r="G335" s="887" t="s">
        <v>89</v>
      </c>
      <c r="H335" s="547">
        <v>1.068333264E7</v>
      </c>
      <c r="I335" s="547">
        <v>1.178607518E7</v>
      </c>
      <c r="J335" s="548">
        <v>9622651.918</v>
      </c>
      <c r="K335" s="220"/>
      <c r="CE335" s="525"/>
    </row>
    <row r="336">
      <c r="A336" s="509"/>
      <c r="B336" s="889" t="s">
        <v>552</v>
      </c>
      <c r="C336" s="890" t="s">
        <v>289</v>
      </c>
      <c r="D336" s="890" t="s">
        <v>309</v>
      </c>
      <c r="E336" s="891">
        <v>2019.0</v>
      </c>
      <c r="F336" s="890" t="s">
        <v>291</v>
      </c>
      <c r="G336" s="890" t="s">
        <v>89</v>
      </c>
      <c r="H336" s="532">
        <v>3165950.281</v>
      </c>
      <c r="I336" s="532">
        <v>3492742.319</v>
      </c>
      <c r="J336" s="533">
        <v>2851623.043</v>
      </c>
      <c r="K336" s="220"/>
      <c r="CE336" s="525"/>
    </row>
    <row r="337">
      <c r="A337" s="509"/>
      <c r="B337" s="886" t="s">
        <v>552</v>
      </c>
      <c r="C337" s="887" t="s">
        <v>289</v>
      </c>
      <c r="D337" s="887" t="s">
        <v>334</v>
      </c>
      <c r="E337" s="888">
        <v>2019.0</v>
      </c>
      <c r="F337" s="887" t="s">
        <v>291</v>
      </c>
      <c r="G337" s="887" t="s">
        <v>89</v>
      </c>
      <c r="H337" s="547">
        <v>3089144.155</v>
      </c>
      <c r="I337" s="547">
        <v>3408008.2</v>
      </c>
      <c r="J337" s="548">
        <v>2782442.513</v>
      </c>
      <c r="K337" s="220"/>
      <c r="CE337" s="525"/>
    </row>
    <row r="338">
      <c r="A338" s="509"/>
      <c r="B338" s="889" t="s">
        <v>552</v>
      </c>
      <c r="C338" s="890" t="s">
        <v>289</v>
      </c>
      <c r="D338" s="890" t="s">
        <v>339</v>
      </c>
      <c r="E338" s="891">
        <v>2019.0</v>
      </c>
      <c r="F338" s="890" t="s">
        <v>291</v>
      </c>
      <c r="G338" s="890" t="s">
        <v>89</v>
      </c>
      <c r="H338" s="532">
        <v>5731033.913</v>
      </c>
      <c r="I338" s="532">
        <v>6322596.031</v>
      </c>
      <c r="J338" s="533">
        <v>5162035.698</v>
      </c>
      <c r="K338" s="220"/>
      <c r="CE338" s="525"/>
    </row>
    <row r="339">
      <c r="A339" s="509"/>
      <c r="B339" s="886" t="s">
        <v>552</v>
      </c>
      <c r="C339" s="887" t="s">
        <v>289</v>
      </c>
      <c r="D339" s="887" t="s">
        <v>344</v>
      </c>
      <c r="E339" s="888">
        <v>2019.0</v>
      </c>
      <c r="F339" s="887" t="s">
        <v>291</v>
      </c>
      <c r="G339" s="887" t="s">
        <v>89</v>
      </c>
      <c r="H339" s="547">
        <v>8071942.812</v>
      </c>
      <c r="I339" s="547">
        <v>8905135.507</v>
      </c>
      <c r="J339" s="548">
        <v>7270530.515</v>
      </c>
      <c r="K339" s="220"/>
      <c r="CE339" s="525"/>
    </row>
    <row r="340">
      <c r="A340" s="509"/>
      <c r="B340" s="889" t="s">
        <v>552</v>
      </c>
      <c r="C340" s="890" t="s">
        <v>289</v>
      </c>
      <c r="D340" s="890" t="s">
        <v>349</v>
      </c>
      <c r="E340" s="891">
        <v>2019.0</v>
      </c>
      <c r="F340" s="890" t="s">
        <v>291</v>
      </c>
      <c r="G340" s="890" t="s">
        <v>89</v>
      </c>
      <c r="H340" s="532">
        <v>2641889.758</v>
      </c>
      <c r="I340" s="532">
        <v>2914587.831</v>
      </c>
      <c r="J340" s="533">
        <v>2379593.185</v>
      </c>
      <c r="K340" s="220"/>
      <c r="CE340" s="525"/>
    </row>
    <row r="341">
      <c r="A341" s="509"/>
      <c r="B341" s="886" t="s">
        <v>552</v>
      </c>
      <c r="C341" s="887" t="s">
        <v>289</v>
      </c>
      <c r="D341" s="887" t="s">
        <v>355</v>
      </c>
      <c r="E341" s="888">
        <v>2019.0</v>
      </c>
      <c r="F341" s="887" t="s">
        <v>291</v>
      </c>
      <c r="G341" s="887" t="s">
        <v>89</v>
      </c>
      <c r="H341" s="547">
        <v>1.076749293E7</v>
      </c>
      <c r="I341" s="547">
        <v>1.187852644E7</v>
      </c>
      <c r="J341" s="548">
        <v>9697809.334</v>
      </c>
      <c r="K341" s="220"/>
      <c r="CE341" s="525"/>
    </row>
    <row r="342">
      <c r="A342" s="509"/>
      <c r="B342" s="889" t="s">
        <v>552</v>
      </c>
      <c r="C342" s="890" t="s">
        <v>289</v>
      </c>
      <c r="D342" s="890" t="s">
        <v>358</v>
      </c>
      <c r="E342" s="891">
        <v>2019.0</v>
      </c>
      <c r="F342" s="890" t="s">
        <v>291</v>
      </c>
      <c r="G342" s="890" t="s">
        <v>89</v>
      </c>
      <c r="H342" s="532">
        <v>1.306080555E7</v>
      </c>
      <c r="I342" s="532">
        <v>1.440895283E7</v>
      </c>
      <c r="J342" s="533">
        <v>1.176408053E7</v>
      </c>
      <c r="K342" s="220"/>
      <c r="CE342" s="525"/>
    </row>
    <row r="343">
      <c r="A343" s="509"/>
      <c r="B343" s="886" t="s">
        <v>552</v>
      </c>
      <c r="C343" s="887" t="s">
        <v>289</v>
      </c>
      <c r="D343" s="887" t="s">
        <v>362</v>
      </c>
      <c r="E343" s="888">
        <v>2019.0</v>
      </c>
      <c r="F343" s="887" t="s">
        <v>291</v>
      </c>
      <c r="G343" s="887" t="s">
        <v>89</v>
      </c>
      <c r="H343" s="547">
        <v>1.284677775E7</v>
      </c>
      <c r="I343" s="547">
        <v>1.417236028E7</v>
      </c>
      <c r="J343" s="548">
        <v>1.157053012E7</v>
      </c>
      <c r="K343" s="220"/>
      <c r="CE343" s="525"/>
    </row>
    <row r="344">
      <c r="A344" s="509"/>
      <c r="B344" s="889" t="s">
        <v>552</v>
      </c>
      <c r="C344" s="890" t="s">
        <v>289</v>
      </c>
      <c r="D344" s="890" t="s">
        <v>366</v>
      </c>
      <c r="E344" s="891">
        <v>2019.0</v>
      </c>
      <c r="F344" s="890" t="s">
        <v>291</v>
      </c>
      <c r="G344" s="890" t="s">
        <v>89</v>
      </c>
      <c r="H344" s="532">
        <v>2340908.9</v>
      </c>
      <c r="I344" s="532">
        <v>2582539.476</v>
      </c>
      <c r="J344" s="533">
        <v>2108494.818</v>
      </c>
      <c r="K344" s="220"/>
      <c r="CE344" s="525"/>
    </row>
    <row r="345">
      <c r="A345" s="509"/>
      <c r="B345" s="886" t="s">
        <v>552</v>
      </c>
      <c r="C345" s="887" t="s">
        <v>289</v>
      </c>
      <c r="D345" s="887" t="s">
        <v>368</v>
      </c>
      <c r="E345" s="888">
        <v>2019.0</v>
      </c>
      <c r="F345" s="887" t="s">
        <v>291</v>
      </c>
      <c r="G345" s="887" t="s">
        <v>89</v>
      </c>
      <c r="H345" s="547">
        <v>1.05054003E7</v>
      </c>
      <c r="I345" s="547">
        <v>1.158977652E7</v>
      </c>
      <c r="J345" s="548">
        <v>9462385.358</v>
      </c>
      <c r="K345" s="220"/>
      <c r="CE345" s="525"/>
    </row>
    <row r="346">
      <c r="A346" s="509"/>
      <c r="B346" s="889" t="s">
        <v>552</v>
      </c>
      <c r="C346" s="890" t="s">
        <v>289</v>
      </c>
      <c r="D346" s="890" t="s">
        <v>373</v>
      </c>
      <c r="E346" s="891">
        <v>2019.0</v>
      </c>
      <c r="F346" s="890" t="s">
        <v>291</v>
      </c>
      <c r="G346" s="890" t="s">
        <v>89</v>
      </c>
      <c r="H346" s="532">
        <v>2142196.405</v>
      </c>
      <c r="I346" s="532">
        <v>2363315.711</v>
      </c>
      <c r="J346" s="533">
        <v>1929511.233</v>
      </c>
      <c r="K346" s="220"/>
      <c r="CE346" s="525"/>
    </row>
    <row r="347">
      <c r="A347" s="509"/>
      <c r="B347" s="886" t="s">
        <v>552</v>
      </c>
      <c r="C347" s="887" t="s">
        <v>289</v>
      </c>
      <c r="D347" s="887" t="s">
        <v>379</v>
      </c>
      <c r="E347" s="888">
        <v>2019.0</v>
      </c>
      <c r="F347" s="887" t="s">
        <v>291</v>
      </c>
      <c r="G347" s="887" t="s">
        <v>89</v>
      </c>
      <c r="H347" s="547">
        <v>8078301.523</v>
      </c>
      <c r="I347" s="547">
        <v>8911853.373</v>
      </c>
      <c r="J347" s="548">
        <v>7275772.403</v>
      </c>
      <c r="K347" s="220"/>
      <c r="CE347" s="525"/>
    </row>
    <row r="348">
      <c r="A348" s="509"/>
      <c r="B348" s="889" t="s">
        <v>552</v>
      </c>
      <c r="C348" s="890" t="s">
        <v>289</v>
      </c>
      <c r="D348" s="890" t="s">
        <v>382</v>
      </c>
      <c r="E348" s="891">
        <v>2019.0</v>
      </c>
      <c r="F348" s="890" t="s">
        <v>291</v>
      </c>
      <c r="G348" s="890" t="s">
        <v>89</v>
      </c>
      <c r="H348" s="532">
        <v>1964045.575</v>
      </c>
      <c r="I348" s="532">
        <v>2166776.004</v>
      </c>
      <c r="J348" s="533">
        <v>1769047.876</v>
      </c>
      <c r="K348" s="220"/>
      <c r="CE348" s="525"/>
    </row>
    <row r="349">
      <c r="A349" s="509"/>
      <c r="B349" s="886" t="s">
        <v>552</v>
      </c>
      <c r="C349" s="887" t="s">
        <v>289</v>
      </c>
      <c r="D349" s="887" t="s">
        <v>387</v>
      </c>
      <c r="E349" s="888">
        <v>2019.0</v>
      </c>
      <c r="F349" s="887" t="s">
        <v>291</v>
      </c>
      <c r="G349" s="887" t="s">
        <v>89</v>
      </c>
      <c r="H349" s="547">
        <v>1678059.577</v>
      </c>
      <c r="I349" s="547">
        <v>1851270.292</v>
      </c>
      <c r="J349" s="548">
        <v>1511455.624</v>
      </c>
      <c r="K349" s="220"/>
      <c r="CE349" s="525"/>
    </row>
    <row r="350">
      <c r="A350" s="509"/>
      <c r="B350" s="889" t="s">
        <v>552</v>
      </c>
      <c r="C350" s="890" t="s">
        <v>289</v>
      </c>
      <c r="D350" s="890" t="s">
        <v>392</v>
      </c>
      <c r="E350" s="891">
        <v>2019.0</v>
      </c>
      <c r="F350" s="890" t="s">
        <v>291</v>
      </c>
      <c r="G350" s="890" t="s">
        <v>89</v>
      </c>
      <c r="H350" s="532">
        <v>1306734.274</v>
      </c>
      <c r="I350" s="532">
        <v>1441616.48</v>
      </c>
      <c r="J350" s="533">
        <v>1176996.869</v>
      </c>
      <c r="K350" s="220"/>
      <c r="CE350" s="525"/>
    </row>
    <row r="351">
      <c r="A351" s="509"/>
      <c r="B351" s="886" t="s">
        <v>552</v>
      </c>
      <c r="C351" s="887" t="s">
        <v>289</v>
      </c>
      <c r="D351" s="887" t="s">
        <v>398</v>
      </c>
      <c r="E351" s="888">
        <v>2019.0</v>
      </c>
      <c r="F351" s="887" t="s">
        <v>291</v>
      </c>
      <c r="G351" s="887" t="s">
        <v>89</v>
      </c>
      <c r="H351" s="547">
        <v>986971.0565</v>
      </c>
      <c r="I351" s="547">
        <v>1088847.035</v>
      </c>
      <c r="J351" s="548">
        <v>888980.9245</v>
      </c>
      <c r="K351" s="220"/>
      <c r="CE351" s="525"/>
    </row>
    <row r="352">
      <c r="A352" s="509"/>
      <c r="B352" s="889" t="s">
        <v>552</v>
      </c>
      <c r="C352" s="890" t="s">
        <v>289</v>
      </c>
      <c r="D352" s="890" t="s">
        <v>402</v>
      </c>
      <c r="E352" s="891">
        <v>2019.0</v>
      </c>
      <c r="F352" s="890" t="s">
        <v>291</v>
      </c>
      <c r="G352" s="890" t="s">
        <v>89</v>
      </c>
      <c r="H352" s="532">
        <v>9313563.567</v>
      </c>
      <c r="I352" s="532">
        <v>1.027457475E7</v>
      </c>
      <c r="J352" s="533">
        <v>8388318.829</v>
      </c>
      <c r="K352" s="220"/>
      <c r="CE352" s="525"/>
    </row>
    <row r="353">
      <c r="A353" s="509"/>
      <c r="B353" s="886" t="s">
        <v>552</v>
      </c>
      <c r="C353" s="887" t="s">
        <v>289</v>
      </c>
      <c r="D353" s="887" t="s">
        <v>407</v>
      </c>
      <c r="E353" s="888">
        <v>2019.0</v>
      </c>
      <c r="F353" s="887" t="s">
        <v>291</v>
      </c>
      <c r="G353" s="887" t="s">
        <v>89</v>
      </c>
      <c r="H353" s="547">
        <v>3582189.966</v>
      </c>
      <c r="I353" s="547">
        <v>3951946.613</v>
      </c>
      <c r="J353" s="548">
        <v>3226536.915</v>
      </c>
      <c r="K353" s="220"/>
      <c r="CE353" s="525"/>
    </row>
    <row r="354">
      <c r="A354" s="509"/>
      <c r="B354" s="889" t="s">
        <v>552</v>
      </c>
      <c r="C354" s="890" t="s">
        <v>289</v>
      </c>
      <c r="D354" s="890" t="s">
        <v>414</v>
      </c>
      <c r="E354" s="891">
        <v>2019.0</v>
      </c>
      <c r="F354" s="890" t="s">
        <v>291</v>
      </c>
      <c r="G354" s="890" t="s">
        <v>89</v>
      </c>
      <c r="H354" s="532">
        <v>746178.0857</v>
      </c>
      <c r="I354" s="532">
        <v>823199.2124</v>
      </c>
      <c r="J354" s="533">
        <v>672094.7693</v>
      </c>
      <c r="K354" s="220"/>
      <c r="CE354" s="525"/>
    </row>
    <row r="355">
      <c r="A355" s="509"/>
      <c r="B355" s="886" t="s">
        <v>552</v>
      </c>
      <c r="C355" s="887" t="s">
        <v>289</v>
      </c>
      <c r="D355" s="887" t="s">
        <v>417</v>
      </c>
      <c r="E355" s="888">
        <v>2019.0</v>
      </c>
      <c r="F355" s="887" t="s">
        <v>291</v>
      </c>
      <c r="G355" s="887" t="s">
        <v>89</v>
      </c>
      <c r="H355" s="547">
        <v>2030405.111</v>
      </c>
      <c r="I355" s="547">
        <v>2239985.226</v>
      </c>
      <c r="J355" s="548">
        <v>1828818.992</v>
      </c>
      <c r="K355" s="220"/>
      <c r="CE355" s="525"/>
    </row>
    <row r="356">
      <c r="A356" s="509"/>
      <c r="B356" s="889" t="s">
        <v>552</v>
      </c>
      <c r="C356" s="890" t="s">
        <v>289</v>
      </c>
      <c r="D356" s="890" t="s">
        <v>300</v>
      </c>
      <c r="E356" s="891">
        <v>2019.0</v>
      </c>
      <c r="F356" s="890" t="s">
        <v>291</v>
      </c>
      <c r="G356" s="890" t="s">
        <v>89</v>
      </c>
      <c r="H356" s="532">
        <v>6671334.12</v>
      </c>
      <c r="I356" s="532">
        <v>7359954.813</v>
      </c>
      <c r="J356" s="533">
        <v>6008979.428</v>
      </c>
      <c r="K356" s="220"/>
      <c r="CE356" s="525"/>
    </row>
    <row r="357">
      <c r="A357" s="509"/>
      <c r="B357" s="886" t="s">
        <v>552</v>
      </c>
      <c r="C357" s="887" t="s">
        <v>289</v>
      </c>
      <c r="D357" s="887" t="s">
        <v>429</v>
      </c>
      <c r="E357" s="888">
        <v>2019.0</v>
      </c>
      <c r="F357" s="887" t="s">
        <v>291</v>
      </c>
      <c r="G357" s="887" t="s">
        <v>89</v>
      </c>
      <c r="H357" s="547">
        <v>1681276.649</v>
      </c>
      <c r="I357" s="547">
        <v>1854757.579</v>
      </c>
      <c r="J357" s="548">
        <v>1514252.248</v>
      </c>
      <c r="K357" s="220"/>
      <c r="CE357" s="525"/>
    </row>
    <row r="358">
      <c r="A358" s="509"/>
      <c r="B358" s="889" t="s">
        <v>552</v>
      </c>
      <c r="C358" s="890" t="s">
        <v>289</v>
      </c>
      <c r="D358" s="890" t="s">
        <v>432</v>
      </c>
      <c r="E358" s="891">
        <v>2019.0</v>
      </c>
      <c r="F358" s="890" t="s">
        <v>291</v>
      </c>
      <c r="G358" s="890" t="s">
        <v>89</v>
      </c>
      <c r="H358" s="532">
        <v>575344.5859</v>
      </c>
      <c r="I358" s="532">
        <v>634732.1357</v>
      </c>
      <c r="J358" s="533">
        <v>518222.2503</v>
      </c>
      <c r="K358" s="220"/>
      <c r="CE358" s="525"/>
    </row>
    <row r="359">
      <c r="A359" s="509"/>
      <c r="B359" s="886" t="s">
        <v>552</v>
      </c>
      <c r="C359" s="887" t="s">
        <v>289</v>
      </c>
      <c r="D359" s="887" t="s">
        <v>435</v>
      </c>
      <c r="E359" s="888">
        <v>2019.0</v>
      </c>
      <c r="F359" s="887" t="s">
        <v>291</v>
      </c>
      <c r="G359" s="887" t="s">
        <v>89</v>
      </c>
      <c r="H359" s="547">
        <v>421249.3229</v>
      </c>
      <c r="I359" s="547">
        <v>464731.0306</v>
      </c>
      <c r="J359" s="548">
        <v>379426.1342</v>
      </c>
      <c r="K359" s="220"/>
      <c r="CE359" s="525"/>
    </row>
    <row r="360">
      <c r="A360" s="509"/>
      <c r="B360" s="889" t="s">
        <v>552</v>
      </c>
      <c r="C360" s="890" t="s">
        <v>289</v>
      </c>
      <c r="D360" s="890" t="s">
        <v>442</v>
      </c>
      <c r="E360" s="891">
        <v>2019.0</v>
      </c>
      <c r="F360" s="890" t="s">
        <v>291</v>
      </c>
      <c r="G360" s="890" t="s">
        <v>89</v>
      </c>
      <c r="H360" s="532">
        <v>287633.1163</v>
      </c>
      <c r="I360" s="532">
        <v>317322.8474</v>
      </c>
      <c r="J360" s="533">
        <v>259075.8381</v>
      </c>
      <c r="K360" s="220"/>
      <c r="CE360" s="525"/>
    </row>
    <row r="361">
      <c r="A361" s="509"/>
      <c r="B361" s="886" t="s">
        <v>552</v>
      </c>
      <c r="C361" s="887" t="s">
        <v>289</v>
      </c>
      <c r="D361" s="887" t="s">
        <v>445</v>
      </c>
      <c r="E361" s="888">
        <v>2019.0</v>
      </c>
      <c r="F361" s="887" t="s">
        <v>291</v>
      </c>
      <c r="G361" s="887" t="s">
        <v>89</v>
      </c>
      <c r="H361" s="547">
        <v>475121.6685</v>
      </c>
      <c r="I361" s="547">
        <v>524146.6454</v>
      </c>
      <c r="J361" s="548">
        <v>427921.2795</v>
      </c>
      <c r="K361" s="220"/>
      <c r="CE361" s="525"/>
    </row>
    <row r="362">
      <c r="A362" s="509"/>
      <c r="B362" s="889" t="s">
        <v>552</v>
      </c>
      <c r="C362" s="890" t="s">
        <v>289</v>
      </c>
      <c r="D362" s="890" t="s">
        <v>450</v>
      </c>
      <c r="E362" s="891">
        <v>2019.0</v>
      </c>
      <c r="F362" s="890" t="s">
        <v>291</v>
      </c>
      <c r="G362" s="890" t="s">
        <v>89</v>
      </c>
      <c r="H362" s="532">
        <v>187471.2234</v>
      </c>
      <c r="I362" s="532">
        <v>206822.16</v>
      </c>
      <c r="J362" s="533">
        <v>168858.3879</v>
      </c>
      <c r="K362" s="220"/>
      <c r="CE362" s="525"/>
    </row>
    <row r="363">
      <c r="A363" s="509"/>
      <c r="B363" s="886" t="s">
        <v>552</v>
      </c>
      <c r="C363" s="887" t="s">
        <v>289</v>
      </c>
      <c r="D363" s="887" t="s">
        <v>457</v>
      </c>
      <c r="E363" s="888">
        <v>2019.0</v>
      </c>
      <c r="F363" s="887" t="s">
        <v>291</v>
      </c>
      <c r="G363" s="887" t="s">
        <v>89</v>
      </c>
      <c r="H363" s="547">
        <v>396988.3035</v>
      </c>
      <c r="I363" s="547">
        <v>437965.7685</v>
      </c>
      <c r="J363" s="548">
        <v>357573.8384</v>
      </c>
      <c r="K363" s="220"/>
      <c r="CE363" s="525"/>
    </row>
    <row r="364">
      <c r="A364" s="509"/>
      <c r="B364" s="889" t="s">
        <v>552</v>
      </c>
      <c r="C364" s="890" t="s">
        <v>289</v>
      </c>
      <c r="D364" s="890" t="s">
        <v>463</v>
      </c>
      <c r="E364" s="891">
        <v>2019.0</v>
      </c>
      <c r="F364" s="890" t="s">
        <v>291</v>
      </c>
      <c r="G364" s="890" t="s">
        <v>89</v>
      </c>
      <c r="H364" s="532">
        <v>209524.7219</v>
      </c>
      <c r="I364" s="532">
        <v>231144.3308</v>
      </c>
      <c r="J364" s="533">
        <v>188709.7412</v>
      </c>
      <c r="K364" s="220"/>
      <c r="CE364" s="525"/>
    </row>
    <row r="365">
      <c r="A365" s="509"/>
      <c r="B365" s="886" t="s">
        <v>552</v>
      </c>
      <c r="C365" s="887" t="s">
        <v>289</v>
      </c>
      <c r="D365" s="887" t="s">
        <v>467</v>
      </c>
      <c r="E365" s="888">
        <v>2019.0</v>
      </c>
      <c r="F365" s="887" t="s">
        <v>291</v>
      </c>
      <c r="G365" s="887" t="s">
        <v>89</v>
      </c>
      <c r="H365" s="547">
        <v>113675.0223</v>
      </c>
      <c r="I365" s="547">
        <v>125408.6532</v>
      </c>
      <c r="J365" s="548">
        <v>102388.9462</v>
      </c>
      <c r="K365" s="220"/>
      <c r="CE365" s="525"/>
    </row>
    <row r="366">
      <c r="A366" s="509"/>
      <c r="B366" s="889" t="s">
        <v>552</v>
      </c>
      <c r="C366" s="890" t="s">
        <v>289</v>
      </c>
      <c r="D366" s="890" t="s">
        <v>473</v>
      </c>
      <c r="E366" s="891">
        <v>2019.0</v>
      </c>
      <c r="F366" s="890" t="s">
        <v>291</v>
      </c>
      <c r="G366" s="890" t="s">
        <v>89</v>
      </c>
      <c r="H366" s="532">
        <v>173353.0755</v>
      </c>
      <c r="I366" s="532">
        <v>191240.3475</v>
      </c>
      <c r="J366" s="533">
        <v>156131.5233</v>
      </c>
      <c r="K366" s="220"/>
      <c r="CE366" s="525"/>
    </row>
    <row r="367">
      <c r="A367" s="509"/>
      <c r="B367" s="886" t="s">
        <v>552</v>
      </c>
      <c r="C367" s="887" t="s">
        <v>289</v>
      </c>
      <c r="D367" s="887" t="s">
        <v>477</v>
      </c>
      <c r="E367" s="888">
        <v>2019.0</v>
      </c>
      <c r="F367" s="887" t="s">
        <v>291</v>
      </c>
      <c r="G367" s="887" t="s">
        <v>89</v>
      </c>
      <c r="H367" s="547">
        <v>95842.05782</v>
      </c>
      <c r="I367" s="547">
        <v>105734.9553</v>
      </c>
      <c r="J367" s="548">
        <v>86326.50431</v>
      </c>
      <c r="K367" s="220"/>
      <c r="CE367" s="525"/>
    </row>
    <row r="368">
      <c r="A368" s="509"/>
      <c r="B368" s="889" t="s">
        <v>552</v>
      </c>
      <c r="C368" s="890" t="s">
        <v>289</v>
      </c>
      <c r="D368" s="890" t="s">
        <v>483</v>
      </c>
      <c r="E368" s="891">
        <v>2019.0</v>
      </c>
      <c r="F368" s="890" t="s">
        <v>291</v>
      </c>
      <c r="G368" s="890" t="s">
        <v>89</v>
      </c>
      <c r="H368" s="532">
        <v>59671.73062</v>
      </c>
      <c r="I368" s="532">
        <v>65831.09661</v>
      </c>
      <c r="J368" s="533">
        <v>53747.3008</v>
      </c>
      <c r="K368" s="220"/>
      <c r="CE368" s="525"/>
    </row>
    <row r="369">
      <c r="A369" s="509"/>
      <c r="B369" s="886" t="s">
        <v>552</v>
      </c>
      <c r="C369" s="887" t="s">
        <v>289</v>
      </c>
      <c r="D369" s="887" t="s">
        <v>489</v>
      </c>
      <c r="E369" s="888">
        <v>2019.0</v>
      </c>
      <c r="F369" s="887" t="s">
        <v>291</v>
      </c>
      <c r="G369" s="887" t="s">
        <v>89</v>
      </c>
      <c r="H369" s="547">
        <v>36171.64646</v>
      </c>
      <c r="I369" s="547">
        <v>39903.98336</v>
      </c>
      <c r="J369" s="548">
        <v>32578.21788</v>
      </c>
      <c r="K369" s="220"/>
      <c r="CE369" s="525"/>
    </row>
    <row r="370">
      <c r="A370" s="509"/>
      <c r="B370" s="889" t="s">
        <v>552</v>
      </c>
      <c r="C370" s="890" t="s">
        <v>289</v>
      </c>
      <c r="D370" s="890" t="s">
        <v>493</v>
      </c>
      <c r="E370" s="891">
        <v>2019.0</v>
      </c>
      <c r="F370" s="890" t="s">
        <v>291</v>
      </c>
      <c r="G370" s="890" t="s">
        <v>89</v>
      </c>
      <c r="H370" s="532">
        <v>26384.13331</v>
      </c>
      <c r="I370" s="532">
        <v>29107.52564</v>
      </c>
      <c r="J370" s="533">
        <v>23764.6191</v>
      </c>
      <c r="K370" s="220"/>
      <c r="CE370" s="525"/>
    </row>
    <row r="371">
      <c r="A371" s="509"/>
      <c r="B371" s="886" t="s">
        <v>552</v>
      </c>
      <c r="C371" s="887" t="s">
        <v>289</v>
      </c>
      <c r="D371" s="887" t="s">
        <v>496</v>
      </c>
      <c r="E371" s="888">
        <v>2019.0</v>
      </c>
      <c r="F371" s="887" t="s">
        <v>291</v>
      </c>
      <c r="G371" s="887" t="s">
        <v>89</v>
      </c>
      <c r="H371" s="547">
        <v>8069.200703</v>
      </c>
      <c r="I371" s="547">
        <v>8902.110355</v>
      </c>
      <c r="J371" s="548">
        <v>7268.060653</v>
      </c>
      <c r="K371" s="220"/>
      <c r="CE371" s="525"/>
    </row>
    <row r="372">
      <c r="A372" s="509"/>
      <c r="B372" s="889" t="s">
        <v>552</v>
      </c>
      <c r="C372" s="890" t="s">
        <v>289</v>
      </c>
      <c r="D372" s="890" t="s">
        <v>502</v>
      </c>
      <c r="E372" s="891">
        <v>2019.0</v>
      </c>
      <c r="F372" s="890" t="s">
        <v>291</v>
      </c>
      <c r="G372" s="890" t="s">
        <v>89</v>
      </c>
      <c r="H372" s="532">
        <v>1716.993185</v>
      </c>
      <c r="I372" s="532">
        <v>1894.222659</v>
      </c>
      <c r="J372" s="533">
        <v>1546.52376</v>
      </c>
      <c r="K372" s="220"/>
      <c r="CE372" s="525"/>
    </row>
    <row r="373">
      <c r="A373" s="509"/>
      <c r="B373" s="886" t="s">
        <v>552</v>
      </c>
      <c r="C373" s="887" t="s">
        <v>289</v>
      </c>
      <c r="D373" s="887" t="s">
        <v>332</v>
      </c>
      <c r="E373" s="888">
        <v>2019.0</v>
      </c>
      <c r="F373" s="887" t="s">
        <v>291</v>
      </c>
      <c r="G373" s="887" t="s">
        <v>89</v>
      </c>
      <c r="H373" s="547">
        <v>2.61715316E7</v>
      </c>
      <c r="I373" s="547">
        <v>2.8872979E7</v>
      </c>
      <c r="J373" s="548">
        <v>2.357312528E7</v>
      </c>
      <c r="K373" s="220"/>
      <c r="CE373" s="525"/>
    </row>
    <row r="374">
      <c r="A374" s="509"/>
      <c r="B374" s="889" t="s">
        <v>552</v>
      </c>
      <c r="C374" s="890" t="s">
        <v>289</v>
      </c>
      <c r="D374" s="890" t="s">
        <v>510</v>
      </c>
      <c r="E374" s="891">
        <v>2019.0</v>
      </c>
      <c r="F374" s="890" t="s">
        <v>291</v>
      </c>
      <c r="G374" s="890" t="s">
        <v>89</v>
      </c>
      <c r="H374" s="532">
        <v>892344.3311</v>
      </c>
      <c r="I374" s="532">
        <v>981641.8433</v>
      </c>
      <c r="J374" s="533">
        <v>813083.3819</v>
      </c>
      <c r="K374" s="220"/>
      <c r="CE374" s="525"/>
    </row>
    <row r="375">
      <c r="A375" s="509"/>
      <c r="B375" s="886" t="s">
        <v>552</v>
      </c>
      <c r="C375" s="887" t="s">
        <v>289</v>
      </c>
      <c r="D375" s="887" t="s">
        <v>512</v>
      </c>
      <c r="E375" s="888">
        <v>2019.0</v>
      </c>
      <c r="F375" s="887" t="s">
        <v>291</v>
      </c>
      <c r="G375" s="887" t="s">
        <v>89</v>
      </c>
      <c r="H375" s="547">
        <v>16785.83148</v>
      </c>
      <c r="I375" s="547">
        <v>18518.47906</v>
      </c>
      <c r="J375" s="548">
        <v>15119.27213</v>
      </c>
      <c r="K375" s="220"/>
      <c r="CE375" s="525"/>
    </row>
    <row r="376">
      <c r="A376" s="509"/>
      <c r="B376" s="889" t="s">
        <v>552</v>
      </c>
      <c r="C376" s="890" t="s">
        <v>289</v>
      </c>
      <c r="D376" s="890" t="s">
        <v>515</v>
      </c>
      <c r="E376" s="891">
        <v>2019.0</v>
      </c>
      <c r="F376" s="890" t="s">
        <v>291</v>
      </c>
      <c r="G376" s="890" t="s">
        <v>89</v>
      </c>
      <c r="H376" s="532">
        <v>49458.32404</v>
      </c>
      <c r="I376" s="532">
        <v>54563.45365</v>
      </c>
      <c r="J376" s="533">
        <v>44547.91895</v>
      </c>
      <c r="K376" s="220"/>
      <c r="CE376" s="525"/>
    </row>
    <row r="377">
      <c r="A377" s="509"/>
      <c r="B377" s="886" t="s">
        <v>552</v>
      </c>
      <c r="C377" s="887" t="s">
        <v>289</v>
      </c>
      <c r="D377" s="887" t="s">
        <v>518</v>
      </c>
      <c r="E377" s="888">
        <v>2019.0</v>
      </c>
      <c r="F377" s="887" t="s">
        <v>291</v>
      </c>
      <c r="G377" s="887" t="s">
        <v>89</v>
      </c>
      <c r="H377" s="547">
        <v>66244.15552</v>
      </c>
      <c r="I377" s="547">
        <v>73081.93271</v>
      </c>
      <c r="J377" s="548">
        <v>59667.19108</v>
      </c>
      <c r="K377" s="220"/>
      <c r="CE377" s="525"/>
    </row>
    <row r="378">
      <c r="A378" s="509"/>
      <c r="B378" s="889" t="s">
        <v>552</v>
      </c>
      <c r="C378" s="890" t="s">
        <v>289</v>
      </c>
      <c r="D378" s="890" t="s">
        <v>522</v>
      </c>
      <c r="E378" s="891">
        <v>2019.0</v>
      </c>
      <c r="F378" s="890" t="s">
        <v>291</v>
      </c>
      <c r="G378" s="890" t="s">
        <v>89</v>
      </c>
      <c r="H378" s="532">
        <v>779804.0853</v>
      </c>
      <c r="I378" s="532">
        <v>860296.1158</v>
      </c>
      <c r="J378" s="533">
        <v>702382.2554</v>
      </c>
      <c r="K378" s="220"/>
      <c r="CE378" s="525"/>
    </row>
    <row r="379">
      <c r="A379" s="509"/>
      <c r="B379" s="886" t="s">
        <v>552</v>
      </c>
      <c r="C379" s="887" t="s">
        <v>289</v>
      </c>
      <c r="D379" s="887" t="s">
        <v>302</v>
      </c>
      <c r="E379" s="888">
        <v>2019.0</v>
      </c>
      <c r="F379" s="887" t="s">
        <v>291</v>
      </c>
      <c r="G379" s="887" t="s">
        <v>89</v>
      </c>
      <c r="H379" s="547">
        <v>4011998.522</v>
      </c>
      <c r="I379" s="547">
        <v>4426120.368</v>
      </c>
      <c r="J379" s="548">
        <v>3613672.49</v>
      </c>
      <c r="K379" s="220"/>
      <c r="CE379" s="525"/>
    </row>
    <row r="380">
      <c r="A380" s="509"/>
      <c r="B380" s="889" t="s">
        <v>351</v>
      </c>
      <c r="C380" s="890" t="s">
        <v>289</v>
      </c>
      <c r="D380" s="890" t="s">
        <v>290</v>
      </c>
      <c r="E380" s="891">
        <v>2019.0</v>
      </c>
      <c r="F380" s="890" t="s">
        <v>291</v>
      </c>
      <c r="G380" s="890" t="s">
        <v>89</v>
      </c>
      <c r="H380" s="532">
        <v>10593.50739</v>
      </c>
      <c r="I380" s="532">
        <v>11882.65261</v>
      </c>
      <c r="J380" s="533">
        <v>9296.250034</v>
      </c>
      <c r="K380" s="220"/>
      <c r="CE380" s="525"/>
    </row>
    <row r="381">
      <c r="A381" s="509"/>
      <c r="B381" s="886" t="s">
        <v>351</v>
      </c>
      <c r="C381" s="887" t="s">
        <v>289</v>
      </c>
      <c r="D381" s="887" t="s">
        <v>310</v>
      </c>
      <c r="E381" s="888">
        <v>2019.0</v>
      </c>
      <c r="F381" s="887" t="s">
        <v>291</v>
      </c>
      <c r="G381" s="887" t="s">
        <v>89</v>
      </c>
      <c r="H381" s="547">
        <v>209039.8442</v>
      </c>
      <c r="I381" s="547">
        <v>234478.3233</v>
      </c>
      <c r="J381" s="548">
        <v>183441.2897</v>
      </c>
      <c r="K381" s="220"/>
      <c r="CE381" s="525"/>
    </row>
    <row r="382">
      <c r="A382" s="509"/>
      <c r="B382" s="889" t="s">
        <v>351</v>
      </c>
      <c r="C382" s="890" t="s">
        <v>289</v>
      </c>
      <c r="D382" s="890" t="s">
        <v>318</v>
      </c>
      <c r="E382" s="891">
        <v>2019.0</v>
      </c>
      <c r="F382" s="890" t="s">
        <v>291</v>
      </c>
      <c r="G382" s="890" t="s">
        <v>89</v>
      </c>
      <c r="H382" s="532">
        <v>158984.0677</v>
      </c>
      <c r="I382" s="532">
        <v>178331.1587</v>
      </c>
      <c r="J382" s="533">
        <v>139515.2323</v>
      </c>
      <c r="K382" s="220"/>
      <c r="CE382" s="525"/>
    </row>
    <row r="383">
      <c r="A383" s="509"/>
      <c r="B383" s="886" t="s">
        <v>351</v>
      </c>
      <c r="C383" s="887" t="s">
        <v>289</v>
      </c>
      <c r="D383" s="887" t="s">
        <v>309</v>
      </c>
      <c r="E383" s="888">
        <v>2019.0</v>
      </c>
      <c r="F383" s="887" t="s">
        <v>291</v>
      </c>
      <c r="G383" s="887" t="s">
        <v>89</v>
      </c>
      <c r="H383" s="547">
        <v>42558.99622</v>
      </c>
      <c r="I383" s="547">
        <v>47738.08607</v>
      </c>
      <c r="J383" s="548">
        <v>37347.31618</v>
      </c>
      <c r="K383" s="220"/>
      <c r="CE383" s="525"/>
    </row>
    <row r="384">
      <c r="A384" s="509"/>
      <c r="B384" s="889" t="s">
        <v>351</v>
      </c>
      <c r="C384" s="890" t="s">
        <v>289</v>
      </c>
      <c r="D384" s="890" t="s">
        <v>334</v>
      </c>
      <c r="E384" s="891">
        <v>2019.0</v>
      </c>
      <c r="F384" s="890" t="s">
        <v>291</v>
      </c>
      <c r="G384" s="890" t="s">
        <v>89</v>
      </c>
      <c r="H384" s="532">
        <v>52432.69726</v>
      </c>
      <c r="I384" s="532">
        <v>58813.33765</v>
      </c>
      <c r="J384" s="533">
        <v>46011.90576</v>
      </c>
      <c r="K384" s="220"/>
      <c r="CE384" s="525"/>
    </row>
    <row r="385">
      <c r="A385" s="509"/>
      <c r="B385" s="886" t="s">
        <v>351</v>
      </c>
      <c r="C385" s="887" t="s">
        <v>289</v>
      </c>
      <c r="D385" s="887" t="s">
        <v>339</v>
      </c>
      <c r="E385" s="888">
        <v>2019.0</v>
      </c>
      <c r="F385" s="887" t="s">
        <v>291</v>
      </c>
      <c r="G385" s="887" t="s">
        <v>89</v>
      </c>
      <c r="H385" s="547">
        <v>102488.4738</v>
      </c>
      <c r="I385" s="547">
        <v>114960.5023</v>
      </c>
      <c r="J385" s="548">
        <v>89937.96318</v>
      </c>
      <c r="K385" s="220"/>
      <c r="CE385" s="525"/>
    </row>
    <row r="386">
      <c r="A386" s="509"/>
      <c r="B386" s="889" t="s">
        <v>351</v>
      </c>
      <c r="C386" s="890" t="s">
        <v>289</v>
      </c>
      <c r="D386" s="890" t="s">
        <v>344</v>
      </c>
      <c r="E386" s="891">
        <v>2019.0</v>
      </c>
      <c r="F386" s="890" t="s">
        <v>291</v>
      </c>
      <c r="G386" s="890" t="s">
        <v>89</v>
      </c>
      <c r="H386" s="532">
        <v>153834.3223</v>
      </c>
      <c r="I386" s="532">
        <v>172554.7304</v>
      </c>
      <c r="J386" s="533">
        <v>134996.1133</v>
      </c>
      <c r="K386" s="220"/>
      <c r="CE386" s="525"/>
    </row>
    <row r="387">
      <c r="A387" s="509"/>
      <c r="B387" s="886" t="s">
        <v>351</v>
      </c>
      <c r="C387" s="887" t="s">
        <v>289</v>
      </c>
      <c r="D387" s="887" t="s">
        <v>349</v>
      </c>
      <c r="E387" s="888">
        <v>2019.0</v>
      </c>
      <c r="F387" s="887" t="s">
        <v>291</v>
      </c>
      <c r="G387" s="887" t="s">
        <v>89</v>
      </c>
      <c r="H387" s="547">
        <v>50055.7765</v>
      </c>
      <c r="I387" s="547">
        <v>56147.16462</v>
      </c>
      <c r="J387" s="548">
        <v>43926.05742</v>
      </c>
      <c r="K387" s="220"/>
      <c r="CE387" s="525"/>
    </row>
    <row r="388">
      <c r="A388" s="509"/>
      <c r="B388" s="889" t="s">
        <v>351</v>
      </c>
      <c r="C388" s="890" t="s">
        <v>289</v>
      </c>
      <c r="D388" s="890" t="s">
        <v>355</v>
      </c>
      <c r="E388" s="891">
        <v>2019.0</v>
      </c>
      <c r="F388" s="890" t="s">
        <v>291</v>
      </c>
      <c r="G388" s="890" t="s">
        <v>89</v>
      </c>
      <c r="H388" s="532">
        <v>248740.1146</v>
      </c>
      <c r="I388" s="532">
        <v>279029.0495</v>
      </c>
      <c r="J388" s="533">
        <v>218272.2568</v>
      </c>
      <c r="K388" s="220"/>
      <c r="CE388" s="525"/>
    </row>
    <row r="389">
      <c r="A389" s="509"/>
      <c r="B389" s="886" t="s">
        <v>351</v>
      </c>
      <c r="C389" s="887" t="s">
        <v>289</v>
      </c>
      <c r="D389" s="887" t="s">
        <v>358</v>
      </c>
      <c r="E389" s="888">
        <v>2019.0</v>
      </c>
      <c r="F389" s="887" t="s">
        <v>291</v>
      </c>
      <c r="G389" s="887" t="s">
        <v>89</v>
      </c>
      <c r="H389" s="547">
        <v>307770.9897</v>
      </c>
      <c r="I389" s="547">
        <v>345224.2605</v>
      </c>
      <c r="J389" s="548">
        <v>270082.0387</v>
      </c>
      <c r="K389" s="220"/>
      <c r="CE389" s="525"/>
    </row>
    <row r="390">
      <c r="A390" s="509"/>
      <c r="B390" s="889" t="s">
        <v>351</v>
      </c>
      <c r="C390" s="890" t="s">
        <v>289</v>
      </c>
      <c r="D390" s="890" t="s">
        <v>362</v>
      </c>
      <c r="E390" s="891">
        <v>2019.0</v>
      </c>
      <c r="F390" s="890" t="s">
        <v>291</v>
      </c>
      <c r="G390" s="890" t="s">
        <v>89</v>
      </c>
      <c r="H390" s="532">
        <v>354530.2659</v>
      </c>
      <c r="I390" s="532">
        <v>397701.2042</v>
      </c>
      <c r="J390" s="533">
        <v>311104.3081</v>
      </c>
      <c r="K390" s="220"/>
      <c r="CE390" s="525"/>
    </row>
    <row r="391">
      <c r="A391" s="509"/>
      <c r="B391" s="886" t="s">
        <v>351</v>
      </c>
      <c r="C391" s="887" t="s">
        <v>289</v>
      </c>
      <c r="D391" s="887" t="s">
        <v>366</v>
      </c>
      <c r="E391" s="888">
        <v>2019.0</v>
      </c>
      <c r="F391" s="887" t="s">
        <v>291</v>
      </c>
      <c r="G391" s="887" t="s">
        <v>89</v>
      </c>
      <c r="H391" s="547">
        <v>51345.84852</v>
      </c>
      <c r="I391" s="547">
        <v>57594.2281</v>
      </c>
      <c r="J391" s="548">
        <v>45058.1501</v>
      </c>
      <c r="K391" s="220"/>
      <c r="CE391" s="525"/>
    </row>
    <row r="392">
      <c r="A392" s="509"/>
      <c r="B392" s="889" t="s">
        <v>351</v>
      </c>
      <c r="C392" s="890" t="s">
        <v>289</v>
      </c>
      <c r="D392" s="890" t="s">
        <v>368</v>
      </c>
      <c r="E392" s="891">
        <v>2019.0</v>
      </c>
      <c r="F392" s="890" t="s">
        <v>291</v>
      </c>
      <c r="G392" s="890" t="s">
        <v>89</v>
      </c>
      <c r="H392" s="532">
        <v>303177.3947</v>
      </c>
      <c r="I392" s="532">
        <v>340071.6616</v>
      </c>
      <c r="J392" s="533">
        <v>266050.9651</v>
      </c>
      <c r="K392" s="220"/>
      <c r="CE392" s="525"/>
    </row>
    <row r="393">
      <c r="A393" s="509"/>
      <c r="B393" s="886" t="s">
        <v>351</v>
      </c>
      <c r="C393" s="887" t="s">
        <v>289</v>
      </c>
      <c r="D393" s="887" t="s">
        <v>373</v>
      </c>
      <c r="E393" s="888">
        <v>2019.0</v>
      </c>
      <c r="F393" s="887" t="s">
        <v>291</v>
      </c>
      <c r="G393" s="887" t="s">
        <v>89</v>
      </c>
      <c r="H393" s="547">
        <v>52690.86943</v>
      </c>
      <c r="I393" s="547">
        <v>59102.9273</v>
      </c>
      <c r="J393" s="548">
        <v>46238.46273</v>
      </c>
      <c r="K393" s="220"/>
      <c r="CE393" s="525"/>
    </row>
    <row r="394">
      <c r="A394" s="509"/>
      <c r="B394" s="889" t="s">
        <v>351</v>
      </c>
      <c r="C394" s="890" t="s">
        <v>289</v>
      </c>
      <c r="D394" s="890" t="s">
        <v>379</v>
      </c>
      <c r="E394" s="891">
        <v>2019.0</v>
      </c>
      <c r="F394" s="890" t="s">
        <v>291</v>
      </c>
      <c r="G394" s="890" t="s">
        <v>89</v>
      </c>
      <c r="H394" s="532">
        <v>206373.4526</v>
      </c>
      <c r="I394" s="532">
        <v>231503.4245</v>
      </c>
      <c r="J394" s="533">
        <v>181095.033</v>
      </c>
      <c r="K394" s="220"/>
      <c r="CE394" s="525"/>
    </row>
    <row r="395">
      <c r="A395" s="509"/>
      <c r="B395" s="886" t="s">
        <v>351</v>
      </c>
      <c r="C395" s="887" t="s">
        <v>289</v>
      </c>
      <c r="D395" s="887" t="s">
        <v>382</v>
      </c>
      <c r="E395" s="888">
        <v>2019.0</v>
      </c>
      <c r="F395" s="887" t="s">
        <v>291</v>
      </c>
      <c r="G395" s="887" t="s">
        <v>89</v>
      </c>
      <c r="H395" s="547">
        <v>52140.74553</v>
      </c>
      <c r="I395" s="547">
        <v>58485.85773</v>
      </c>
      <c r="J395" s="548">
        <v>45755.70578</v>
      </c>
      <c r="K395" s="220"/>
      <c r="CE395" s="525"/>
    </row>
    <row r="396">
      <c r="A396" s="509"/>
      <c r="B396" s="889" t="s">
        <v>351</v>
      </c>
      <c r="C396" s="890" t="s">
        <v>289</v>
      </c>
      <c r="D396" s="890" t="s">
        <v>387</v>
      </c>
      <c r="E396" s="891">
        <v>2019.0</v>
      </c>
      <c r="F396" s="890" t="s">
        <v>291</v>
      </c>
      <c r="G396" s="890" t="s">
        <v>89</v>
      </c>
      <c r="H396" s="532">
        <v>42501.94744</v>
      </c>
      <c r="I396" s="532">
        <v>47674.09491</v>
      </c>
      <c r="J396" s="533">
        <v>37297.25347</v>
      </c>
      <c r="K396" s="220"/>
      <c r="CE396" s="525"/>
    </row>
    <row r="397">
      <c r="A397" s="509"/>
      <c r="B397" s="886" t="s">
        <v>351</v>
      </c>
      <c r="C397" s="887" t="s">
        <v>289</v>
      </c>
      <c r="D397" s="887" t="s">
        <v>392</v>
      </c>
      <c r="E397" s="888">
        <v>2019.0</v>
      </c>
      <c r="F397" s="887" t="s">
        <v>291</v>
      </c>
      <c r="G397" s="887" t="s">
        <v>89</v>
      </c>
      <c r="H397" s="547">
        <v>31869.68043</v>
      </c>
      <c r="I397" s="547">
        <v>35747.96594</v>
      </c>
      <c r="J397" s="548">
        <v>27966.99024</v>
      </c>
      <c r="K397" s="220"/>
      <c r="CE397" s="525"/>
    </row>
    <row r="398">
      <c r="A398" s="509"/>
      <c r="B398" s="889" t="s">
        <v>351</v>
      </c>
      <c r="C398" s="890" t="s">
        <v>289</v>
      </c>
      <c r="D398" s="890" t="s">
        <v>398</v>
      </c>
      <c r="E398" s="891">
        <v>2019.0</v>
      </c>
      <c r="F398" s="890" t="s">
        <v>291</v>
      </c>
      <c r="G398" s="890" t="s">
        <v>89</v>
      </c>
      <c r="H398" s="532">
        <v>27166.12186</v>
      </c>
      <c r="I398" s="532">
        <v>30472.02187</v>
      </c>
      <c r="J398" s="533">
        <v>23839.41899</v>
      </c>
      <c r="K398" s="220"/>
      <c r="CE398" s="525"/>
    </row>
    <row r="399">
      <c r="A399" s="509"/>
      <c r="B399" s="886" t="s">
        <v>351</v>
      </c>
      <c r="C399" s="887" t="s">
        <v>289</v>
      </c>
      <c r="D399" s="887" t="s">
        <v>402</v>
      </c>
      <c r="E399" s="888">
        <v>2019.0</v>
      </c>
      <c r="F399" s="887" t="s">
        <v>291</v>
      </c>
      <c r="G399" s="887" t="s">
        <v>89</v>
      </c>
      <c r="H399" s="547">
        <v>155890.4286</v>
      </c>
      <c r="I399" s="547">
        <v>174873.1127</v>
      </c>
      <c r="J399" s="548">
        <v>136795.6098</v>
      </c>
      <c r="K399" s="220"/>
      <c r="CE399" s="525"/>
    </row>
    <row r="400">
      <c r="A400" s="509"/>
      <c r="B400" s="889" t="s">
        <v>351</v>
      </c>
      <c r="C400" s="890" t="s">
        <v>289</v>
      </c>
      <c r="D400" s="890" t="s">
        <v>407</v>
      </c>
      <c r="E400" s="891">
        <v>2019.0</v>
      </c>
      <c r="F400" s="890" t="s">
        <v>291</v>
      </c>
      <c r="G400" s="890" t="s">
        <v>89</v>
      </c>
      <c r="H400" s="532">
        <v>53398.86682</v>
      </c>
      <c r="I400" s="532">
        <v>59897.08233</v>
      </c>
      <c r="J400" s="533">
        <v>46859.76034</v>
      </c>
      <c r="K400" s="220"/>
      <c r="CE400" s="525"/>
    </row>
    <row r="401">
      <c r="A401" s="509"/>
      <c r="B401" s="886" t="s">
        <v>351</v>
      </c>
      <c r="C401" s="887" t="s">
        <v>289</v>
      </c>
      <c r="D401" s="887" t="s">
        <v>414</v>
      </c>
      <c r="E401" s="888">
        <v>2019.0</v>
      </c>
      <c r="F401" s="887" t="s">
        <v>291</v>
      </c>
      <c r="G401" s="887" t="s">
        <v>89</v>
      </c>
      <c r="H401" s="547">
        <v>25185.85519</v>
      </c>
      <c r="I401" s="547">
        <v>28250.77256</v>
      </c>
      <c r="J401" s="548">
        <v>22101.65137</v>
      </c>
      <c r="K401" s="220"/>
      <c r="CE401" s="525"/>
    </row>
    <row r="402">
      <c r="A402" s="509"/>
      <c r="B402" s="889" t="s">
        <v>351</v>
      </c>
      <c r="C402" s="890" t="s">
        <v>289</v>
      </c>
      <c r="D402" s="890" t="s">
        <v>417</v>
      </c>
      <c r="E402" s="891">
        <v>2019.0</v>
      </c>
      <c r="F402" s="890" t="s">
        <v>291</v>
      </c>
      <c r="G402" s="890" t="s">
        <v>89</v>
      </c>
      <c r="H402" s="532">
        <v>75858.38361</v>
      </c>
      <c r="I402" s="532">
        <v>85089.74289</v>
      </c>
      <c r="J402" s="533">
        <v>66568.93465</v>
      </c>
      <c r="K402" s="220"/>
      <c r="CE402" s="525"/>
    </row>
    <row r="403">
      <c r="A403" s="509"/>
      <c r="B403" s="886" t="s">
        <v>351</v>
      </c>
      <c r="C403" s="887" t="s">
        <v>289</v>
      </c>
      <c r="D403" s="887" t="s">
        <v>300</v>
      </c>
      <c r="E403" s="888">
        <v>2019.0</v>
      </c>
      <c r="F403" s="887" t="s">
        <v>291</v>
      </c>
      <c r="G403" s="887" t="s">
        <v>89</v>
      </c>
      <c r="H403" s="547">
        <v>105831.5641</v>
      </c>
      <c r="I403" s="547">
        <v>118710.42</v>
      </c>
      <c r="J403" s="548">
        <v>92871.6661</v>
      </c>
      <c r="K403" s="220"/>
      <c r="CE403" s="525"/>
    </row>
    <row r="404">
      <c r="A404" s="509"/>
      <c r="B404" s="889" t="s">
        <v>351</v>
      </c>
      <c r="C404" s="890" t="s">
        <v>289</v>
      </c>
      <c r="D404" s="890" t="s">
        <v>429</v>
      </c>
      <c r="E404" s="891">
        <v>2019.0</v>
      </c>
      <c r="F404" s="890" t="s">
        <v>291</v>
      </c>
      <c r="G404" s="890" t="s">
        <v>89</v>
      </c>
      <c r="H404" s="532">
        <v>71623.59356</v>
      </c>
      <c r="I404" s="532">
        <v>80345.15568</v>
      </c>
      <c r="J404" s="533">
        <v>62850.51139</v>
      </c>
      <c r="K404" s="220"/>
      <c r="CE404" s="525"/>
    </row>
    <row r="405">
      <c r="A405" s="509"/>
      <c r="B405" s="886" t="s">
        <v>351</v>
      </c>
      <c r="C405" s="887" t="s">
        <v>289</v>
      </c>
      <c r="D405" s="887" t="s">
        <v>432</v>
      </c>
      <c r="E405" s="888">
        <v>2019.0</v>
      </c>
      <c r="F405" s="887" t="s">
        <v>291</v>
      </c>
      <c r="G405" s="887" t="s">
        <v>89</v>
      </c>
      <c r="H405" s="547">
        <v>21823.70445</v>
      </c>
      <c r="I405" s="547">
        <v>24479.47494</v>
      </c>
      <c r="J405" s="548">
        <v>19151.22213</v>
      </c>
      <c r="K405" s="220"/>
      <c r="CE405" s="525"/>
    </row>
    <row r="406">
      <c r="A406" s="509"/>
      <c r="B406" s="889" t="s">
        <v>351</v>
      </c>
      <c r="C406" s="890" t="s">
        <v>289</v>
      </c>
      <c r="D406" s="890" t="s">
        <v>435</v>
      </c>
      <c r="E406" s="891">
        <v>2019.0</v>
      </c>
      <c r="F406" s="890" t="s">
        <v>291</v>
      </c>
      <c r="G406" s="890" t="s">
        <v>89</v>
      </c>
      <c r="H406" s="532">
        <v>17548.33844</v>
      </c>
      <c r="I406" s="532">
        <v>19683.83104</v>
      </c>
      <c r="J406" s="533">
        <v>15399.40794</v>
      </c>
      <c r="K406" s="220"/>
      <c r="CE406" s="525"/>
    </row>
    <row r="407">
      <c r="A407" s="509"/>
      <c r="B407" s="886" t="s">
        <v>351</v>
      </c>
      <c r="C407" s="887" t="s">
        <v>289</v>
      </c>
      <c r="D407" s="887" t="s">
        <v>442</v>
      </c>
      <c r="E407" s="888">
        <v>2019.0</v>
      </c>
      <c r="F407" s="887" t="s">
        <v>291</v>
      </c>
      <c r="G407" s="887" t="s">
        <v>89</v>
      </c>
      <c r="H407" s="547">
        <v>11300.48554</v>
      </c>
      <c r="I407" s="547">
        <v>12675.66435</v>
      </c>
      <c r="J407" s="548">
        <v>9916.653208</v>
      </c>
      <c r="K407" s="220"/>
      <c r="CE407" s="525"/>
    </row>
    <row r="408">
      <c r="A408" s="509"/>
      <c r="B408" s="889" t="s">
        <v>351</v>
      </c>
      <c r="C408" s="890" t="s">
        <v>289</v>
      </c>
      <c r="D408" s="890" t="s">
        <v>445</v>
      </c>
      <c r="E408" s="891">
        <v>2019.0</v>
      </c>
      <c r="F408" s="890" t="s">
        <v>291</v>
      </c>
      <c r="G408" s="890" t="s">
        <v>89</v>
      </c>
      <c r="H408" s="532">
        <v>17899.52121</v>
      </c>
      <c r="I408" s="532">
        <v>20079.1352</v>
      </c>
      <c r="J408" s="533">
        <v>15707.0318</v>
      </c>
      <c r="K408" s="220"/>
      <c r="CE408" s="525"/>
    </row>
    <row r="409">
      <c r="A409" s="509"/>
      <c r="B409" s="886" t="s">
        <v>351</v>
      </c>
      <c r="C409" s="887" t="s">
        <v>289</v>
      </c>
      <c r="D409" s="887" t="s">
        <v>450</v>
      </c>
      <c r="E409" s="888">
        <v>2019.0</v>
      </c>
      <c r="F409" s="887" t="s">
        <v>291</v>
      </c>
      <c r="G409" s="887" t="s">
        <v>89</v>
      </c>
      <c r="H409" s="547">
        <v>6598.681112</v>
      </c>
      <c r="I409" s="547">
        <v>7401.687889</v>
      </c>
      <c r="J409" s="548">
        <v>5790.621298</v>
      </c>
      <c r="K409" s="220"/>
      <c r="CE409" s="525"/>
    </row>
    <row r="410">
      <c r="A410" s="509"/>
      <c r="B410" s="889" t="s">
        <v>351</v>
      </c>
      <c r="C410" s="890" t="s">
        <v>289</v>
      </c>
      <c r="D410" s="890" t="s">
        <v>457</v>
      </c>
      <c r="E410" s="891">
        <v>2019.0</v>
      </c>
      <c r="F410" s="890" t="s">
        <v>291</v>
      </c>
      <c r="G410" s="890" t="s">
        <v>89</v>
      </c>
      <c r="H410" s="532">
        <v>20949.64637</v>
      </c>
      <c r="I410" s="532">
        <v>23499.05098</v>
      </c>
      <c r="J410" s="533">
        <v>18384.19927</v>
      </c>
      <c r="K410" s="220"/>
      <c r="CE410" s="525"/>
    </row>
    <row r="411">
      <c r="A411" s="509"/>
      <c r="B411" s="886" t="s">
        <v>351</v>
      </c>
      <c r="C411" s="887" t="s">
        <v>289</v>
      </c>
      <c r="D411" s="887" t="s">
        <v>463</v>
      </c>
      <c r="E411" s="888">
        <v>2019.0</v>
      </c>
      <c r="F411" s="887" t="s">
        <v>291</v>
      </c>
      <c r="G411" s="887" t="s">
        <v>89</v>
      </c>
      <c r="H411" s="547">
        <v>14351.24954</v>
      </c>
      <c r="I411" s="547">
        <v>16098.79261</v>
      </c>
      <c r="J411" s="548">
        <v>12593.38338</v>
      </c>
      <c r="K411" s="220"/>
      <c r="CE411" s="525"/>
    </row>
    <row r="412">
      <c r="A412" s="509"/>
      <c r="B412" s="889" t="s">
        <v>351</v>
      </c>
      <c r="C412" s="890" t="s">
        <v>289</v>
      </c>
      <c r="D412" s="890" t="s">
        <v>467</v>
      </c>
      <c r="E412" s="891">
        <v>2019.0</v>
      </c>
      <c r="F412" s="890" t="s">
        <v>291</v>
      </c>
      <c r="G412" s="890" t="s">
        <v>89</v>
      </c>
      <c r="H412" s="532">
        <v>5045.348613</v>
      </c>
      <c r="I412" s="532">
        <v>5659.327234</v>
      </c>
      <c r="J412" s="533">
        <v>4427.506442</v>
      </c>
      <c r="K412" s="220"/>
      <c r="CE412" s="525"/>
    </row>
    <row r="413">
      <c r="A413" s="509"/>
      <c r="B413" s="886" t="s">
        <v>351</v>
      </c>
      <c r="C413" s="887" t="s">
        <v>289</v>
      </c>
      <c r="D413" s="887" t="s">
        <v>473</v>
      </c>
      <c r="E413" s="888">
        <v>2019.0</v>
      </c>
      <c r="F413" s="887" t="s">
        <v>291</v>
      </c>
      <c r="G413" s="887" t="s">
        <v>89</v>
      </c>
      <c r="H413" s="547">
        <v>10150.03327</v>
      </c>
      <c r="I413" s="547">
        <v>11385.99675</v>
      </c>
      <c r="J413" s="548">
        <v>8906.768706</v>
      </c>
      <c r="K413" s="220"/>
      <c r="CE413" s="525"/>
    </row>
    <row r="414">
      <c r="A414" s="509"/>
      <c r="B414" s="889" t="s">
        <v>351</v>
      </c>
      <c r="C414" s="890" t="s">
        <v>289</v>
      </c>
      <c r="D414" s="890" t="s">
        <v>477</v>
      </c>
      <c r="E414" s="891">
        <v>2019.0</v>
      </c>
      <c r="F414" s="890" t="s">
        <v>291</v>
      </c>
      <c r="G414" s="890" t="s">
        <v>89</v>
      </c>
      <c r="H414" s="532">
        <v>9305.616649</v>
      </c>
      <c r="I414" s="532">
        <v>10438.03586</v>
      </c>
      <c r="J414" s="533">
        <v>8166.071528</v>
      </c>
      <c r="K414" s="220"/>
      <c r="CE414" s="525"/>
    </row>
    <row r="415">
      <c r="A415" s="509"/>
      <c r="B415" s="886" t="s">
        <v>351</v>
      </c>
      <c r="C415" s="887" t="s">
        <v>289</v>
      </c>
      <c r="D415" s="887" t="s">
        <v>483</v>
      </c>
      <c r="E415" s="888">
        <v>2019.0</v>
      </c>
      <c r="F415" s="887" t="s">
        <v>291</v>
      </c>
      <c r="G415" s="887" t="s">
        <v>89</v>
      </c>
      <c r="H415" s="547">
        <v>5104.4836</v>
      </c>
      <c r="I415" s="547">
        <v>5725.658476</v>
      </c>
      <c r="J415" s="548">
        <v>4479.399889</v>
      </c>
      <c r="K415" s="220"/>
      <c r="CE415" s="525"/>
    </row>
    <row r="416">
      <c r="A416" s="509"/>
      <c r="B416" s="889" t="s">
        <v>351</v>
      </c>
      <c r="C416" s="890" t="s">
        <v>289</v>
      </c>
      <c r="D416" s="890" t="s">
        <v>489</v>
      </c>
      <c r="E416" s="891">
        <v>2019.0</v>
      </c>
      <c r="F416" s="890" t="s">
        <v>291</v>
      </c>
      <c r="G416" s="890" t="s">
        <v>89</v>
      </c>
      <c r="H416" s="532">
        <v>4201.216269</v>
      </c>
      <c r="I416" s="532">
        <v>4712.79586</v>
      </c>
      <c r="J416" s="533">
        <v>3686.614674</v>
      </c>
      <c r="K416" s="220"/>
      <c r="CE416" s="525"/>
    </row>
    <row r="417">
      <c r="A417" s="509"/>
      <c r="B417" s="886" t="s">
        <v>351</v>
      </c>
      <c r="C417" s="887" t="s">
        <v>289</v>
      </c>
      <c r="D417" s="887" t="s">
        <v>493</v>
      </c>
      <c r="E417" s="888">
        <v>2019.0</v>
      </c>
      <c r="F417" s="887" t="s">
        <v>291</v>
      </c>
      <c r="G417" s="887" t="s">
        <v>89</v>
      </c>
      <c r="H417" s="547">
        <v>2747.621979</v>
      </c>
      <c r="I417" s="547">
        <v>3081.985624</v>
      </c>
      <c r="J417" s="548">
        <v>2411.154302</v>
      </c>
      <c r="K417" s="220"/>
      <c r="CE417" s="525"/>
    </row>
    <row r="418">
      <c r="A418" s="509"/>
      <c r="B418" s="889" t="s">
        <v>351</v>
      </c>
      <c r="C418" s="890" t="s">
        <v>289</v>
      </c>
      <c r="D418" s="890" t="s">
        <v>496</v>
      </c>
      <c r="E418" s="891">
        <v>2019.0</v>
      </c>
      <c r="F418" s="890" t="s">
        <v>291</v>
      </c>
      <c r="G418" s="890" t="s">
        <v>89</v>
      </c>
      <c r="H418" s="532">
        <v>1056.386716</v>
      </c>
      <c r="I418" s="532">
        <v>1184.94054</v>
      </c>
      <c r="J418" s="533">
        <v>927.0239481</v>
      </c>
      <c r="K418" s="220"/>
      <c r="CE418" s="525"/>
    </row>
    <row r="419">
      <c r="A419" s="509"/>
      <c r="B419" s="886" t="s">
        <v>351</v>
      </c>
      <c r="C419" s="887" t="s">
        <v>289</v>
      </c>
      <c r="D419" s="887" t="s">
        <v>502</v>
      </c>
      <c r="E419" s="888">
        <v>2019.0</v>
      </c>
      <c r="F419" s="887" t="s">
        <v>291</v>
      </c>
      <c r="G419" s="887" t="s">
        <v>89</v>
      </c>
      <c r="H419" s="547">
        <v>397.124354</v>
      </c>
      <c r="I419" s="547">
        <v>445.4512154</v>
      </c>
      <c r="J419" s="548">
        <v>348.4933888</v>
      </c>
      <c r="K419" s="220"/>
      <c r="CE419" s="525"/>
    </row>
    <row r="420">
      <c r="A420" s="509"/>
      <c r="B420" s="889" t="s">
        <v>351</v>
      </c>
      <c r="C420" s="890" t="s">
        <v>289</v>
      </c>
      <c r="D420" s="890" t="s">
        <v>332</v>
      </c>
      <c r="E420" s="891">
        <v>2019.0</v>
      </c>
      <c r="F420" s="890" t="s">
        <v>291</v>
      </c>
      <c r="G420" s="890" t="s">
        <v>89</v>
      </c>
      <c r="H420" s="532">
        <v>563563.0874</v>
      </c>
      <c r="I420" s="532">
        <v>632144.213</v>
      </c>
      <c r="J420" s="533">
        <v>494550.405</v>
      </c>
      <c r="K420" s="220"/>
      <c r="CE420" s="525"/>
    </row>
    <row r="421">
      <c r="A421" s="509"/>
      <c r="B421" s="886" t="s">
        <v>351</v>
      </c>
      <c r="C421" s="887" t="s">
        <v>289</v>
      </c>
      <c r="D421" s="887" t="s">
        <v>510</v>
      </c>
      <c r="E421" s="888">
        <v>2019.0</v>
      </c>
      <c r="F421" s="887" t="s">
        <v>291</v>
      </c>
      <c r="G421" s="887" t="s">
        <v>89</v>
      </c>
      <c r="H421" s="547">
        <v>10814.2322</v>
      </c>
      <c r="I421" s="547">
        <v>12773.34055</v>
      </c>
      <c r="J421" s="548">
        <v>9103.187801</v>
      </c>
      <c r="K421" s="220"/>
      <c r="CE421" s="525"/>
    </row>
    <row r="422">
      <c r="A422" s="509"/>
      <c r="B422" s="889" t="s">
        <v>351</v>
      </c>
      <c r="C422" s="890" t="s">
        <v>289</v>
      </c>
      <c r="D422" s="890" t="s">
        <v>512</v>
      </c>
      <c r="E422" s="891">
        <v>2019.0</v>
      </c>
      <c r="F422" s="890" t="s">
        <v>291</v>
      </c>
      <c r="G422" s="890" t="s">
        <v>89</v>
      </c>
      <c r="H422" s="532">
        <v>204.2382567</v>
      </c>
      <c r="I422" s="532">
        <v>229.0924209</v>
      </c>
      <c r="J422" s="533">
        <v>179.2276939</v>
      </c>
      <c r="K422" s="220"/>
      <c r="CE422" s="525"/>
    </row>
    <row r="423">
      <c r="A423" s="509"/>
      <c r="B423" s="886" t="s">
        <v>351</v>
      </c>
      <c r="C423" s="887" t="s">
        <v>289</v>
      </c>
      <c r="D423" s="887" t="s">
        <v>515</v>
      </c>
      <c r="E423" s="888">
        <v>2019.0</v>
      </c>
      <c r="F423" s="887" t="s">
        <v>291</v>
      </c>
      <c r="G423" s="887" t="s">
        <v>89</v>
      </c>
      <c r="H423" s="547">
        <v>609.8964969</v>
      </c>
      <c r="I423" s="547">
        <v>684.1160283</v>
      </c>
      <c r="J423" s="548">
        <v>535.2099282</v>
      </c>
      <c r="K423" s="220"/>
      <c r="CE423" s="525"/>
    </row>
    <row r="424">
      <c r="A424" s="509"/>
      <c r="B424" s="889" t="s">
        <v>351</v>
      </c>
      <c r="C424" s="890" t="s">
        <v>289</v>
      </c>
      <c r="D424" s="890" t="s">
        <v>518</v>
      </c>
      <c r="E424" s="891">
        <v>2019.0</v>
      </c>
      <c r="F424" s="890" t="s">
        <v>291</v>
      </c>
      <c r="G424" s="890" t="s">
        <v>89</v>
      </c>
      <c r="H424" s="532">
        <v>814.1347536</v>
      </c>
      <c r="I424" s="532">
        <v>913.2084492</v>
      </c>
      <c r="J424" s="533">
        <v>714.4376221</v>
      </c>
      <c r="K424" s="220"/>
      <c r="CE424" s="525"/>
    </row>
    <row r="425">
      <c r="A425" s="509"/>
      <c r="B425" s="886" t="s">
        <v>351</v>
      </c>
      <c r="C425" s="887" t="s">
        <v>289</v>
      </c>
      <c r="D425" s="887" t="s">
        <v>522</v>
      </c>
      <c r="E425" s="888">
        <v>2019.0</v>
      </c>
      <c r="F425" s="887" t="s">
        <v>291</v>
      </c>
      <c r="G425" s="887" t="s">
        <v>89</v>
      </c>
      <c r="H425" s="547">
        <v>9779.372638</v>
      </c>
      <c r="I425" s="547">
        <v>10969.44416</v>
      </c>
      <c r="J425" s="548">
        <v>8581.812412</v>
      </c>
      <c r="K425" s="220"/>
      <c r="CE425" s="525"/>
    </row>
    <row r="426">
      <c r="A426" s="509"/>
      <c r="B426" s="889" t="s">
        <v>351</v>
      </c>
      <c r="C426" s="890" t="s">
        <v>289</v>
      </c>
      <c r="D426" s="890" t="s">
        <v>302</v>
      </c>
      <c r="E426" s="891">
        <v>2019.0</v>
      </c>
      <c r="F426" s="890" t="s">
        <v>291</v>
      </c>
      <c r="G426" s="890" t="s">
        <v>89</v>
      </c>
      <c r="H426" s="532">
        <v>53152.50361</v>
      </c>
      <c r="I426" s="532">
        <v>59620.73868</v>
      </c>
      <c r="J426" s="533">
        <v>46643.56622</v>
      </c>
      <c r="K426" s="220"/>
      <c r="CE426" s="525"/>
    </row>
    <row r="427">
      <c r="A427" s="509"/>
      <c r="B427" s="886" t="s">
        <v>356</v>
      </c>
      <c r="C427" s="887" t="s">
        <v>289</v>
      </c>
      <c r="D427" s="887" t="s">
        <v>290</v>
      </c>
      <c r="E427" s="888">
        <v>2019.0</v>
      </c>
      <c r="F427" s="887" t="s">
        <v>291</v>
      </c>
      <c r="G427" s="887" t="s">
        <v>89</v>
      </c>
      <c r="H427" s="547">
        <v>864058.6672</v>
      </c>
      <c r="I427" s="547">
        <v>997754.7552</v>
      </c>
      <c r="J427" s="548">
        <v>735826.6912</v>
      </c>
      <c r="K427" s="220"/>
      <c r="CE427" s="525"/>
    </row>
    <row r="428">
      <c r="A428" s="509"/>
      <c r="B428" s="889" t="s">
        <v>356</v>
      </c>
      <c r="C428" s="890" t="s">
        <v>289</v>
      </c>
      <c r="D428" s="890" t="s">
        <v>310</v>
      </c>
      <c r="E428" s="891">
        <v>2019.0</v>
      </c>
      <c r="F428" s="890" t="s">
        <v>291</v>
      </c>
      <c r="G428" s="890" t="s">
        <v>89</v>
      </c>
      <c r="H428" s="532">
        <v>1.525178418E7</v>
      </c>
      <c r="I428" s="532">
        <v>1.761169787E7</v>
      </c>
      <c r="J428" s="533">
        <v>1.298831933E7</v>
      </c>
      <c r="K428" s="220"/>
      <c r="CE428" s="525"/>
    </row>
    <row r="429">
      <c r="A429" s="509"/>
      <c r="B429" s="886" t="s">
        <v>356</v>
      </c>
      <c r="C429" s="887" t="s">
        <v>289</v>
      </c>
      <c r="D429" s="887" t="s">
        <v>318</v>
      </c>
      <c r="E429" s="888">
        <v>2019.0</v>
      </c>
      <c r="F429" s="887" t="s">
        <v>291</v>
      </c>
      <c r="G429" s="887" t="s">
        <v>89</v>
      </c>
      <c r="H429" s="547">
        <v>1.203780894E7</v>
      </c>
      <c r="I429" s="547">
        <v>1.390042316E7</v>
      </c>
      <c r="J429" s="548">
        <v>1.02513191E7</v>
      </c>
      <c r="K429" s="220"/>
      <c r="CE429" s="525"/>
    </row>
    <row r="430">
      <c r="A430" s="509"/>
      <c r="B430" s="889" t="s">
        <v>356</v>
      </c>
      <c r="C430" s="890" t="s">
        <v>289</v>
      </c>
      <c r="D430" s="890" t="s">
        <v>309</v>
      </c>
      <c r="E430" s="891">
        <v>2019.0</v>
      </c>
      <c r="F430" s="890" t="s">
        <v>291</v>
      </c>
      <c r="G430" s="890" t="s">
        <v>89</v>
      </c>
      <c r="H430" s="532">
        <v>3343050.582</v>
      </c>
      <c r="I430" s="532">
        <v>3860321.922</v>
      </c>
      <c r="J430" s="533">
        <v>2846919.939</v>
      </c>
      <c r="K430" s="220"/>
      <c r="CE430" s="525"/>
    </row>
    <row r="431">
      <c r="A431" s="509"/>
      <c r="B431" s="886" t="s">
        <v>356</v>
      </c>
      <c r="C431" s="887" t="s">
        <v>289</v>
      </c>
      <c r="D431" s="887" t="s">
        <v>334</v>
      </c>
      <c r="E431" s="888">
        <v>2019.0</v>
      </c>
      <c r="F431" s="887" t="s">
        <v>291</v>
      </c>
      <c r="G431" s="887" t="s">
        <v>89</v>
      </c>
      <c r="H431" s="547">
        <v>3758336.909</v>
      </c>
      <c r="I431" s="547">
        <v>4339865.642</v>
      </c>
      <c r="J431" s="548">
        <v>3200575.05</v>
      </c>
      <c r="K431" s="220"/>
      <c r="CE431" s="525"/>
    </row>
    <row r="432">
      <c r="A432" s="509"/>
      <c r="B432" s="889" t="s">
        <v>356</v>
      </c>
      <c r="C432" s="890" t="s">
        <v>289</v>
      </c>
      <c r="D432" s="890" t="s">
        <v>339</v>
      </c>
      <c r="E432" s="891">
        <v>2019.0</v>
      </c>
      <c r="F432" s="890" t="s">
        <v>291</v>
      </c>
      <c r="G432" s="890" t="s">
        <v>89</v>
      </c>
      <c r="H432" s="532">
        <v>6972312.149</v>
      </c>
      <c r="I432" s="532">
        <v>8051140.352</v>
      </c>
      <c r="J432" s="533">
        <v>5937575.276</v>
      </c>
      <c r="K432" s="220"/>
      <c r="CE432" s="525"/>
    </row>
    <row r="433">
      <c r="A433" s="509"/>
      <c r="B433" s="886" t="s">
        <v>356</v>
      </c>
      <c r="C433" s="887" t="s">
        <v>289</v>
      </c>
      <c r="D433" s="887" t="s">
        <v>344</v>
      </c>
      <c r="E433" s="888">
        <v>2019.0</v>
      </c>
      <c r="F433" s="887" t="s">
        <v>291</v>
      </c>
      <c r="G433" s="887" t="s">
        <v>89</v>
      </c>
      <c r="H433" s="547">
        <v>9691595.427</v>
      </c>
      <c r="I433" s="547">
        <v>1.119117924E7</v>
      </c>
      <c r="J433" s="548">
        <v>8253299.071</v>
      </c>
      <c r="K433" s="220"/>
      <c r="CE433" s="525"/>
    </row>
    <row r="434">
      <c r="A434" s="509"/>
      <c r="B434" s="889" t="s">
        <v>356</v>
      </c>
      <c r="C434" s="890" t="s">
        <v>289</v>
      </c>
      <c r="D434" s="890" t="s">
        <v>349</v>
      </c>
      <c r="E434" s="891">
        <v>2019.0</v>
      </c>
      <c r="F434" s="890" t="s">
        <v>291</v>
      </c>
      <c r="G434" s="890" t="s">
        <v>89</v>
      </c>
      <c r="H434" s="532">
        <v>3213975.241</v>
      </c>
      <c r="I434" s="532">
        <v>3711274.71</v>
      </c>
      <c r="J434" s="533">
        <v>2737000.225</v>
      </c>
      <c r="K434" s="220"/>
      <c r="CE434" s="525"/>
    </row>
    <row r="435">
      <c r="A435" s="509"/>
      <c r="B435" s="886" t="s">
        <v>356</v>
      </c>
      <c r="C435" s="887" t="s">
        <v>289</v>
      </c>
      <c r="D435" s="887" t="s">
        <v>355</v>
      </c>
      <c r="E435" s="888">
        <v>2019.0</v>
      </c>
      <c r="F435" s="887" t="s">
        <v>291</v>
      </c>
      <c r="G435" s="887" t="s">
        <v>89</v>
      </c>
      <c r="H435" s="547">
        <v>1.208267774E7</v>
      </c>
      <c r="I435" s="547">
        <v>1.395399152E7</v>
      </c>
      <c r="J435" s="548">
        <v>1.028994537E7</v>
      </c>
      <c r="K435" s="220"/>
      <c r="CE435" s="525"/>
    </row>
    <row r="436">
      <c r="A436" s="509"/>
      <c r="B436" s="889" t="s">
        <v>356</v>
      </c>
      <c r="C436" s="890" t="s">
        <v>289</v>
      </c>
      <c r="D436" s="890" t="s">
        <v>358</v>
      </c>
      <c r="E436" s="891">
        <v>2019.0</v>
      </c>
      <c r="F436" s="890" t="s">
        <v>291</v>
      </c>
      <c r="G436" s="890" t="s">
        <v>89</v>
      </c>
      <c r="H436" s="532">
        <v>1.437716529E7</v>
      </c>
      <c r="I436" s="532">
        <v>1.660174891E7</v>
      </c>
      <c r="J436" s="533">
        <v>1.224349963E7</v>
      </c>
      <c r="K436" s="220"/>
      <c r="CE436" s="525"/>
    </row>
    <row r="437">
      <c r="A437" s="509"/>
      <c r="B437" s="886" t="s">
        <v>356</v>
      </c>
      <c r="C437" s="887" t="s">
        <v>289</v>
      </c>
      <c r="D437" s="887" t="s">
        <v>362</v>
      </c>
      <c r="E437" s="888">
        <v>2019.0</v>
      </c>
      <c r="F437" s="887" t="s">
        <v>291</v>
      </c>
      <c r="G437" s="887" t="s">
        <v>89</v>
      </c>
      <c r="H437" s="547">
        <v>1.384938661E7</v>
      </c>
      <c r="I437" s="547">
        <v>1.599432075E7</v>
      </c>
      <c r="J437" s="548">
        <v>1.179452392E7</v>
      </c>
      <c r="K437" s="220"/>
      <c r="CE437" s="525"/>
    </row>
    <row r="438">
      <c r="A438" s="509"/>
      <c r="B438" s="889" t="s">
        <v>356</v>
      </c>
      <c r="C438" s="890" t="s">
        <v>289</v>
      </c>
      <c r="D438" s="890" t="s">
        <v>366</v>
      </c>
      <c r="E438" s="891">
        <v>2019.0</v>
      </c>
      <c r="F438" s="890" t="s">
        <v>291</v>
      </c>
      <c r="G438" s="890" t="s">
        <v>89</v>
      </c>
      <c r="H438" s="532">
        <v>2719283.278</v>
      </c>
      <c r="I438" s="532">
        <v>3140038.893</v>
      </c>
      <c r="J438" s="533">
        <v>2315723.796</v>
      </c>
      <c r="K438" s="220"/>
      <c r="CE438" s="525"/>
    </row>
    <row r="439">
      <c r="A439" s="509"/>
      <c r="B439" s="886" t="s">
        <v>356</v>
      </c>
      <c r="C439" s="887" t="s">
        <v>289</v>
      </c>
      <c r="D439" s="887" t="s">
        <v>368</v>
      </c>
      <c r="E439" s="888">
        <v>2019.0</v>
      </c>
      <c r="F439" s="887" t="s">
        <v>291</v>
      </c>
      <c r="G439" s="887" t="s">
        <v>89</v>
      </c>
      <c r="H439" s="547">
        <v>1.113080092E7</v>
      </c>
      <c r="I439" s="547">
        <v>1.285307349E7</v>
      </c>
      <c r="J439" s="548">
        <v>9478917.028</v>
      </c>
      <c r="K439" s="220"/>
      <c r="CE439" s="525"/>
    </row>
    <row r="440">
      <c r="A440" s="509"/>
      <c r="B440" s="889" t="s">
        <v>356</v>
      </c>
      <c r="C440" s="890" t="s">
        <v>289</v>
      </c>
      <c r="D440" s="890" t="s">
        <v>373</v>
      </c>
      <c r="E440" s="891">
        <v>2019.0</v>
      </c>
      <c r="F440" s="890" t="s">
        <v>291</v>
      </c>
      <c r="G440" s="890" t="s">
        <v>89</v>
      </c>
      <c r="H440" s="532">
        <v>2401313.774</v>
      </c>
      <c r="I440" s="532">
        <v>2772869.861</v>
      </c>
      <c r="J440" s="533">
        <v>2044943.053</v>
      </c>
      <c r="K440" s="220"/>
      <c r="CE440" s="525"/>
    </row>
    <row r="441">
      <c r="A441" s="509"/>
      <c r="B441" s="886" t="s">
        <v>356</v>
      </c>
      <c r="C441" s="887" t="s">
        <v>289</v>
      </c>
      <c r="D441" s="887" t="s">
        <v>379</v>
      </c>
      <c r="E441" s="888">
        <v>2019.0</v>
      </c>
      <c r="F441" s="887" t="s">
        <v>291</v>
      </c>
      <c r="G441" s="887" t="s">
        <v>89</v>
      </c>
      <c r="H441" s="547">
        <v>8443481.481</v>
      </c>
      <c r="I441" s="547">
        <v>9751172.009</v>
      </c>
      <c r="J441" s="548">
        <v>7190704.329</v>
      </c>
      <c r="K441" s="220"/>
      <c r="CE441" s="525"/>
    </row>
    <row r="442">
      <c r="A442" s="509"/>
      <c r="B442" s="889" t="s">
        <v>356</v>
      </c>
      <c r="C442" s="890" t="s">
        <v>289</v>
      </c>
      <c r="D442" s="890" t="s">
        <v>382</v>
      </c>
      <c r="E442" s="891">
        <v>2019.0</v>
      </c>
      <c r="F442" s="890" t="s">
        <v>291</v>
      </c>
      <c r="G442" s="890" t="s">
        <v>89</v>
      </c>
      <c r="H442" s="532">
        <v>2074996.811</v>
      </c>
      <c r="I442" s="532">
        <v>2396061.765</v>
      </c>
      <c r="J442" s="533">
        <v>1767053.668</v>
      </c>
      <c r="K442" s="220"/>
      <c r="CE442" s="525"/>
    </row>
    <row r="443">
      <c r="A443" s="509"/>
      <c r="B443" s="886" t="s">
        <v>356</v>
      </c>
      <c r="C443" s="887" t="s">
        <v>289</v>
      </c>
      <c r="D443" s="887" t="s">
        <v>387</v>
      </c>
      <c r="E443" s="888">
        <v>2019.0</v>
      </c>
      <c r="F443" s="887" t="s">
        <v>291</v>
      </c>
      <c r="G443" s="887" t="s">
        <v>89</v>
      </c>
      <c r="H443" s="547">
        <v>1673717.239</v>
      </c>
      <c r="I443" s="547">
        <v>1932692.07</v>
      </c>
      <c r="J443" s="548">
        <v>1425326.618</v>
      </c>
      <c r="K443" s="220"/>
      <c r="CE443" s="525"/>
    </row>
    <row r="444">
      <c r="A444" s="509"/>
      <c r="B444" s="889" t="s">
        <v>356</v>
      </c>
      <c r="C444" s="890" t="s">
        <v>289</v>
      </c>
      <c r="D444" s="890" t="s">
        <v>392</v>
      </c>
      <c r="E444" s="891">
        <v>2019.0</v>
      </c>
      <c r="F444" s="890" t="s">
        <v>291</v>
      </c>
      <c r="G444" s="890" t="s">
        <v>89</v>
      </c>
      <c r="H444" s="532">
        <v>1295935.709</v>
      </c>
      <c r="I444" s="532">
        <v>1496456.277</v>
      </c>
      <c r="J444" s="533">
        <v>1103610.346</v>
      </c>
      <c r="K444" s="220"/>
      <c r="CE444" s="525"/>
    </row>
    <row r="445">
      <c r="A445" s="509"/>
      <c r="B445" s="886" t="s">
        <v>356</v>
      </c>
      <c r="C445" s="887" t="s">
        <v>289</v>
      </c>
      <c r="D445" s="887" t="s">
        <v>398</v>
      </c>
      <c r="E445" s="888">
        <v>2019.0</v>
      </c>
      <c r="F445" s="887" t="s">
        <v>291</v>
      </c>
      <c r="G445" s="887" t="s">
        <v>89</v>
      </c>
      <c r="H445" s="547">
        <v>997943.2438</v>
      </c>
      <c r="I445" s="547">
        <v>1152355.337</v>
      </c>
      <c r="J445" s="548">
        <v>849841.9181</v>
      </c>
      <c r="K445" s="220"/>
      <c r="CE445" s="525"/>
    </row>
    <row r="446">
      <c r="A446" s="509"/>
      <c r="B446" s="889" t="s">
        <v>356</v>
      </c>
      <c r="C446" s="890" t="s">
        <v>289</v>
      </c>
      <c r="D446" s="890" t="s">
        <v>402</v>
      </c>
      <c r="E446" s="891">
        <v>2019.0</v>
      </c>
      <c r="F446" s="890" t="s">
        <v>291</v>
      </c>
      <c r="G446" s="890" t="s">
        <v>89</v>
      </c>
      <c r="H446" s="532">
        <v>1.104411864E7</v>
      </c>
      <c r="I446" s="532">
        <v>1.27545848E7</v>
      </c>
      <c r="J446" s="533">
        <v>9405479.472</v>
      </c>
      <c r="K446" s="220"/>
      <c r="CE446" s="525"/>
    </row>
    <row r="447">
      <c r="A447" s="509"/>
      <c r="B447" s="886" t="s">
        <v>356</v>
      </c>
      <c r="C447" s="887" t="s">
        <v>289</v>
      </c>
      <c r="D447" s="887" t="s">
        <v>407</v>
      </c>
      <c r="E447" s="888">
        <v>2019.0</v>
      </c>
      <c r="F447" s="887" t="s">
        <v>291</v>
      </c>
      <c r="G447" s="887" t="s">
        <v>89</v>
      </c>
      <c r="H447" s="547">
        <v>4072362.782</v>
      </c>
      <c r="I447" s="547">
        <v>4702480.844</v>
      </c>
      <c r="J447" s="548">
        <v>3467997.423</v>
      </c>
      <c r="K447" s="220"/>
      <c r="CE447" s="525"/>
    </row>
    <row r="448">
      <c r="A448" s="509"/>
      <c r="B448" s="889" t="s">
        <v>356</v>
      </c>
      <c r="C448" s="890" t="s">
        <v>289</v>
      </c>
      <c r="D448" s="890" t="s">
        <v>414</v>
      </c>
      <c r="E448" s="891">
        <v>2019.0</v>
      </c>
      <c r="F448" s="890" t="s">
        <v>291</v>
      </c>
      <c r="G448" s="890" t="s">
        <v>89</v>
      </c>
      <c r="H448" s="532">
        <v>779368.9153</v>
      </c>
      <c r="I448" s="532">
        <v>899960.9295</v>
      </c>
      <c r="J448" s="533">
        <v>663705.4542</v>
      </c>
      <c r="K448" s="220"/>
      <c r="CE448" s="525"/>
    </row>
    <row r="449">
      <c r="A449" s="509"/>
      <c r="B449" s="886" t="s">
        <v>356</v>
      </c>
      <c r="C449" s="887" t="s">
        <v>289</v>
      </c>
      <c r="D449" s="887" t="s">
        <v>417</v>
      </c>
      <c r="E449" s="888">
        <v>2019.0</v>
      </c>
      <c r="F449" s="887" t="s">
        <v>291</v>
      </c>
      <c r="G449" s="887" t="s">
        <v>89</v>
      </c>
      <c r="H449" s="547">
        <v>2197722.595</v>
      </c>
      <c r="I449" s="547">
        <v>2537776.951</v>
      </c>
      <c r="J449" s="548">
        <v>1871566.141</v>
      </c>
      <c r="K449" s="220"/>
      <c r="CE449" s="525"/>
    </row>
    <row r="450">
      <c r="A450" s="509"/>
      <c r="B450" s="889" t="s">
        <v>356</v>
      </c>
      <c r="C450" s="890" t="s">
        <v>289</v>
      </c>
      <c r="D450" s="890" t="s">
        <v>300</v>
      </c>
      <c r="E450" s="891">
        <v>2019.0</v>
      </c>
      <c r="F450" s="890" t="s">
        <v>291</v>
      </c>
      <c r="G450" s="890" t="s">
        <v>89</v>
      </c>
      <c r="H450" s="532">
        <v>7830699.691</v>
      </c>
      <c r="I450" s="532">
        <v>9042346.486</v>
      </c>
      <c r="J450" s="533">
        <v>6668572.473</v>
      </c>
      <c r="K450" s="220"/>
      <c r="CE450" s="525"/>
    </row>
    <row r="451">
      <c r="A451" s="509"/>
      <c r="B451" s="886" t="s">
        <v>356</v>
      </c>
      <c r="C451" s="887" t="s">
        <v>289</v>
      </c>
      <c r="D451" s="887" t="s">
        <v>429</v>
      </c>
      <c r="E451" s="888">
        <v>2019.0</v>
      </c>
      <c r="F451" s="887" t="s">
        <v>291</v>
      </c>
      <c r="G451" s="887" t="s">
        <v>89</v>
      </c>
      <c r="H451" s="547">
        <v>1907429.154</v>
      </c>
      <c r="I451" s="547">
        <v>2202843.675</v>
      </c>
      <c r="J451" s="548">
        <v>1624419.868</v>
      </c>
      <c r="K451" s="220"/>
      <c r="CE451" s="525"/>
    </row>
    <row r="452">
      <c r="A452" s="509"/>
      <c r="B452" s="889" t="s">
        <v>356</v>
      </c>
      <c r="C452" s="890" t="s">
        <v>289</v>
      </c>
      <c r="D452" s="890" t="s">
        <v>432</v>
      </c>
      <c r="E452" s="891">
        <v>2019.0</v>
      </c>
      <c r="F452" s="890" t="s">
        <v>291</v>
      </c>
      <c r="G452" s="890" t="s">
        <v>89</v>
      </c>
      <c r="H452" s="532">
        <v>618800.9722</v>
      </c>
      <c r="I452" s="532">
        <v>714548.2546</v>
      </c>
      <c r="J452" s="533">
        <v>526966.8475</v>
      </c>
      <c r="K452" s="220"/>
      <c r="CE452" s="525"/>
    </row>
    <row r="453">
      <c r="A453" s="509"/>
      <c r="B453" s="886" t="s">
        <v>356</v>
      </c>
      <c r="C453" s="887" t="s">
        <v>289</v>
      </c>
      <c r="D453" s="887" t="s">
        <v>435</v>
      </c>
      <c r="E453" s="888">
        <v>2019.0</v>
      </c>
      <c r="F453" s="887" t="s">
        <v>291</v>
      </c>
      <c r="G453" s="887" t="s">
        <v>89</v>
      </c>
      <c r="H453" s="547">
        <v>469290.6358</v>
      </c>
      <c r="I453" s="547">
        <v>541904.1336</v>
      </c>
      <c r="J453" s="548">
        <v>399644.826</v>
      </c>
      <c r="K453" s="220"/>
      <c r="CE453" s="525"/>
    </row>
    <row r="454">
      <c r="A454" s="509"/>
      <c r="B454" s="889" t="s">
        <v>356</v>
      </c>
      <c r="C454" s="890" t="s">
        <v>289</v>
      </c>
      <c r="D454" s="890" t="s">
        <v>442</v>
      </c>
      <c r="E454" s="891">
        <v>2019.0</v>
      </c>
      <c r="F454" s="890" t="s">
        <v>291</v>
      </c>
      <c r="G454" s="890" t="s">
        <v>89</v>
      </c>
      <c r="H454" s="532">
        <v>330262.072</v>
      </c>
      <c r="I454" s="532">
        <v>381363.6334</v>
      </c>
      <c r="J454" s="533">
        <v>281249.0134</v>
      </c>
      <c r="K454" s="220"/>
      <c r="CE454" s="525"/>
    </row>
    <row r="455">
      <c r="A455" s="509"/>
      <c r="B455" s="886" t="s">
        <v>356</v>
      </c>
      <c r="C455" s="887" t="s">
        <v>289</v>
      </c>
      <c r="D455" s="887" t="s">
        <v>445</v>
      </c>
      <c r="E455" s="888">
        <v>2019.0</v>
      </c>
      <c r="F455" s="887" t="s">
        <v>291</v>
      </c>
      <c r="G455" s="887" t="s">
        <v>89</v>
      </c>
      <c r="H455" s="547">
        <v>556614.8668</v>
      </c>
      <c r="I455" s="547">
        <v>642821.0118</v>
      </c>
      <c r="J455" s="548">
        <v>474028.7453</v>
      </c>
      <c r="K455" s="220"/>
      <c r="CE455" s="525"/>
    </row>
    <row r="456">
      <c r="A456" s="509"/>
      <c r="B456" s="889" t="s">
        <v>356</v>
      </c>
      <c r="C456" s="890" t="s">
        <v>289</v>
      </c>
      <c r="D456" s="890" t="s">
        <v>450</v>
      </c>
      <c r="E456" s="891">
        <v>2019.0</v>
      </c>
      <c r="F456" s="890" t="s">
        <v>291</v>
      </c>
      <c r="G456" s="890" t="s">
        <v>89</v>
      </c>
      <c r="H456" s="532">
        <v>226380.8313</v>
      </c>
      <c r="I456" s="532">
        <v>261408.8134</v>
      </c>
      <c r="J456" s="533">
        <v>192784.4305</v>
      </c>
      <c r="K456" s="220"/>
      <c r="CE456" s="525"/>
    </row>
    <row r="457">
      <c r="A457" s="509"/>
      <c r="B457" s="886" t="s">
        <v>356</v>
      </c>
      <c r="C457" s="887" t="s">
        <v>289</v>
      </c>
      <c r="D457" s="887" t="s">
        <v>457</v>
      </c>
      <c r="E457" s="888">
        <v>2019.0</v>
      </c>
      <c r="F457" s="887" t="s">
        <v>291</v>
      </c>
      <c r="G457" s="887" t="s">
        <v>89</v>
      </c>
      <c r="H457" s="547">
        <v>489171.5508</v>
      </c>
      <c r="I457" s="547">
        <v>564861.2293</v>
      </c>
      <c r="J457" s="548">
        <v>416575.2828</v>
      </c>
      <c r="K457" s="220"/>
      <c r="CE457" s="525"/>
    </row>
    <row r="458">
      <c r="A458" s="509"/>
      <c r="B458" s="889" t="s">
        <v>356</v>
      </c>
      <c r="C458" s="890" t="s">
        <v>289</v>
      </c>
      <c r="D458" s="890" t="s">
        <v>463</v>
      </c>
      <c r="E458" s="891">
        <v>2019.0</v>
      </c>
      <c r="F458" s="890" t="s">
        <v>291</v>
      </c>
      <c r="G458" s="890" t="s">
        <v>89</v>
      </c>
      <c r="H458" s="532">
        <v>262777.4835</v>
      </c>
      <c r="I458" s="532">
        <v>303475.3433</v>
      </c>
      <c r="J458" s="533">
        <v>223788.6341</v>
      </c>
      <c r="K458" s="220"/>
      <c r="CE458" s="525"/>
    </row>
    <row r="459">
      <c r="A459" s="509"/>
      <c r="B459" s="886" t="s">
        <v>356</v>
      </c>
      <c r="C459" s="887" t="s">
        <v>289</v>
      </c>
      <c r="D459" s="887" t="s">
        <v>467</v>
      </c>
      <c r="E459" s="888">
        <v>2019.0</v>
      </c>
      <c r="F459" s="887" t="s">
        <v>291</v>
      </c>
      <c r="G459" s="887" t="s">
        <v>89</v>
      </c>
      <c r="H459" s="547">
        <v>141528.044</v>
      </c>
      <c r="I459" s="547">
        <v>163426.7259</v>
      </c>
      <c r="J459" s="548">
        <v>120524.3536</v>
      </c>
      <c r="K459" s="220"/>
      <c r="CE459" s="525"/>
    </row>
    <row r="460">
      <c r="A460" s="509"/>
      <c r="B460" s="889" t="s">
        <v>356</v>
      </c>
      <c r="C460" s="890" t="s">
        <v>289</v>
      </c>
      <c r="D460" s="890" t="s">
        <v>473</v>
      </c>
      <c r="E460" s="891">
        <v>2019.0</v>
      </c>
      <c r="F460" s="890" t="s">
        <v>291</v>
      </c>
      <c r="G460" s="890" t="s">
        <v>89</v>
      </c>
      <c r="H460" s="532">
        <v>218978.7641</v>
      </c>
      <c r="I460" s="532">
        <v>252893.2645</v>
      </c>
      <c r="J460" s="533">
        <v>186488.4231</v>
      </c>
      <c r="K460" s="220"/>
      <c r="CE460" s="525"/>
    </row>
    <row r="461">
      <c r="A461" s="509"/>
      <c r="B461" s="886" t="s">
        <v>356</v>
      </c>
      <c r="C461" s="887" t="s">
        <v>289</v>
      </c>
      <c r="D461" s="887" t="s">
        <v>477</v>
      </c>
      <c r="E461" s="888">
        <v>2019.0</v>
      </c>
      <c r="F461" s="887" t="s">
        <v>291</v>
      </c>
      <c r="G461" s="887" t="s">
        <v>89</v>
      </c>
      <c r="H461" s="547">
        <v>121262.6754</v>
      </c>
      <c r="I461" s="547">
        <v>140025.69</v>
      </c>
      <c r="J461" s="548">
        <v>103266.4987</v>
      </c>
      <c r="K461" s="220"/>
      <c r="CE461" s="525"/>
    </row>
    <row r="462">
      <c r="A462" s="509"/>
      <c r="B462" s="889" t="s">
        <v>356</v>
      </c>
      <c r="C462" s="890" t="s">
        <v>289</v>
      </c>
      <c r="D462" s="890" t="s">
        <v>483</v>
      </c>
      <c r="E462" s="891">
        <v>2019.0</v>
      </c>
      <c r="F462" s="890" t="s">
        <v>291</v>
      </c>
      <c r="G462" s="890" t="s">
        <v>89</v>
      </c>
      <c r="H462" s="532">
        <v>77461.74997</v>
      </c>
      <c r="I462" s="532">
        <v>89447.43257</v>
      </c>
      <c r="J462" s="533">
        <v>65965.91798</v>
      </c>
      <c r="K462" s="220"/>
      <c r="CE462" s="525"/>
    </row>
    <row r="463">
      <c r="A463" s="509"/>
      <c r="B463" s="886" t="s">
        <v>356</v>
      </c>
      <c r="C463" s="887" t="s">
        <v>289</v>
      </c>
      <c r="D463" s="887" t="s">
        <v>489</v>
      </c>
      <c r="E463" s="888">
        <v>2019.0</v>
      </c>
      <c r="F463" s="887" t="s">
        <v>291</v>
      </c>
      <c r="G463" s="887" t="s">
        <v>89</v>
      </c>
      <c r="H463" s="547">
        <v>43798.71934</v>
      </c>
      <c r="I463" s="547">
        <v>50582.07885</v>
      </c>
      <c r="J463" s="548">
        <v>37300.211</v>
      </c>
      <c r="K463" s="220"/>
      <c r="CE463" s="525"/>
    </row>
    <row r="464">
      <c r="A464" s="509"/>
      <c r="B464" s="889" t="s">
        <v>356</v>
      </c>
      <c r="C464" s="890" t="s">
        <v>289</v>
      </c>
      <c r="D464" s="890" t="s">
        <v>493</v>
      </c>
      <c r="E464" s="891">
        <v>2019.0</v>
      </c>
      <c r="F464" s="890" t="s">
        <v>291</v>
      </c>
      <c r="G464" s="890" t="s">
        <v>89</v>
      </c>
      <c r="H464" s="532">
        <v>32188.09878</v>
      </c>
      <c r="I464" s="532">
        <v>37168.57413</v>
      </c>
      <c r="J464" s="533">
        <v>27411.17371</v>
      </c>
      <c r="K464" s="220"/>
      <c r="CE464" s="525"/>
    </row>
    <row r="465">
      <c r="A465" s="509"/>
      <c r="B465" s="886" t="s">
        <v>356</v>
      </c>
      <c r="C465" s="887" t="s">
        <v>289</v>
      </c>
      <c r="D465" s="887" t="s">
        <v>496</v>
      </c>
      <c r="E465" s="888">
        <v>2019.0</v>
      </c>
      <c r="F465" s="887" t="s">
        <v>291</v>
      </c>
      <c r="G465" s="887" t="s">
        <v>89</v>
      </c>
      <c r="H465" s="547">
        <v>9762.04</v>
      </c>
      <c r="I465" s="547">
        <v>11272.52373</v>
      </c>
      <c r="J465" s="548">
        <v>8313.289207</v>
      </c>
      <c r="K465" s="220"/>
      <c r="CE465" s="525"/>
    </row>
    <row r="466">
      <c r="A466" s="509"/>
      <c r="B466" s="889" t="s">
        <v>356</v>
      </c>
      <c r="C466" s="890" t="s">
        <v>289</v>
      </c>
      <c r="D466" s="890" t="s">
        <v>502</v>
      </c>
      <c r="E466" s="891">
        <v>2019.0</v>
      </c>
      <c r="F466" s="890" t="s">
        <v>291</v>
      </c>
      <c r="G466" s="890" t="s">
        <v>89</v>
      </c>
      <c r="H466" s="532">
        <v>1850.786687</v>
      </c>
      <c r="I466" s="532">
        <v>2137.159533</v>
      </c>
      <c r="J466" s="533">
        <v>1576.117798</v>
      </c>
      <c r="K466" s="220"/>
      <c r="CE466" s="525"/>
    </row>
    <row r="467">
      <c r="A467" s="509"/>
      <c r="B467" s="886" t="s">
        <v>356</v>
      </c>
      <c r="C467" s="887" t="s">
        <v>289</v>
      </c>
      <c r="D467" s="887" t="s">
        <v>332</v>
      </c>
      <c r="E467" s="888">
        <v>2019.0</v>
      </c>
      <c r="F467" s="887" t="s">
        <v>291</v>
      </c>
      <c r="G467" s="887" t="s">
        <v>89</v>
      </c>
      <c r="H467" s="547">
        <v>2.910186838E7</v>
      </c>
      <c r="I467" s="547">
        <v>3.360481026E7</v>
      </c>
      <c r="J467" s="548">
        <v>2.478296015E7</v>
      </c>
      <c r="K467" s="220"/>
      <c r="CE467" s="525"/>
    </row>
    <row r="468">
      <c r="A468" s="509"/>
      <c r="B468" s="889" t="s">
        <v>356</v>
      </c>
      <c r="C468" s="890" t="s">
        <v>289</v>
      </c>
      <c r="D468" s="890" t="s">
        <v>510</v>
      </c>
      <c r="E468" s="891">
        <v>2019.0</v>
      </c>
      <c r="F468" s="890" t="s">
        <v>291</v>
      </c>
      <c r="G468" s="890" t="s">
        <v>89</v>
      </c>
      <c r="H468" s="532">
        <v>903799.5556</v>
      </c>
      <c r="I468" s="532">
        <v>1027670.15</v>
      </c>
      <c r="J468" s="533">
        <v>797314.1258</v>
      </c>
      <c r="K468" s="220"/>
      <c r="CE468" s="525"/>
    </row>
    <row r="469">
      <c r="A469" s="509"/>
      <c r="B469" s="886" t="s">
        <v>356</v>
      </c>
      <c r="C469" s="887" t="s">
        <v>289</v>
      </c>
      <c r="D469" s="887" t="s">
        <v>512</v>
      </c>
      <c r="E469" s="888">
        <v>2019.0</v>
      </c>
      <c r="F469" s="887" t="s">
        <v>291</v>
      </c>
      <c r="G469" s="887" t="s">
        <v>89</v>
      </c>
      <c r="H469" s="547">
        <v>17159.83022</v>
      </c>
      <c r="I469" s="547">
        <v>19814.97652</v>
      </c>
      <c r="J469" s="548">
        <v>14613.19881</v>
      </c>
      <c r="K469" s="220"/>
      <c r="CE469" s="525"/>
    </row>
    <row r="470">
      <c r="A470" s="509"/>
      <c r="B470" s="889" t="s">
        <v>356</v>
      </c>
      <c r="C470" s="890" t="s">
        <v>289</v>
      </c>
      <c r="D470" s="890" t="s">
        <v>515</v>
      </c>
      <c r="E470" s="891">
        <v>2019.0</v>
      </c>
      <c r="F470" s="890" t="s">
        <v>291</v>
      </c>
      <c r="G470" s="890" t="s">
        <v>89</v>
      </c>
      <c r="H470" s="532">
        <v>50815.78343</v>
      </c>
      <c r="I470" s="532">
        <v>58678.52668</v>
      </c>
      <c r="J470" s="533">
        <v>43274.38772</v>
      </c>
      <c r="K470" s="220"/>
      <c r="CE470" s="525"/>
    </row>
    <row r="471">
      <c r="A471" s="509"/>
      <c r="B471" s="886" t="s">
        <v>356</v>
      </c>
      <c r="C471" s="887" t="s">
        <v>289</v>
      </c>
      <c r="D471" s="887" t="s">
        <v>518</v>
      </c>
      <c r="E471" s="888">
        <v>2019.0</v>
      </c>
      <c r="F471" s="887" t="s">
        <v>291</v>
      </c>
      <c r="G471" s="887" t="s">
        <v>89</v>
      </c>
      <c r="H471" s="547">
        <v>67975.61365</v>
      </c>
      <c r="I471" s="547">
        <v>78493.50319</v>
      </c>
      <c r="J471" s="548">
        <v>57887.58654</v>
      </c>
      <c r="K471" s="220"/>
      <c r="CE471" s="525"/>
    </row>
    <row r="472">
      <c r="A472" s="509"/>
      <c r="B472" s="889" t="s">
        <v>356</v>
      </c>
      <c r="C472" s="890" t="s">
        <v>289</v>
      </c>
      <c r="D472" s="890" t="s">
        <v>522</v>
      </c>
      <c r="E472" s="891">
        <v>2019.0</v>
      </c>
      <c r="F472" s="890" t="s">
        <v>291</v>
      </c>
      <c r="G472" s="890" t="s">
        <v>89</v>
      </c>
      <c r="H472" s="532">
        <v>796083.0535</v>
      </c>
      <c r="I472" s="532">
        <v>919261.252</v>
      </c>
      <c r="J472" s="533">
        <v>677939.1047</v>
      </c>
      <c r="K472" s="220"/>
      <c r="CE472" s="525"/>
    </row>
    <row r="473">
      <c r="A473" s="509"/>
      <c r="B473" s="886" t="s">
        <v>356</v>
      </c>
      <c r="C473" s="887" t="s">
        <v>289</v>
      </c>
      <c r="D473" s="887" t="s">
        <v>302</v>
      </c>
      <c r="E473" s="888">
        <v>2019.0</v>
      </c>
      <c r="F473" s="887" t="s">
        <v>291</v>
      </c>
      <c r="G473" s="887" t="s">
        <v>89</v>
      </c>
      <c r="H473" s="547">
        <v>4207109.249</v>
      </c>
      <c r="I473" s="547">
        <v>4858076.678</v>
      </c>
      <c r="J473" s="548">
        <v>3582746.631</v>
      </c>
      <c r="K473" s="220"/>
      <c r="CE473" s="525"/>
    </row>
    <row r="474">
      <c r="A474" s="509"/>
      <c r="B474" s="889" t="s">
        <v>364</v>
      </c>
      <c r="C474" s="890" t="s">
        <v>289</v>
      </c>
      <c r="D474" s="890" t="s">
        <v>290</v>
      </c>
      <c r="E474" s="891">
        <v>2019.0</v>
      </c>
      <c r="F474" s="890" t="s">
        <v>291</v>
      </c>
      <c r="G474" s="890" t="s">
        <v>89</v>
      </c>
      <c r="H474" s="532">
        <v>184054.7455</v>
      </c>
      <c r="I474" s="532">
        <v>215056.3864</v>
      </c>
      <c r="J474" s="533">
        <v>154863.1144</v>
      </c>
      <c r="K474" s="220"/>
      <c r="CE474" s="525"/>
    </row>
    <row r="475">
      <c r="A475" s="509"/>
      <c r="B475" s="886" t="s">
        <v>364</v>
      </c>
      <c r="C475" s="887" t="s">
        <v>289</v>
      </c>
      <c r="D475" s="887" t="s">
        <v>310</v>
      </c>
      <c r="E475" s="888">
        <v>2019.0</v>
      </c>
      <c r="F475" s="887" t="s">
        <v>291</v>
      </c>
      <c r="G475" s="887" t="s">
        <v>89</v>
      </c>
      <c r="H475" s="547">
        <v>2818694.968</v>
      </c>
      <c r="I475" s="547">
        <v>3293467.671</v>
      </c>
      <c r="J475" s="548">
        <v>2371641.547</v>
      </c>
      <c r="K475" s="220"/>
      <c r="CE475" s="525"/>
    </row>
    <row r="476">
      <c r="A476" s="509"/>
      <c r="B476" s="889" t="s">
        <v>364</v>
      </c>
      <c r="C476" s="890" t="s">
        <v>289</v>
      </c>
      <c r="D476" s="890" t="s">
        <v>318</v>
      </c>
      <c r="E476" s="891">
        <v>2019.0</v>
      </c>
      <c r="F476" s="890" t="s">
        <v>291</v>
      </c>
      <c r="G476" s="890" t="s">
        <v>89</v>
      </c>
      <c r="H476" s="532">
        <v>2233367.637</v>
      </c>
      <c r="I476" s="532">
        <v>2609549.524</v>
      </c>
      <c r="J476" s="533">
        <v>1879148.875</v>
      </c>
      <c r="K476" s="220"/>
      <c r="CE476" s="525"/>
    </row>
    <row r="477">
      <c r="A477" s="509"/>
      <c r="B477" s="886" t="s">
        <v>364</v>
      </c>
      <c r="C477" s="887" t="s">
        <v>289</v>
      </c>
      <c r="D477" s="887" t="s">
        <v>309</v>
      </c>
      <c r="E477" s="888">
        <v>2019.0</v>
      </c>
      <c r="F477" s="887" t="s">
        <v>291</v>
      </c>
      <c r="G477" s="887" t="s">
        <v>89</v>
      </c>
      <c r="H477" s="547">
        <v>657391.823</v>
      </c>
      <c r="I477" s="547">
        <v>768120.9714</v>
      </c>
      <c r="J477" s="548">
        <v>553127.5211</v>
      </c>
      <c r="K477" s="220"/>
      <c r="CE477" s="525"/>
    </row>
    <row r="478">
      <c r="A478" s="509"/>
      <c r="B478" s="889" t="s">
        <v>364</v>
      </c>
      <c r="C478" s="890" t="s">
        <v>289</v>
      </c>
      <c r="D478" s="890" t="s">
        <v>334</v>
      </c>
      <c r="E478" s="891">
        <v>2019.0</v>
      </c>
      <c r="F478" s="890" t="s">
        <v>291</v>
      </c>
      <c r="G478" s="890" t="s">
        <v>89</v>
      </c>
      <c r="H478" s="532">
        <v>659960.9975</v>
      </c>
      <c r="I478" s="532">
        <v>771122.89</v>
      </c>
      <c r="J478" s="533">
        <v>555289.2168</v>
      </c>
      <c r="K478" s="220"/>
      <c r="CE478" s="525"/>
    </row>
    <row r="479">
      <c r="A479" s="509"/>
      <c r="B479" s="886" t="s">
        <v>364</v>
      </c>
      <c r="C479" s="887" t="s">
        <v>289</v>
      </c>
      <c r="D479" s="887" t="s">
        <v>339</v>
      </c>
      <c r="E479" s="888">
        <v>2019.0</v>
      </c>
      <c r="F479" s="887" t="s">
        <v>291</v>
      </c>
      <c r="G479" s="887" t="s">
        <v>89</v>
      </c>
      <c r="H479" s="547">
        <v>1245288.328</v>
      </c>
      <c r="I479" s="547">
        <v>1455041.037</v>
      </c>
      <c r="J479" s="548">
        <v>1047781.888</v>
      </c>
      <c r="K479" s="220"/>
      <c r="CE479" s="525"/>
    </row>
    <row r="480">
      <c r="A480" s="509"/>
      <c r="B480" s="889" t="s">
        <v>364</v>
      </c>
      <c r="C480" s="890" t="s">
        <v>289</v>
      </c>
      <c r="D480" s="890" t="s">
        <v>344</v>
      </c>
      <c r="E480" s="891">
        <v>2019.0</v>
      </c>
      <c r="F480" s="890" t="s">
        <v>291</v>
      </c>
      <c r="G480" s="890" t="s">
        <v>89</v>
      </c>
      <c r="H480" s="532">
        <v>1750169.698</v>
      </c>
      <c r="I480" s="532">
        <v>2044963.143</v>
      </c>
      <c r="J480" s="533">
        <v>1472587.569</v>
      </c>
      <c r="K480" s="220"/>
      <c r="CE480" s="525"/>
    </row>
    <row r="481">
      <c r="A481" s="509"/>
      <c r="B481" s="886" t="s">
        <v>364</v>
      </c>
      <c r="C481" s="887" t="s">
        <v>289</v>
      </c>
      <c r="D481" s="887" t="s">
        <v>349</v>
      </c>
      <c r="E481" s="888">
        <v>2019.0</v>
      </c>
      <c r="F481" s="887" t="s">
        <v>291</v>
      </c>
      <c r="G481" s="887" t="s">
        <v>89</v>
      </c>
      <c r="H481" s="547">
        <v>585327.3303</v>
      </c>
      <c r="I481" s="547">
        <v>683918.1471</v>
      </c>
      <c r="J481" s="548">
        <v>492492.6716</v>
      </c>
      <c r="K481" s="220"/>
      <c r="CE481" s="525"/>
    </row>
    <row r="482">
      <c r="A482" s="509"/>
      <c r="B482" s="889" t="s">
        <v>364</v>
      </c>
      <c r="C482" s="890" t="s">
        <v>289</v>
      </c>
      <c r="D482" s="890" t="s">
        <v>355</v>
      </c>
      <c r="E482" s="891">
        <v>2019.0</v>
      </c>
      <c r="F482" s="890" t="s">
        <v>291</v>
      </c>
      <c r="G482" s="890" t="s">
        <v>89</v>
      </c>
      <c r="H482" s="532">
        <v>2110176.69</v>
      </c>
      <c r="I482" s="532">
        <v>2465561.566</v>
      </c>
      <c r="J482" s="533">
        <v>1775359.005</v>
      </c>
      <c r="K482" s="220"/>
      <c r="CE482" s="525"/>
    </row>
    <row r="483">
      <c r="A483" s="509"/>
      <c r="B483" s="886" t="s">
        <v>364</v>
      </c>
      <c r="C483" s="887" t="s">
        <v>289</v>
      </c>
      <c r="D483" s="887" t="s">
        <v>358</v>
      </c>
      <c r="E483" s="888">
        <v>2019.0</v>
      </c>
      <c r="F483" s="887" t="s">
        <v>291</v>
      </c>
      <c r="G483" s="887" t="s">
        <v>89</v>
      </c>
      <c r="H483" s="547">
        <v>2561891.699</v>
      </c>
      <c r="I483" s="547">
        <v>2993409.214</v>
      </c>
      <c r="J483" s="548">
        <v>2155568.042</v>
      </c>
      <c r="K483" s="220"/>
      <c r="CE483" s="525"/>
    </row>
    <row r="484">
      <c r="A484" s="509"/>
      <c r="B484" s="889" t="s">
        <v>364</v>
      </c>
      <c r="C484" s="890" t="s">
        <v>289</v>
      </c>
      <c r="D484" s="890" t="s">
        <v>362</v>
      </c>
      <c r="E484" s="891">
        <v>2019.0</v>
      </c>
      <c r="F484" s="890" t="s">
        <v>291</v>
      </c>
      <c r="G484" s="890" t="s">
        <v>89</v>
      </c>
      <c r="H484" s="532">
        <v>2481268.686</v>
      </c>
      <c r="I484" s="532">
        <v>2899150.927</v>
      </c>
      <c r="J484" s="533">
        <v>2087570.546</v>
      </c>
      <c r="K484" s="220"/>
      <c r="CE484" s="525"/>
    </row>
    <row r="485">
      <c r="A485" s="509"/>
      <c r="B485" s="886" t="s">
        <v>364</v>
      </c>
      <c r="C485" s="887" t="s">
        <v>289</v>
      </c>
      <c r="D485" s="887" t="s">
        <v>366</v>
      </c>
      <c r="E485" s="888">
        <v>2019.0</v>
      </c>
      <c r="F485" s="887" t="s">
        <v>291</v>
      </c>
      <c r="G485" s="887" t="s">
        <v>89</v>
      </c>
      <c r="H485" s="547">
        <v>504881.3701</v>
      </c>
      <c r="I485" s="547">
        <v>589922.1056</v>
      </c>
      <c r="J485" s="548">
        <v>424805.6804</v>
      </c>
      <c r="K485" s="220"/>
      <c r="CE485" s="525"/>
    </row>
    <row r="486">
      <c r="A486" s="509"/>
      <c r="B486" s="889" t="s">
        <v>364</v>
      </c>
      <c r="C486" s="890" t="s">
        <v>289</v>
      </c>
      <c r="D486" s="890" t="s">
        <v>368</v>
      </c>
      <c r="E486" s="891">
        <v>2019.0</v>
      </c>
      <c r="F486" s="890" t="s">
        <v>291</v>
      </c>
      <c r="G486" s="890" t="s">
        <v>89</v>
      </c>
      <c r="H486" s="532">
        <v>1976286.81</v>
      </c>
      <c r="I486" s="532">
        <v>2309166.757</v>
      </c>
      <c r="J486" s="533">
        <v>1662841.833</v>
      </c>
      <c r="K486" s="220"/>
      <c r="CE486" s="525"/>
    </row>
    <row r="487">
      <c r="A487" s="509"/>
      <c r="B487" s="886" t="s">
        <v>364</v>
      </c>
      <c r="C487" s="887" t="s">
        <v>289</v>
      </c>
      <c r="D487" s="887" t="s">
        <v>373</v>
      </c>
      <c r="E487" s="888">
        <v>2019.0</v>
      </c>
      <c r="F487" s="887" t="s">
        <v>291</v>
      </c>
      <c r="G487" s="887" t="s">
        <v>89</v>
      </c>
      <c r="H487" s="547">
        <v>394676.6344</v>
      </c>
      <c r="I487" s="547">
        <v>461154.8079</v>
      </c>
      <c r="J487" s="548">
        <v>332079.7442</v>
      </c>
      <c r="K487" s="220"/>
      <c r="CE487" s="525"/>
    </row>
    <row r="488">
      <c r="A488" s="509"/>
      <c r="B488" s="889" t="s">
        <v>364</v>
      </c>
      <c r="C488" s="890" t="s">
        <v>289</v>
      </c>
      <c r="D488" s="890" t="s">
        <v>379</v>
      </c>
      <c r="E488" s="891">
        <v>2019.0</v>
      </c>
      <c r="F488" s="890" t="s">
        <v>291</v>
      </c>
      <c r="G488" s="890" t="s">
        <v>89</v>
      </c>
      <c r="H488" s="532">
        <v>1471742.612</v>
      </c>
      <c r="I488" s="532">
        <v>1719605.774</v>
      </c>
      <c r="J488" s="533">
        <v>1238224.037</v>
      </c>
      <c r="K488" s="220"/>
      <c r="CE488" s="525"/>
    </row>
    <row r="489">
      <c r="A489" s="509"/>
      <c r="B489" s="886" t="s">
        <v>364</v>
      </c>
      <c r="C489" s="887" t="s">
        <v>289</v>
      </c>
      <c r="D489" s="887" t="s">
        <v>382</v>
      </c>
      <c r="E489" s="888">
        <v>2019.0</v>
      </c>
      <c r="F489" s="887" t="s">
        <v>291</v>
      </c>
      <c r="G489" s="887" t="s">
        <v>89</v>
      </c>
      <c r="H489" s="547">
        <v>335493.4073</v>
      </c>
      <c r="I489" s="547">
        <v>392002.9317</v>
      </c>
      <c r="J489" s="548">
        <v>282283.1533</v>
      </c>
      <c r="K489" s="220"/>
      <c r="CE489" s="525"/>
    </row>
    <row r="490">
      <c r="A490" s="509"/>
      <c r="B490" s="889" t="s">
        <v>364</v>
      </c>
      <c r="C490" s="890" t="s">
        <v>289</v>
      </c>
      <c r="D490" s="890" t="s">
        <v>387</v>
      </c>
      <c r="E490" s="891">
        <v>2019.0</v>
      </c>
      <c r="F490" s="890" t="s">
        <v>291</v>
      </c>
      <c r="G490" s="890" t="s">
        <v>89</v>
      </c>
      <c r="H490" s="532">
        <v>289712.473</v>
      </c>
      <c r="I490" s="532">
        <v>338510.7912</v>
      </c>
      <c r="J490" s="533">
        <v>243763.2115</v>
      </c>
      <c r="K490" s="220"/>
      <c r="CE490" s="525"/>
    </row>
    <row r="491">
      <c r="A491" s="509"/>
      <c r="B491" s="886" t="s">
        <v>364</v>
      </c>
      <c r="C491" s="887" t="s">
        <v>289</v>
      </c>
      <c r="D491" s="887" t="s">
        <v>392</v>
      </c>
      <c r="E491" s="888">
        <v>2019.0</v>
      </c>
      <c r="F491" s="887" t="s">
        <v>291</v>
      </c>
      <c r="G491" s="887" t="s">
        <v>89</v>
      </c>
      <c r="H491" s="547">
        <v>246677.7299</v>
      </c>
      <c r="I491" s="547">
        <v>288227.4024</v>
      </c>
      <c r="J491" s="548">
        <v>207553.9069</v>
      </c>
      <c r="K491" s="220"/>
      <c r="CE491" s="525"/>
    </row>
    <row r="492">
      <c r="A492" s="509"/>
      <c r="B492" s="889" t="s">
        <v>364</v>
      </c>
      <c r="C492" s="890" t="s">
        <v>289</v>
      </c>
      <c r="D492" s="890" t="s">
        <v>398</v>
      </c>
      <c r="E492" s="891">
        <v>2019.0</v>
      </c>
      <c r="F492" s="890" t="s">
        <v>291</v>
      </c>
      <c r="G492" s="890" t="s">
        <v>89</v>
      </c>
      <c r="H492" s="532">
        <v>205122.7537</v>
      </c>
      <c r="I492" s="532">
        <v>239673.028</v>
      </c>
      <c r="J492" s="533">
        <v>172589.6738</v>
      </c>
      <c r="K492" s="220"/>
      <c r="CE492" s="525"/>
    </row>
    <row r="493">
      <c r="A493" s="509"/>
      <c r="B493" s="886" t="s">
        <v>364</v>
      </c>
      <c r="C493" s="887" t="s">
        <v>289</v>
      </c>
      <c r="D493" s="887" t="s">
        <v>402</v>
      </c>
      <c r="E493" s="888">
        <v>2019.0</v>
      </c>
      <c r="F493" s="887" t="s">
        <v>291</v>
      </c>
      <c r="G493" s="887" t="s">
        <v>89</v>
      </c>
      <c r="H493" s="547">
        <v>1977328.492</v>
      </c>
      <c r="I493" s="547">
        <v>2310339.773</v>
      </c>
      <c r="J493" s="548">
        <v>1663589.576</v>
      </c>
      <c r="K493" s="220"/>
      <c r="CE493" s="525"/>
    </row>
    <row r="494">
      <c r="A494" s="509"/>
      <c r="B494" s="889" t="s">
        <v>364</v>
      </c>
      <c r="C494" s="890" t="s">
        <v>289</v>
      </c>
      <c r="D494" s="890" t="s">
        <v>407</v>
      </c>
      <c r="E494" s="891">
        <v>2019.0</v>
      </c>
      <c r="F494" s="890" t="s">
        <v>291</v>
      </c>
      <c r="G494" s="890" t="s">
        <v>89</v>
      </c>
      <c r="H494" s="532">
        <v>731960.0713</v>
      </c>
      <c r="I494" s="532">
        <v>855249.2765</v>
      </c>
      <c r="J494" s="533">
        <v>615869.023</v>
      </c>
      <c r="K494" s="220"/>
      <c r="CE494" s="525"/>
    </row>
    <row r="495">
      <c r="A495" s="509"/>
      <c r="B495" s="886" t="s">
        <v>364</v>
      </c>
      <c r="C495" s="887" t="s">
        <v>289</v>
      </c>
      <c r="D495" s="887" t="s">
        <v>414</v>
      </c>
      <c r="E495" s="888">
        <v>2019.0</v>
      </c>
      <c r="F495" s="887" t="s">
        <v>291</v>
      </c>
      <c r="G495" s="887" t="s">
        <v>89</v>
      </c>
      <c r="H495" s="547">
        <v>165501.3538</v>
      </c>
      <c r="I495" s="547">
        <v>193377.9159</v>
      </c>
      <c r="J495" s="548">
        <v>139252.346</v>
      </c>
      <c r="K495" s="220"/>
      <c r="CE495" s="525"/>
    </row>
    <row r="496">
      <c r="A496" s="509"/>
      <c r="B496" s="889" t="s">
        <v>364</v>
      </c>
      <c r="C496" s="890" t="s">
        <v>289</v>
      </c>
      <c r="D496" s="890" t="s">
        <v>417</v>
      </c>
      <c r="E496" s="891">
        <v>2019.0</v>
      </c>
      <c r="F496" s="890" t="s">
        <v>291</v>
      </c>
      <c r="G496" s="890" t="s">
        <v>89</v>
      </c>
      <c r="H496" s="532">
        <v>437256.0231</v>
      </c>
      <c r="I496" s="532">
        <v>510906.1438</v>
      </c>
      <c r="J496" s="533">
        <v>367905.915</v>
      </c>
      <c r="K496" s="220"/>
      <c r="CE496" s="525"/>
    </row>
    <row r="497">
      <c r="A497" s="509"/>
      <c r="B497" s="886" t="s">
        <v>364</v>
      </c>
      <c r="C497" s="887" t="s">
        <v>289</v>
      </c>
      <c r="D497" s="887" t="s">
        <v>300</v>
      </c>
      <c r="E497" s="888">
        <v>2019.0</v>
      </c>
      <c r="F497" s="887" t="s">
        <v>291</v>
      </c>
      <c r="G497" s="887" t="s">
        <v>89</v>
      </c>
      <c r="H497" s="547">
        <v>1391921.069</v>
      </c>
      <c r="I497" s="547">
        <v>1626372.167</v>
      </c>
      <c r="J497" s="548">
        <v>1171158.24</v>
      </c>
      <c r="K497" s="220"/>
      <c r="CE497" s="525"/>
    </row>
    <row r="498">
      <c r="A498" s="509"/>
      <c r="B498" s="889" t="s">
        <v>364</v>
      </c>
      <c r="C498" s="890" t="s">
        <v>289</v>
      </c>
      <c r="D498" s="890" t="s">
        <v>429</v>
      </c>
      <c r="E498" s="891">
        <v>2019.0</v>
      </c>
      <c r="F498" s="890" t="s">
        <v>291</v>
      </c>
      <c r="G498" s="890" t="s">
        <v>89</v>
      </c>
      <c r="H498" s="532">
        <v>339116.1937</v>
      </c>
      <c r="I498" s="532">
        <v>396228.3621</v>
      </c>
      <c r="J498" s="533">
        <v>285309.2782</v>
      </c>
      <c r="K498" s="220"/>
      <c r="CE498" s="525"/>
    </row>
    <row r="499">
      <c r="A499" s="509"/>
      <c r="B499" s="886" t="s">
        <v>364</v>
      </c>
      <c r="C499" s="887" t="s">
        <v>289</v>
      </c>
      <c r="D499" s="887" t="s">
        <v>432</v>
      </c>
      <c r="E499" s="888">
        <v>2019.0</v>
      </c>
      <c r="F499" s="887" t="s">
        <v>291</v>
      </c>
      <c r="G499" s="887" t="s">
        <v>89</v>
      </c>
      <c r="H499" s="547">
        <v>124405.7717</v>
      </c>
      <c r="I499" s="547">
        <v>145360.3146</v>
      </c>
      <c r="J499" s="548">
        <v>104674.6456</v>
      </c>
      <c r="K499" s="220"/>
      <c r="CE499" s="525"/>
    </row>
    <row r="500">
      <c r="A500" s="509"/>
      <c r="B500" s="889" t="s">
        <v>364</v>
      </c>
      <c r="C500" s="890" t="s">
        <v>289</v>
      </c>
      <c r="D500" s="890" t="s">
        <v>435</v>
      </c>
      <c r="E500" s="891">
        <v>2019.0</v>
      </c>
      <c r="F500" s="890" t="s">
        <v>291</v>
      </c>
      <c r="G500" s="890" t="s">
        <v>89</v>
      </c>
      <c r="H500" s="532">
        <v>90409.04611</v>
      </c>
      <c r="I500" s="532">
        <v>105637.2804</v>
      </c>
      <c r="J500" s="533">
        <v>76069.90201</v>
      </c>
      <c r="K500" s="220"/>
      <c r="CE500" s="525"/>
    </row>
    <row r="501">
      <c r="A501" s="509"/>
      <c r="B501" s="886" t="s">
        <v>364</v>
      </c>
      <c r="C501" s="887" t="s">
        <v>289</v>
      </c>
      <c r="D501" s="887" t="s">
        <v>442</v>
      </c>
      <c r="E501" s="888">
        <v>2019.0</v>
      </c>
      <c r="F501" s="887" t="s">
        <v>291</v>
      </c>
      <c r="G501" s="887" t="s">
        <v>89</v>
      </c>
      <c r="H501" s="547">
        <v>56939.85149</v>
      </c>
      <c r="I501" s="547">
        <v>66530.63289</v>
      </c>
      <c r="J501" s="548">
        <v>47909.02138</v>
      </c>
      <c r="K501" s="220"/>
      <c r="CE501" s="525"/>
    </row>
    <row r="502">
      <c r="A502" s="509"/>
      <c r="B502" s="889" t="s">
        <v>364</v>
      </c>
      <c r="C502" s="890" t="s">
        <v>289</v>
      </c>
      <c r="D502" s="890" t="s">
        <v>445</v>
      </c>
      <c r="E502" s="891">
        <v>2019.0</v>
      </c>
      <c r="F502" s="890" t="s">
        <v>291</v>
      </c>
      <c r="G502" s="890" t="s">
        <v>89</v>
      </c>
      <c r="H502" s="532">
        <v>91371.56204</v>
      </c>
      <c r="I502" s="532">
        <v>106759.8807</v>
      </c>
      <c r="J502" s="533">
        <v>76873.81169</v>
      </c>
      <c r="K502" s="220"/>
      <c r="CE502" s="525"/>
    </row>
    <row r="503">
      <c r="A503" s="509"/>
      <c r="B503" s="886" t="s">
        <v>364</v>
      </c>
      <c r="C503" s="887" t="s">
        <v>289</v>
      </c>
      <c r="D503" s="887" t="s">
        <v>450</v>
      </c>
      <c r="E503" s="888">
        <v>2019.0</v>
      </c>
      <c r="F503" s="887" t="s">
        <v>291</v>
      </c>
      <c r="G503" s="887" t="s">
        <v>89</v>
      </c>
      <c r="H503" s="547">
        <v>34428.00946</v>
      </c>
      <c r="I503" s="547">
        <v>40226.96229</v>
      </c>
      <c r="J503" s="548">
        <v>28967.62458</v>
      </c>
      <c r="K503" s="220"/>
      <c r="CE503" s="525"/>
    </row>
    <row r="504">
      <c r="A504" s="509"/>
      <c r="B504" s="889" t="s">
        <v>364</v>
      </c>
      <c r="C504" s="890" t="s">
        <v>289</v>
      </c>
      <c r="D504" s="890" t="s">
        <v>457</v>
      </c>
      <c r="E504" s="891">
        <v>2019.0</v>
      </c>
      <c r="F504" s="890" t="s">
        <v>291</v>
      </c>
      <c r="G504" s="890" t="s">
        <v>89</v>
      </c>
      <c r="H504" s="532">
        <v>67347.78815</v>
      </c>
      <c r="I504" s="532">
        <v>78691.65183</v>
      </c>
      <c r="J504" s="533">
        <v>56666.22827</v>
      </c>
      <c r="K504" s="220"/>
      <c r="CE504" s="525"/>
    </row>
    <row r="505">
      <c r="A505" s="509"/>
      <c r="B505" s="886" t="s">
        <v>364</v>
      </c>
      <c r="C505" s="887" t="s">
        <v>289</v>
      </c>
      <c r="D505" s="887" t="s">
        <v>463</v>
      </c>
      <c r="E505" s="888">
        <v>2019.0</v>
      </c>
      <c r="F505" s="887" t="s">
        <v>291</v>
      </c>
      <c r="G505" s="887" t="s">
        <v>89</v>
      </c>
      <c r="H505" s="547">
        <v>32921.11218</v>
      </c>
      <c r="I505" s="547">
        <v>38465.513</v>
      </c>
      <c r="J505" s="548">
        <v>27697.58251</v>
      </c>
      <c r="K505" s="220"/>
      <c r="CE505" s="525"/>
    </row>
    <row r="506">
      <c r="A506" s="509"/>
      <c r="B506" s="889" t="s">
        <v>364</v>
      </c>
      <c r="C506" s="890" t="s">
        <v>289</v>
      </c>
      <c r="D506" s="890" t="s">
        <v>467</v>
      </c>
      <c r="E506" s="891">
        <v>2019.0</v>
      </c>
      <c r="F506" s="890" t="s">
        <v>291</v>
      </c>
      <c r="G506" s="890" t="s">
        <v>89</v>
      </c>
      <c r="H506" s="532">
        <v>19585.27621</v>
      </c>
      <c r="I506" s="532">
        <v>22884.16263</v>
      </c>
      <c r="J506" s="533">
        <v>16478.99305</v>
      </c>
      <c r="K506" s="220"/>
      <c r="CE506" s="525"/>
    </row>
    <row r="507">
      <c r="A507" s="509"/>
      <c r="B507" s="886" t="s">
        <v>364</v>
      </c>
      <c r="C507" s="887" t="s">
        <v>289</v>
      </c>
      <c r="D507" s="887" t="s">
        <v>473</v>
      </c>
      <c r="E507" s="888">
        <v>2019.0</v>
      </c>
      <c r="F507" s="887" t="s">
        <v>291</v>
      </c>
      <c r="G507" s="887" t="s">
        <v>89</v>
      </c>
      <c r="H507" s="547">
        <v>28787.35613</v>
      </c>
      <c r="I507" s="547">
        <v>33635.57147</v>
      </c>
      <c r="J507" s="548">
        <v>24219.7216</v>
      </c>
      <c r="K507" s="220"/>
      <c r="CE507" s="525"/>
    </row>
    <row r="508">
      <c r="A508" s="509"/>
      <c r="B508" s="889" t="s">
        <v>364</v>
      </c>
      <c r="C508" s="890" t="s">
        <v>289</v>
      </c>
      <c r="D508" s="890" t="s">
        <v>477</v>
      </c>
      <c r="E508" s="891">
        <v>2019.0</v>
      </c>
      <c r="F508" s="890" t="s">
        <v>291</v>
      </c>
      <c r="G508" s="890" t="s">
        <v>89</v>
      </c>
      <c r="H508" s="532">
        <v>13334.50247</v>
      </c>
      <c r="I508" s="532">
        <v>15580.52691</v>
      </c>
      <c r="J508" s="533">
        <v>11219.61065</v>
      </c>
      <c r="K508" s="220"/>
      <c r="CE508" s="525"/>
    </row>
    <row r="509">
      <c r="A509" s="509"/>
      <c r="B509" s="886" t="s">
        <v>364</v>
      </c>
      <c r="C509" s="887" t="s">
        <v>289</v>
      </c>
      <c r="D509" s="887" t="s">
        <v>483</v>
      </c>
      <c r="E509" s="888">
        <v>2019.0</v>
      </c>
      <c r="F509" s="887" t="s">
        <v>291</v>
      </c>
      <c r="G509" s="887" t="s">
        <v>89</v>
      </c>
      <c r="H509" s="547">
        <v>9200.913862</v>
      </c>
      <c r="I509" s="547">
        <v>10750.68878</v>
      </c>
      <c r="J509" s="548">
        <v>7741.621508</v>
      </c>
      <c r="K509" s="220"/>
      <c r="CE509" s="525"/>
    </row>
    <row r="510">
      <c r="A510" s="509"/>
      <c r="B510" s="889" t="s">
        <v>364</v>
      </c>
      <c r="C510" s="890" t="s">
        <v>289</v>
      </c>
      <c r="D510" s="890" t="s">
        <v>489</v>
      </c>
      <c r="E510" s="891">
        <v>2019.0</v>
      </c>
      <c r="F510" s="890" t="s">
        <v>291</v>
      </c>
      <c r="G510" s="890" t="s">
        <v>89</v>
      </c>
      <c r="H510" s="532">
        <v>4133.756049</v>
      </c>
      <c r="I510" s="532">
        <v>4829.941534</v>
      </c>
      <c r="J510" s="533">
        <v>3477.860912</v>
      </c>
      <c r="K510" s="220"/>
      <c r="CE510" s="525"/>
    </row>
    <row r="511">
      <c r="A511" s="509"/>
      <c r="B511" s="886" t="s">
        <v>364</v>
      </c>
      <c r="C511" s="887" t="s">
        <v>289</v>
      </c>
      <c r="D511" s="887" t="s">
        <v>493</v>
      </c>
      <c r="E511" s="888">
        <v>2019.0</v>
      </c>
      <c r="F511" s="887" t="s">
        <v>291</v>
      </c>
      <c r="G511" s="887" t="s">
        <v>89</v>
      </c>
      <c r="H511" s="547">
        <v>3166.128137</v>
      </c>
      <c r="I511" s="547">
        <v>3699.421464</v>
      </c>
      <c r="J511" s="548">
        <v>2663.970781</v>
      </c>
      <c r="K511" s="220"/>
      <c r="CE511" s="525"/>
    </row>
    <row r="512">
      <c r="A512" s="509"/>
      <c r="B512" s="889" t="s">
        <v>364</v>
      </c>
      <c r="C512" s="890" t="s">
        <v>289</v>
      </c>
      <c r="D512" s="890" t="s">
        <v>496</v>
      </c>
      <c r="E512" s="891">
        <v>2019.0</v>
      </c>
      <c r="F512" s="890" t="s">
        <v>291</v>
      </c>
      <c r="G512" s="890" t="s">
        <v>89</v>
      </c>
      <c r="H512" s="532">
        <v>800.2950777</v>
      </c>
      <c r="I512" s="532">
        <v>935.0944307</v>
      </c>
      <c r="J512" s="533">
        <v>673.3658938</v>
      </c>
      <c r="K512" s="220"/>
      <c r="CE512" s="525"/>
    </row>
    <row r="513">
      <c r="A513" s="509"/>
      <c r="B513" s="886" t="s">
        <v>364</v>
      </c>
      <c r="C513" s="887" t="s">
        <v>289</v>
      </c>
      <c r="D513" s="887" t="s">
        <v>502</v>
      </c>
      <c r="E513" s="888">
        <v>2019.0</v>
      </c>
      <c r="F513" s="887" t="s">
        <v>291</v>
      </c>
      <c r="G513" s="887" t="s">
        <v>89</v>
      </c>
      <c r="H513" s="547">
        <v>167.1653928</v>
      </c>
      <c r="I513" s="547">
        <v>195.3222408</v>
      </c>
      <c r="J513" s="548">
        <v>140.6524634</v>
      </c>
      <c r="K513" s="220"/>
      <c r="CE513" s="525"/>
    </row>
    <row r="514">
      <c r="A514" s="509"/>
      <c r="B514" s="889" t="s">
        <v>364</v>
      </c>
      <c r="C514" s="890" t="s">
        <v>289</v>
      </c>
      <c r="D514" s="890" t="s">
        <v>332</v>
      </c>
      <c r="E514" s="891">
        <v>2019.0</v>
      </c>
      <c r="F514" s="890" t="s">
        <v>291</v>
      </c>
      <c r="G514" s="890" t="s">
        <v>89</v>
      </c>
      <c r="H514" s="532">
        <v>5299863.147</v>
      </c>
      <c r="I514" s="532">
        <v>6192556.534</v>
      </c>
      <c r="J514" s="533">
        <v>4459289.06</v>
      </c>
      <c r="K514" s="220"/>
      <c r="CE514" s="525"/>
    </row>
    <row r="515">
      <c r="A515" s="509"/>
      <c r="B515" s="886" t="s">
        <v>364</v>
      </c>
      <c r="C515" s="887" t="s">
        <v>289</v>
      </c>
      <c r="D515" s="887" t="s">
        <v>510</v>
      </c>
      <c r="E515" s="888">
        <v>2019.0</v>
      </c>
      <c r="F515" s="887" t="s">
        <v>291</v>
      </c>
      <c r="G515" s="887" t="s">
        <v>89</v>
      </c>
      <c r="H515" s="547">
        <v>197517.1504</v>
      </c>
      <c r="I515" s="547">
        <v>212995.4627</v>
      </c>
      <c r="J515" s="548">
        <v>181975.301</v>
      </c>
      <c r="K515" s="220"/>
      <c r="CE515" s="525"/>
    </row>
    <row r="516">
      <c r="A516" s="509"/>
      <c r="B516" s="889" t="s">
        <v>364</v>
      </c>
      <c r="C516" s="890" t="s">
        <v>289</v>
      </c>
      <c r="D516" s="890" t="s">
        <v>512</v>
      </c>
      <c r="E516" s="891">
        <v>2019.0</v>
      </c>
      <c r="F516" s="890" t="s">
        <v>291</v>
      </c>
      <c r="G516" s="890" t="s">
        <v>89</v>
      </c>
      <c r="H516" s="532">
        <v>3743.17752</v>
      </c>
      <c r="I516" s="532">
        <v>4373.667351</v>
      </c>
      <c r="J516" s="533">
        <v>3149.498412</v>
      </c>
      <c r="K516" s="220"/>
      <c r="CE516" s="525"/>
    </row>
    <row r="517">
      <c r="A517" s="509"/>
      <c r="B517" s="886" t="s">
        <v>364</v>
      </c>
      <c r="C517" s="887" t="s">
        <v>289</v>
      </c>
      <c r="D517" s="887" t="s">
        <v>515</v>
      </c>
      <c r="E517" s="888">
        <v>2019.0</v>
      </c>
      <c r="F517" s="887" t="s">
        <v>291</v>
      </c>
      <c r="G517" s="887" t="s">
        <v>89</v>
      </c>
      <c r="H517" s="547">
        <v>10993.20365</v>
      </c>
      <c r="I517" s="547">
        <v>12844.86659</v>
      </c>
      <c r="J517" s="548">
        <v>9249.648795</v>
      </c>
      <c r="K517" s="220"/>
      <c r="CE517" s="525"/>
    </row>
    <row r="518">
      <c r="A518" s="509"/>
      <c r="B518" s="889" t="s">
        <v>364</v>
      </c>
      <c r="C518" s="890" t="s">
        <v>289</v>
      </c>
      <c r="D518" s="890" t="s">
        <v>518</v>
      </c>
      <c r="E518" s="891">
        <v>2019.0</v>
      </c>
      <c r="F518" s="890" t="s">
        <v>291</v>
      </c>
      <c r="G518" s="890" t="s">
        <v>89</v>
      </c>
      <c r="H518" s="532">
        <v>14736.38117</v>
      </c>
      <c r="I518" s="532">
        <v>17218.53394</v>
      </c>
      <c r="J518" s="533">
        <v>12399.14721</v>
      </c>
      <c r="K518" s="220"/>
      <c r="CE518" s="525"/>
    </row>
    <row r="519">
      <c r="A519" s="509"/>
      <c r="B519" s="886" t="s">
        <v>364</v>
      </c>
      <c r="C519" s="887" t="s">
        <v>289</v>
      </c>
      <c r="D519" s="887" t="s">
        <v>522</v>
      </c>
      <c r="E519" s="888">
        <v>2019.0</v>
      </c>
      <c r="F519" s="887" t="s">
        <v>291</v>
      </c>
      <c r="G519" s="887" t="s">
        <v>89</v>
      </c>
      <c r="H519" s="547">
        <v>169318.3643</v>
      </c>
      <c r="I519" s="547">
        <v>197837.8524</v>
      </c>
      <c r="J519" s="548">
        <v>142463.9672</v>
      </c>
      <c r="K519" s="220"/>
      <c r="CE519" s="525"/>
    </row>
    <row r="520">
      <c r="A520" s="509"/>
      <c r="B520" s="889" t="s">
        <v>364</v>
      </c>
      <c r="C520" s="890" t="s">
        <v>289</v>
      </c>
      <c r="D520" s="890" t="s">
        <v>302</v>
      </c>
      <c r="E520" s="891">
        <v>2019.0</v>
      </c>
      <c r="F520" s="890" t="s">
        <v>291</v>
      </c>
      <c r="G520" s="890" t="s">
        <v>89</v>
      </c>
      <c r="H520" s="532">
        <v>841446.5685</v>
      </c>
      <c r="I520" s="532">
        <v>983177.3578</v>
      </c>
      <c r="J520" s="533">
        <v>707990.6355</v>
      </c>
      <c r="K520" s="220"/>
      <c r="CE520" s="525"/>
    </row>
    <row r="521">
      <c r="A521" s="509"/>
      <c r="B521" s="886" t="s">
        <v>4</v>
      </c>
      <c r="C521" s="887" t="s">
        <v>289</v>
      </c>
      <c r="D521" s="887" t="s">
        <v>290</v>
      </c>
      <c r="E521" s="888">
        <v>2019.0</v>
      </c>
      <c r="F521" s="887" t="s">
        <v>291</v>
      </c>
      <c r="G521" s="887" t="s">
        <v>89</v>
      </c>
      <c r="H521" s="547">
        <v>738926.3835</v>
      </c>
      <c r="I521" s="547">
        <v>841718.023</v>
      </c>
      <c r="J521" s="548">
        <v>645586.7941</v>
      </c>
      <c r="K521" s="220"/>
      <c r="CE521" s="525"/>
    </row>
    <row r="522">
      <c r="A522" s="509"/>
      <c r="B522" s="889" t="s">
        <v>4</v>
      </c>
      <c r="C522" s="890" t="s">
        <v>289</v>
      </c>
      <c r="D522" s="890" t="s">
        <v>310</v>
      </c>
      <c r="E522" s="891">
        <v>2019.0</v>
      </c>
      <c r="F522" s="890" t="s">
        <v>291</v>
      </c>
      <c r="G522" s="890" t="s">
        <v>89</v>
      </c>
      <c r="H522" s="532">
        <v>1.009027633E7</v>
      </c>
      <c r="I522" s="532">
        <v>1.149392907E7</v>
      </c>
      <c r="J522" s="533">
        <v>8815694.353</v>
      </c>
      <c r="K522" s="220"/>
      <c r="CE522" s="525"/>
    </row>
    <row r="523">
      <c r="A523" s="509"/>
      <c r="B523" s="886" t="s">
        <v>4</v>
      </c>
      <c r="C523" s="887" t="s">
        <v>289</v>
      </c>
      <c r="D523" s="887" t="s">
        <v>318</v>
      </c>
      <c r="E523" s="888">
        <v>2019.0</v>
      </c>
      <c r="F523" s="887" t="s">
        <v>291</v>
      </c>
      <c r="G523" s="887" t="s">
        <v>89</v>
      </c>
      <c r="H523" s="547">
        <v>8310087.563</v>
      </c>
      <c r="I523" s="547">
        <v>9466099.236</v>
      </c>
      <c r="J523" s="548">
        <v>7260375.199</v>
      </c>
      <c r="K523" s="220"/>
      <c r="CE523" s="525"/>
    </row>
    <row r="524">
      <c r="A524" s="509"/>
      <c r="B524" s="889" t="s">
        <v>4</v>
      </c>
      <c r="C524" s="890" t="s">
        <v>289</v>
      </c>
      <c r="D524" s="890" t="s">
        <v>309</v>
      </c>
      <c r="E524" s="891">
        <v>2019.0</v>
      </c>
      <c r="F524" s="890" t="s">
        <v>291</v>
      </c>
      <c r="G524" s="890" t="s">
        <v>89</v>
      </c>
      <c r="H524" s="532">
        <v>2593740.178</v>
      </c>
      <c r="I524" s="532">
        <v>2954553.936</v>
      </c>
      <c r="J524" s="533">
        <v>2266104.505</v>
      </c>
      <c r="K524" s="220"/>
      <c r="CE524" s="525"/>
    </row>
    <row r="525">
      <c r="A525" s="509"/>
      <c r="B525" s="886" t="s">
        <v>4</v>
      </c>
      <c r="C525" s="887" t="s">
        <v>289</v>
      </c>
      <c r="D525" s="887" t="s">
        <v>334</v>
      </c>
      <c r="E525" s="888">
        <v>2019.0</v>
      </c>
      <c r="F525" s="887" t="s">
        <v>291</v>
      </c>
      <c r="G525" s="887" t="s">
        <v>89</v>
      </c>
      <c r="H525" s="547">
        <v>2226082.475</v>
      </c>
      <c r="I525" s="547">
        <v>2535751.574</v>
      </c>
      <c r="J525" s="548">
        <v>1944888.531</v>
      </c>
      <c r="K525" s="220"/>
      <c r="CE525" s="525"/>
    </row>
    <row r="526">
      <c r="A526" s="509"/>
      <c r="B526" s="889" t="s">
        <v>4</v>
      </c>
      <c r="C526" s="890" t="s">
        <v>289</v>
      </c>
      <c r="D526" s="890" t="s">
        <v>339</v>
      </c>
      <c r="E526" s="891">
        <v>2019.0</v>
      </c>
      <c r="F526" s="890" t="s">
        <v>291</v>
      </c>
      <c r="G526" s="890" t="s">
        <v>89</v>
      </c>
      <c r="H526" s="532">
        <v>4006271.241</v>
      </c>
      <c r="I526" s="532">
        <v>4563581.411</v>
      </c>
      <c r="J526" s="533">
        <v>3500207.685</v>
      </c>
      <c r="K526" s="220"/>
      <c r="CE526" s="525"/>
    </row>
    <row r="527">
      <c r="A527" s="509"/>
      <c r="B527" s="886" t="s">
        <v>4</v>
      </c>
      <c r="C527" s="887" t="s">
        <v>289</v>
      </c>
      <c r="D527" s="887" t="s">
        <v>344</v>
      </c>
      <c r="E527" s="888">
        <v>2019.0</v>
      </c>
      <c r="F527" s="887" t="s">
        <v>291</v>
      </c>
      <c r="G527" s="887" t="s">
        <v>89</v>
      </c>
      <c r="H527" s="547">
        <v>5366163.489</v>
      </c>
      <c r="I527" s="547">
        <v>6112647.516</v>
      </c>
      <c r="J527" s="548">
        <v>4688321.274</v>
      </c>
      <c r="K527" s="220"/>
      <c r="CE527" s="525"/>
    </row>
    <row r="528">
      <c r="A528" s="509"/>
      <c r="B528" s="889" t="s">
        <v>4</v>
      </c>
      <c r="C528" s="890" t="s">
        <v>289</v>
      </c>
      <c r="D528" s="890" t="s">
        <v>349</v>
      </c>
      <c r="E528" s="891">
        <v>2019.0</v>
      </c>
      <c r="F528" s="890" t="s">
        <v>291</v>
      </c>
      <c r="G528" s="890" t="s">
        <v>89</v>
      </c>
      <c r="H528" s="532">
        <v>1780188.765</v>
      </c>
      <c r="I528" s="532">
        <v>2027829.838</v>
      </c>
      <c r="J528" s="533">
        <v>1555319.154</v>
      </c>
      <c r="K528" s="220"/>
      <c r="CE528" s="525"/>
    </row>
    <row r="529">
      <c r="A529" s="509"/>
      <c r="B529" s="886" t="s">
        <v>4</v>
      </c>
      <c r="C529" s="887" t="s">
        <v>289</v>
      </c>
      <c r="D529" s="887" t="s">
        <v>355</v>
      </c>
      <c r="E529" s="888">
        <v>2019.0</v>
      </c>
      <c r="F529" s="887" t="s">
        <v>291</v>
      </c>
      <c r="G529" s="887" t="s">
        <v>89</v>
      </c>
      <c r="H529" s="547">
        <v>5789750.252</v>
      </c>
      <c r="I529" s="547">
        <v>6595025.06</v>
      </c>
      <c r="J529" s="548">
        <v>5057938.918</v>
      </c>
      <c r="K529" s="220"/>
      <c r="CE529" s="525"/>
    </row>
    <row r="530">
      <c r="A530" s="509"/>
      <c r="B530" s="889" t="s">
        <v>4</v>
      </c>
      <c r="C530" s="890" t="s">
        <v>289</v>
      </c>
      <c r="D530" s="890" t="s">
        <v>358</v>
      </c>
      <c r="E530" s="891">
        <v>2019.0</v>
      </c>
      <c r="F530" s="890" t="s">
        <v>291</v>
      </c>
      <c r="G530" s="890" t="s">
        <v>89</v>
      </c>
      <c r="H530" s="532">
        <v>6837810.285</v>
      </c>
      <c r="I530" s="532">
        <v>7789014.282</v>
      </c>
      <c r="J530" s="533">
        <v>5974072.816</v>
      </c>
      <c r="K530" s="220"/>
      <c r="CE530" s="525"/>
    </row>
    <row r="531">
      <c r="A531" s="509"/>
      <c r="B531" s="886" t="s">
        <v>4</v>
      </c>
      <c r="C531" s="887" t="s">
        <v>289</v>
      </c>
      <c r="D531" s="887" t="s">
        <v>362</v>
      </c>
      <c r="E531" s="888">
        <v>2019.0</v>
      </c>
      <c r="F531" s="887" t="s">
        <v>291</v>
      </c>
      <c r="G531" s="887" t="s">
        <v>89</v>
      </c>
      <c r="H531" s="547">
        <v>6308736.293</v>
      </c>
      <c r="I531" s="547">
        <v>7186194.937</v>
      </c>
      <c r="J531" s="548">
        <v>5511326.298</v>
      </c>
      <c r="K531" s="220"/>
      <c r="CE531" s="525"/>
    </row>
    <row r="532">
      <c r="A532" s="509"/>
      <c r="B532" s="889" t="s">
        <v>4</v>
      </c>
      <c r="C532" s="890" t="s">
        <v>289</v>
      </c>
      <c r="D532" s="890" t="s">
        <v>366</v>
      </c>
      <c r="E532" s="891">
        <v>2019.0</v>
      </c>
      <c r="F532" s="890" t="s">
        <v>291</v>
      </c>
      <c r="G532" s="890" t="s">
        <v>89</v>
      </c>
      <c r="H532" s="532">
        <v>1359892.248</v>
      </c>
      <c r="I532" s="532">
        <v>1549066.105</v>
      </c>
      <c r="J532" s="533">
        <v>1188113.588</v>
      </c>
      <c r="K532" s="220"/>
      <c r="CE532" s="525"/>
    </row>
    <row r="533">
      <c r="A533" s="509"/>
      <c r="B533" s="886" t="s">
        <v>4</v>
      </c>
      <c r="C533" s="887" t="s">
        <v>289</v>
      </c>
      <c r="D533" s="887" t="s">
        <v>368</v>
      </c>
      <c r="E533" s="888">
        <v>2019.0</v>
      </c>
      <c r="F533" s="887" t="s">
        <v>291</v>
      </c>
      <c r="G533" s="887" t="s">
        <v>89</v>
      </c>
      <c r="H533" s="547">
        <v>4948691.165</v>
      </c>
      <c r="I533" s="547">
        <v>5637100.849</v>
      </c>
      <c r="J533" s="548">
        <v>4323583.155</v>
      </c>
      <c r="K533" s="220"/>
      <c r="CE533" s="525"/>
    </row>
    <row r="534">
      <c r="A534" s="509"/>
      <c r="B534" s="889" t="s">
        <v>4</v>
      </c>
      <c r="C534" s="890" t="s">
        <v>289</v>
      </c>
      <c r="D534" s="890" t="s">
        <v>373</v>
      </c>
      <c r="E534" s="891">
        <v>2019.0</v>
      </c>
      <c r="F534" s="890" t="s">
        <v>291</v>
      </c>
      <c r="G534" s="890" t="s">
        <v>89</v>
      </c>
      <c r="H534" s="532">
        <v>1078672.226</v>
      </c>
      <c r="I534" s="532">
        <v>1228725.722</v>
      </c>
      <c r="J534" s="533">
        <v>942416.6738</v>
      </c>
      <c r="K534" s="220"/>
      <c r="CE534" s="525"/>
    </row>
    <row r="535">
      <c r="A535" s="509"/>
      <c r="B535" s="886" t="s">
        <v>4</v>
      </c>
      <c r="C535" s="887" t="s">
        <v>289</v>
      </c>
      <c r="D535" s="887" t="s">
        <v>379</v>
      </c>
      <c r="E535" s="888">
        <v>2019.0</v>
      </c>
      <c r="F535" s="887" t="s">
        <v>291</v>
      </c>
      <c r="G535" s="887" t="s">
        <v>89</v>
      </c>
      <c r="H535" s="547">
        <v>3697818.881</v>
      </c>
      <c r="I535" s="547">
        <v>4212134.742</v>
      </c>
      <c r="J535" s="548">
        <v>3230422.94</v>
      </c>
      <c r="K535" s="220"/>
      <c r="CE535" s="525"/>
    </row>
    <row r="536">
      <c r="A536" s="509"/>
      <c r="B536" s="889" t="s">
        <v>4</v>
      </c>
      <c r="C536" s="890" t="s">
        <v>289</v>
      </c>
      <c r="D536" s="890" t="s">
        <v>382</v>
      </c>
      <c r="E536" s="891">
        <v>2019.0</v>
      </c>
      <c r="F536" s="890" t="s">
        <v>291</v>
      </c>
      <c r="G536" s="890" t="s">
        <v>89</v>
      </c>
      <c r="H536" s="532">
        <v>864082.1868</v>
      </c>
      <c r="I536" s="532">
        <v>984284.1807</v>
      </c>
      <c r="J536" s="533">
        <v>754933.1859</v>
      </c>
      <c r="K536" s="220"/>
      <c r="CE536" s="525"/>
    </row>
    <row r="537">
      <c r="A537" s="509"/>
      <c r="B537" s="886" t="s">
        <v>4</v>
      </c>
      <c r="C537" s="887" t="s">
        <v>289</v>
      </c>
      <c r="D537" s="887" t="s">
        <v>387</v>
      </c>
      <c r="E537" s="888">
        <v>2019.0</v>
      </c>
      <c r="F537" s="887" t="s">
        <v>291</v>
      </c>
      <c r="G537" s="887" t="s">
        <v>89</v>
      </c>
      <c r="H537" s="547">
        <v>706774.5219</v>
      </c>
      <c r="I537" s="547">
        <v>805093.5338</v>
      </c>
      <c r="J537" s="548">
        <v>617496.2865</v>
      </c>
      <c r="K537" s="220"/>
      <c r="CE537" s="525"/>
    </row>
    <row r="538">
      <c r="A538" s="509"/>
      <c r="B538" s="889" t="s">
        <v>4</v>
      </c>
      <c r="C538" s="890" t="s">
        <v>289</v>
      </c>
      <c r="D538" s="890" t="s">
        <v>392</v>
      </c>
      <c r="E538" s="891">
        <v>2019.0</v>
      </c>
      <c r="F538" s="890" t="s">
        <v>291</v>
      </c>
      <c r="G538" s="890" t="s">
        <v>89</v>
      </c>
      <c r="H538" s="532">
        <v>580925.0286</v>
      </c>
      <c r="I538" s="532">
        <v>661737.1872</v>
      </c>
      <c r="J538" s="533">
        <v>507543.8301</v>
      </c>
      <c r="K538" s="220"/>
      <c r="CE538" s="525"/>
    </row>
    <row r="539">
      <c r="A539" s="509"/>
      <c r="B539" s="886" t="s">
        <v>4</v>
      </c>
      <c r="C539" s="887" t="s">
        <v>289</v>
      </c>
      <c r="D539" s="887" t="s">
        <v>398</v>
      </c>
      <c r="E539" s="888">
        <v>2019.0</v>
      </c>
      <c r="F539" s="887" t="s">
        <v>291</v>
      </c>
      <c r="G539" s="887" t="s">
        <v>89</v>
      </c>
      <c r="H539" s="547">
        <v>467275.3077</v>
      </c>
      <c r="I539" s="547">
        <v>532277.7166</v>
      </c>
      <c r="J539" s="548">
        <v>408250.0971</v>
      </c>
      <c r="K539" s="220"/>
      <c r="CE539" s="525"/>
    </row>
    <row r="540">
      <c r="A540" s="509"/>
      <c r="B540" s="889" t="s">
        <v>4</v>
      </c>
      <c r="C540" s="890" t="s">
        <v>289</v>
      </c>
      <c r="D540" s="890" t="s">
        <v>402</v>
      </c>
      <c r="E540" s="891">
        <v>2019.0</v>
      </c>
      <c r="F540" s="890" t="s">
        <v>291</v>
      </c>
      <c r="G540" s="890" t="s">
        <v>89</v>
      </c>
      <c r="H540" s="532">
        <v>6757773.528</v>
      </c>
      <c r="I540" s="532">
        <v>7697687.089</v>
      </c>
      <c r="J540" s="533">
        <v>5903606.242</v>
      </c>
      <c r="K540" s="220"/>
      <c r="CE540" s="525"/>
    </row>
    <row r="541">
      <c r="A541" s="509"/>
      <c r="B541" s="886" t="s">
        <v>4</v>
      </c>
      <c r="C541" s="887" t="s">
        <v>289</v>
      </c>
      <c r="D541" s="887" t="s">
        <v>407</v>
      </c>
      <c r="E541" s="888">
        <v>2019.0</v>
      </c>
      <c r="F541" s="887" t="s">
        <v>291</v>
      </c>
      <c r="G541" s="887" t="s">
        <v>89</v>
      </c>
      <c r="H541" s="547">
        <v>2751338.527</v>
      </c>
      <c r="I541" s="547">
        <v>3134075.703</v>
      </c>
      <c r="J541" s="548">
        <v>2403795.369</v>
      </c>
      <c r="K541" s="220"/>
      <c r="CE541" s="525"/>
    </row>
    <row r="542">
      <c r="A542" s="509"/>
      <c r="B542" s="889" t="s">
        <v>4</v>
      </c>
      <c r="C542" s="890" t="s">
        <v>289</v>
      </c>
      <c r="D542" s="890" t="s">
        <v>414</v>
      </c>
      <c r="E542" s="891">
        <v>2019.0</v>
      </c>
      <c r="F542" s="890" t="s">
        <v>291</v>
      </c>
      <c r="G542" s="890" t="s">
        <v>89</v>
      </c>
      <c r="H542" s="532">
        <v>361451.6297</v>
      </c>
      <c r="I542" s="532">
        <v>411732.9654</v>
      </c>
      <c r="J542" s="533">
        <v>315793.8382</v>
      </c>
      <c r="K542" s="220"/>
      <c r="CE542" s="525"/>
    </row>
    <row r="543">
      <c r="A543" s="509"/>
      <c r="B543" s="886" t="s">
        <v>4</v>
      </c>
      <c r="C543" s="887" t="s">
        <v>289</v>
      </c>
      <c r="D543" s="887" t="s">
        <v>417</v>
      </c>
      <c r="E543" s="888">
        <v>2019.0</v>
      </c>
      <c r="F543" s="887" t="s">
        <v>291</v>
      </c>
      <c r="G543" s="887" t="s">
        <v>89</v>
      </c>
      <c r="H543" s="547">
        <v>1007464.127</v>
      </c>
      <c r="I543" s="547">
        <v>1147611.903</v>
      </c>
      <c r="J543" s="548">
        <v>880203.4281</v>
      </c>
      <c r="K543" s="220"/>
      <c r="CE543" s="525"/>
    </row>
    <row r="544">
      <c r="A544" s="509"/>
      <c r="B544" s="889" t="s">
        <v>4</v>
      </c>
      <c r="C544" s="890" t="s">
        <v>289</v>
      </c>
      <c r="D544" s="890" t="s">
        <v>300</v>
      </c>
      <c r="E544" s="891">
        <v>2019.0</v>
      </c>
      <c r="F544" s="890" t="s">
        <v>291</v>
      </c>
      <c r="G544" s="890" t="s">
        <v>89</v>
      </c>
      <c r="H544" s="532">
        <v>4977421.002</v>
      </c>
      <c r="I544" s="532">
        <v>5669827.277</v>
      </c>
      <c r="J544" s="533">
        <v>4348683.9</v>
      </c>
      <c r="K544" s="220"/>
      <c r="CE544" s="525"/>
    </row>
    <row r="545">
      <c r="A545" s="509"/>
      <c r="B545" s="886" t="s">
        <v>4</v>
      </c>
      <c r="C545" s="887" t="s">
        <v>289</v>
      </c>
      <c r="D545" s="887" t="s">
        <v>429</v>
      </c>
      <c r="E545" s="888">
        <v>2019.0</v>
      </c>
      <c r="F545" s="887" t="s">
        <v>291</v>
      </c>
      <c r="G545" s="887" t="s">
        <v>89</v>
      </c>
      <c r="H545" s="547">
        <v>889531.8201</v>
      </c>
      <c r="I545" s="547">
        <v>1013253.489</v>
      </c>
      <c r="J545" s="548">
        <v>777097.0104</v>
      </c>
      <c r="K545" s="220"/>
      <c r="CE545" s="525"/>
    </row>
    <row r="546">
      <c r="A546" s="509"/>
      <c r="B546" s="889" t="s">
        <v>4</v>
      </c>
      <c r="C546" s="890" t="s">
        <v>289</v>
      </c>
      <c r="D546" s="890" t="s">
        <v>432</v>
      </c>
      <c r="E546" s="891">
        <v>2019.0</v>
      </c>
      <c r="F546" s="890" t="s">
        <v>291</v>
      </c>
      <c r="G546" s="890" t="s">
        <v>89</v>
      </c>
      <c r="H546" s="532">
        <v>278235.5133</v>
      </c>
      <c r="I546" s="532">
        <v>316940.7013</v>
      </c>
      <c r="J546" s="533">
        <v>243089.4025</v>
      </c>
      <c r="K546" s="220"/>
      <c r="CE546" s="525"/>
    </row>
    <row r="547">
      <c r="A547" s="509"/>
      <c r="B547" s="886" t="s">
        <v>4</v>
      </c>
      <c r="C547" s="887" t="s">
        <v>289</v>
      </c>
      <c r="D547" s="887" t="s">
        <v>435</v>
      </c>
      <c r="E547" s="888">
        <v>2019.0</v>
      </c>
      <c r="F547" s="887" t="s">
        <v>291</v>
      </c>
      <c r="G547" s="887" t="s">
        <v>89</v>
      </c>
      <c r="H547" s="547">
        <v>208663.0235</v>
      </c>
      <c r="I547" s="547">
        <v>237690.021</v>
      </c>
      <c r="J547" s="548">
        <v>182305.1597</v>
      </c>
      <c r="K547" s="220"/>
      <c r="CE547" s="525"/>
    </row>
    <row r="548">
      <c r="A548" s="509"/>
      <c r="B548" s="889" t="s">
        <v>4</v>
      </c>
      <c r="C548" s="890" t="s">
        <v>289</v>
      </c>
      <c r="D548" s="890" t="s">
        <v>442</v>
      </c>
      <c r="E548" s="891">
        <v>2019.0</v>
      </c>
      <c r="F548" s="890" t="s">
        <v>291</v>
      </c>
      <c r="G548" s="890" t="s">
        <v>89</v>
      </c>
      <c r="H548" s="532">
        <v>159113.9605</v>
      </c>
      <c r="I548" s="532">
        <v>181248.2153</v>
      </c>
      <c r="J548" s="533">
        <v>139015.0277</v>
      </c>
      <c r="K548" s="220"/>
      <c r="CE548" s="525"/>
    </row>
    <row r="549">
      <c r="A549" s="509"/>
      <c r="B549" s="886" t="s">
        <v>4</v>
      </c>
      <c r="C549" s="887" t="s">
        <v>289</v>
      </c>
      <c r="D549" s="887" t="s">
        <v>445</v>
      </c>
      <c r="E549" s="888">
        <v>2019.0</v>
      </c>
      <c r="F549" s="887" t="s">
        <v>291</v>
      </c>
      <c r="G549" s="887" t="s">
        <v>89</v>
      </c>
      <c r="H549" s="547">
        <v>270626.7387</v>
      </c>
      <c r="I549" s="547">
        <v>308267.2042</v>
      </c>
      <c r="J549" s="548">
        <v>236420.1311</v>
      </c>
      <c r="K549" s="220"/>
      <c r="CE549" s="525"/>
    </row>
    <row r="550">
      <c r="A550" s="509"/>
      <c r="B550" s="889" t="s">
        <v>4</v>
      </c>
      <c r="C550" s="890" t="s">
        <v>289</v>
      </c>
      <c r="D550" s="890" t="s">
        <v>450</v>
      </c>
      <c r="E550" s="891">
        <v>2019.0</v>
      </c>
      <c r="F550" s="890" t="s">
        <v>291</v>
      </c>
      <c r="G550" s="890" t="s">
        <v>89</v>
      </c>
      <c r="H550" s="532">
        <v>111506.2201</v>
      </c>
      <c r="I550" s="532">
        <v>127017.7885</v>
      </c>
      <c r="J550" s="533">
        <v>97420.99451</v>
      </c>
      <c r="K550" s="220"/>
      <c r="CE550" s="525"/>
    </row>
    <row r="551">
      <c r="A551" s="509"/>
      <c r="B551" s="886" t="s">
        <v>4</v>
      </c>
      <c r="C551" s="887" t="s">
        <v>289</v>
      </c>
      <c r="D551" s="887" t="s">
        <v>457</v>
      </c>
      <c r="E551" s="888">
        <v>2019.0</v>
      </c>
      <c r="F551" s="887" t="s">
        <v>291</v>
      </c>
      <c r="G551" s="887" t="s">
        <v>89</v>
      </c>
      <c r="H551" s="547">
        <v>243497.7668</v>
      </c>
      <c r="I551" s="547">
        <v>277370.6061</v>
      </c>
      <c r="J551" s="548">
        <v>212739.6533</v>
      </c>
      <c r="K551" s="220"/>
      <c r="CE551" s="525"/>
    </row>
    <row r="552">
      <c r="A552" s="509"/>
      <c r="B552" s="889" t="s">
        <v>4</v>
      </c>
      <c r="C552" s="890" t="s">
        <v>289</v>
      </c>
      <c r="D552" s="890" t="s">
        <v>463</v>
      </c>
      <c r="E552" s="891">
        <v>2019.0</v>
      </c>
      <c r="F552" s="890" t="s">
        <v>291</v>
      </c>
      <c r="G552" s="890" t="s">
        <v>89</v>
      </c>
      <c r="H552" s="532">
        <v>131994.7453</v>
      </c>
      <c r="I552" s="532">
        <v>150353.403</v>
      </c>
      <c r="J552" s="533">
        <v>115310.9081</v>
      </c>
      <c r="K552" s="220"/>
      <c r="CE552" s="525"/>
    </row>
    <row r="553">
      <c r="A553" s="509"/>
      <c r="B553" s="886" t="s">
        <v>4</v>
      </c>
      <c r="C553" s="887" t="s">
        <v>289</v>
      </c>
      <c r="D553" s="887" t="s">
        <v>467</v>
      </c>
      <c r="E553" s="888">
        <v>2019.0</v>
      </c>
      <c r="F553" s="887" t="s">
        <v>291</v>
      </c>
      <c r="G553" s="887" t="s">
        <v>89</v>
      </c>
      <c r="H553" s="547">
        <v>70880.20294</v>
      </c>
      <c r="I553" s="547">
        <v>80740.30867</v>
      </c>
      <c r="J553" s="548">
        <v>61926.76836</v>
      </c>
      <c r="K553" s="220"/>
      <c r="CE553" s="525"/>
    </row>
    <row r="554">
      <c r="A554" s="509"/>
      <c r="B554" s="889" t="s">
        <v>4</v>
      </c>
      <c r="C554" s="890" t="s">
        <v>289</v>
      </c>
      <c r="D554" s="890" t="s">
        <v>473</v>
      </c>
      <c r="E554" s="891">
        <v>2019.0</v>
      </c>
      <c r="F554" s="890" t="s">
        <v>291</v>
      </c>
      <c r="G554" s="890" t="s">
        <v>89</v>
      </c>
      <c r="H554" s="532">
        <v>108657.5927</v>
      </c>
      <c r="I554" s="532">
        <v>123770.3727</v>
      </c>
      <c r="J554" s="533">
        <v>94923.51881</v>
      </c>
      <c r="K554" s="220"/>
      <c r="CE554" s="525"/>
    </row>
    <row r="555">
      <c r="A555" s="509"/>
      <c r="B555" s="886" t="s">
        <v>4</v>
      </c>
      <c r="C555" s="887" t="s">
        <v>289</v>
      </c>
      <c r="D555" s="887" t="s">
        <v>477</v>
      </c>
      <c r="E555" s="888">
        <v>2019.0</v>
      </c>
      <c r="F555" s="887" t="s">
        <v>291</v>
      </c>
      <c r="G555" s="887" t="s">
        <v>89</v>
      </c>
      <c r="H555" s="547">
        <v>61111.34375</v>
      </c>
      <c r="I555" s="547">
        <v>69612.50889</v>
      </c>
      <c r="J555" s="548">
        <v>53391.89042</v>
      </c>
      <c r="K555" s="220"/>
      <c r="CE555" s="525"/>
    </row>
    <row r="556">
      <c r="A556" s="509"/>
      <c r="B556" s="889" t="s">
        <v>4</v>
      </c>
      <c r="C556" s="890" t="s">
        <v>289</v>
      </c>
      <c r="D556" s="890" t="s">
        <v>483</v>
      </c>
      <c r="E556" s="891">
        <v>2019.0</v>
      </c>
      <c r="F556" s="890" t="s">
        <v>291</v>
      </c>
      <c r="G556" s="890" t="s">
        <v>89</v>
      </c>
      <c r="H556" s="532">
        <v>37774.75666</v>
      </c>
      <c r="I556" s="532">
        <v>43029.58212</v>
      </c>
      <c r="J556" s="533">
        <v>33003.13075</v>
      </c>
      <c r="K556" s="220"/>
      <c r="CE556" s="525"/>
    </row>
    <row r="557">
      <c r="A557" s="509"/>
      <c r="B557" s="886" t="s">
        <v>4</v>
      </c>
      <c r="C557" s="887" t="s">
        <v>289</v>
      </c>
      <c r="D557" s="887" t="s">
        <v>489</v>
      </c>
      <c r="E557" s="888">
        <v>2019.0</v>
      </c>
      <c r="F557" s="887" t="s">
        <v>291</v>
      </c>
      <c r="G557" s="887" t="s">
        <v>89</v>
      </c>
      <c r="H557" s="547">
        <v>23337.15262</v>
      </c>
      <c r="I557" s="547">
        <v>26583.03029</v>
      </c>
      <c r="J557" s="548">
        <v>20387.38932</v>
      </c>
      <c r="K557" s="220"/>
      <c r="CE557" s="525"/>
    </row>
    <row r="558">
      <c r="A558" s="509"/>
      <c r="B558" s="889" t="s">
        <v>4</v>
      </c>
      <c r="C558" s="890" t="s">
        <v>289</v>
      </c>
      <c r="D558" s="890" t="s">
        <v>493</v>
      </c>
      <c r="E558" s="891">
        <v>2019.0</v>
      </c>
      <c r="F558" s="890" t="s">
        <v>291</v>
      </c>
      <c r="G558" s="890" t="s">
        <v>89</v>
      </c>
      <c r="H558" s="532">
        <v>17611.99692</v>
      </c>
      <c r="I558" s="532">
        <v>20061.99205</v>
      </c>
      <c r="J558" s="533">
        <v>15387.2874</v>
      </c>
      <c r="K558" s="220"/>
      <c r="CE558" s="525"/>
    </row>
    <row r="559">
      <c r="A559" s="509"/>
      <c r="B559" s="886" t="s">
        <v>4</v>
      </c>
      <c r="C559" s="887" t="s">
        <v>289</v>
      </c>
      <c r="D559" s="887" t="s">
        <v>496</v>
      </c>
      <c r="E559" s="888">
        <v>2019.0</v>
      </c>
      <c r="F559" s="887" t="s">
        <v>291</v>
      </c>
      <c r="G559" s="887" t="s">
        <v>89</v>
      </c>
      <c r="H559" s="547">
        <v>4591.237694</v>
      </c>
      <c r="I559" s="547">
        <v>5229.922223</v>
      </c>
      <c r="J559" s="548">
        <v>4011.282436</v>
      </c>
      <c r="K559" s="220"/>
      <c r="CE559" s="525"/>
    </row>
    <row r="560">
      <c r="A560" s="509"/>
      <c r="B560" s="889" t="s">
        <v>4</v>
      </c>
      <c r="C560" s="890" t="s">
        <v>289</v>
      </c>
      <c r="D560" s="890" t="s">
        <v>502</v>
      </c>
      <c r="E560" s="891">
        <v>2019.0</v>
      </c>
      <c r="F560" s="890" t="s">
        <v>291</v>
      </c>
      <c r="G560" s="890" t="s">
        <v>89</v>
      </c>
      <c r="H560" s="532">
        <v>1133.352475</v>
      </c>
      <c r="I560" s="532">
        <v>1291.012509</v>
      </c>
      <c r="J560" s="533">
        <v>990.1898307</v>
      </c>
      <c r="K560" s="220"/>
      <c r="CE560" s="525"/>
    </row>
    <row r="561">
      <c r="A561" s="509"/>
      <c r="B561" s="886" t="s">
        <v>4</v>
      </c>
      <c r="C561" s="887" t="s">
        <v>289</v>
      </c>
      <c r="D561" s="887" t="s">
        <v>332</v>
      </c>
      <c r="E561" s="888">
        <v>2019.0</v>
      </c>
      <c r="F561" s="887" t="s">
        <v>291</v>
      </c>
      <c r="G561" s="887" t="s">
        <v>89</v>
      </c>
      <c r="H561" s="547">
        <v>1.639885974E7</v>
      </c>
      <c r="I561" s="547">
        <v>1.868009603E7</v>
      </c>
      <c r="J561" s="548">
        <v>1.43273911E7</v>
      </c>
      <c r="K561" s="220"/>
      <c r="CE561" s="525"/>
    </row>
    <row r="562">
      <c r="A562" s="509"/>
      <c r="B562" s="889" t="s">
        <v>4</v>
      </c>
      <c r="C562" s="890" t="s">
        <v>289</v>
      </c>
      <c r="D562" s="890" t="s">
        <v>510</v>
      </c>
      <c r="E562" s="891">
        <v>2019.0</v>
      </c>
      <c r="F562" s="890" t="s">
        <v>291</v>
      </c>
      <c r="G562" s="890" t="s">
        <v>89</v>
      </c>
      <c r="H562" s="532">
        <v>787569.7785</v>
      </c>
      <c r="I562" s="532">
        <v>823666.1688</v>
      </c>
      <c r="J562" s="533">
        <v>753496.5472</v>
      </c>
      <c r="K562" s="220"/>
      <c r="CE562" s="525"/>
    </row>
    <row r="563">
      <c r="A563" s="509"/>
      <c r="B563" s="886" t="s">
        <v>4</v>
      </c>
      <c r="C563" s="887" t="s">
        <v>289</v>
      </c>
      <c r="D563" s="887" t="s">
        <v>512</v>
      </c>
      <c r="E563" s="888">
        <v>2019.0</v>
      </c>
      <c r="F563" s="887" t="s">
        <v>291</v>
      </c>
      <c r="G563" s="887" t="s">
        <v>89</v>
      </c>
      <c r="H563" s="547">
        <v>14990.29575</v>
      </c>
      <c r="I563" s="547">
        <v>17075.58748</v>
      </c>
      <c r="J563" s="548">
        <v>13096.75387</v>
      </c>
      <c r="K563" s="220"/>
      <c r="CE563" s="525"/>
    </row>
    <row r="564">
      <c r="A564" s="509"/>
      <c r="B564" s="889" t="s">
        <v>4</v>
      </c>
      <c r="C564" s="890" t="s">
        <v>289</v>
      </c>
      <c r="D564" s="890" t="s">
        <v>515</v>
      </c>
      <c r="E564" s="891">
        <v>2019.0</v>
      </c>
      <c r="F564" s="890" t="s">
        <v>291</v>
      </c>
      <c r="G564" s="890" t="s">
        <v>89</v>
      </c>
      <c r="H564" s="532">
        <v>44170.50325</v>
      </c>
      <c r="I564" s="532">
        <v>50315.03746</v>
      </c>
      <c r="J564" s="533">
        <v>38590.9804</v>
      </c>
      <c r="K564" s="220"/>
      <c r="CE564" s="525"/>
    </row>
    <row r="565">
      <c r="A565" s="509"/>
      <c r="B565" s="886" t="s">
        <v>4</v>
      </c>
      <c r="C565" s="887" t="s">
        <v>289</v>
      </c>
      <c r="D565" s="887" t="s">
        <v>518</v>
      </c>
      <c r="E565" s="888">
        <v>2019.0</v>
      </c>
      <c r="F565" s="887" t="s">
        <v>291</v>
      </c>
      <c r="G565" s="887" t="s">
        <v>89</v>
      </c>
      <c r="H565" s="547">
        <v>59160.799</v>
      </c>
      <c r="I565" s="547">
        <v>67390.62494</v>
      </c>
      <c r="J565" s="548">
        <v>51687.73428</v>
      </c>
      <c r="K565" s="220"/>
      <c r="CE565" s="525"/>
    </row>
    <row r="566">
      <c r="A566" s="509"/>
      <c r="B566" s="889" t="s">
        <v>4</v>
      </c>
      <c r="C566" s="890" t="s">
        <v>289</v>
      </c>
      <c r="D566" s="890" t="s">
        <v>522</v>
      </c>
      <c r="E566" s="891">
        <v>2019.0</v>
      </c>
      <c r="F566" s="890" t="s">
        <v>291</v>
      </c>
      <c r="G566" s="890" t="s">
        <v>89</v>
      </c>
      <c r="H566" s="532">
        <v>679765.5845</v>
      </c>
      <c r="I566" s="532">
        <v>774327.3981</v>
      </c>
      <c r="J566" s="533">
        <v>593899.0598</v>
      </c>
      <c r="K566" s="220"/>
      <c r="CE566" s="525"/>
    </row>
    <row r="567">
      <c r="A567" s="509"/>
      <c r="B567" s="886" t="s">
        <v>4</v>
      </c>
      <c r="C567" s="887" t="s">
        <v>289</v>
      </c>
      <c r="D567" s="887" t="s">
        <v>302</v>
      </c>
      <c r="E567" s="888">
        <v>2019.0</v>
      </c>
      <c r="F567" s="887" t="s">
        <v>291</v>
      </c>
      <c r="G567" s="887" t="s">
        <v>89</v>
      </c>
      <c r="H567" s="547">
        <v>3332666.562</v>
      </c>
      <c r="I567" s="547">
        <v>3796271.959</v>
      </c>
      <c r="J567" s="548">
        <v>2911691.299</v>
      </c>
      <c r="K567" s="220"/>
      <c r="CE567" s="525"/>
    </row>
    <row r="568">
      <c r="A568" s="509"/>
      <c r="B568" s="889" t="s">
        <v>346</v>
      </c>
      <c r="C568" s="890" t="s">
        <v>289</v>
      </c>
      <c r="D568" s="890" t="s">
        <v>290</v>
      </c>
      <c r="E568" s="891">
        <v>2019.0</v>
      </c>
      <c r="F568" s="890" t="s">
        <v>291</v>
      </c>
      <c r="G568" s="890" t="s">
        <v>89</v>
      </c>
      <c r="H568" s="532">
        <v>15962.66683</v>
      </c>
      <c r="I568" s="532">
        <v>18708.55578</v>
      </c>
      <c r="J568" s="533">
        <v>13257.48928</v>
      </c>
      <c r="K568" s="220"/>
      <c r="CE568" s="525"/>
    </row>
    <row r="569">
      <c r="A569" s="509"/>
      <c r="B569" s="886" t="s">
        <v>346</v>
      </c>
      <c r="C569" s="887" t="s">
        <v>289</v>
      </c>
      <c r="D569" s="887" t="s">
        <v>310</v>
      </c>
      <c r="E569" s="888">
        <v>2019.0</v>
      </c>
      <c r="F569" s="887" t="s">
        <v>291</v>
      </c>
      <c r="G569" s="887" t="s">
        <v>89</v>
      </c>
      <c r="H569" s="547">
        <v>304803.236</v>
      </c>
      <c r="I569" s="547">
        <v>357235.3167</v>
      </c>
      <c r="J569" s="548">
        <v>253148.5294</v>
      </c>
      <c r="K569" s="220"/>
      <c r="CE569" s="525"/>
    </row>
    <row r="570">
      <c r="A570" s="509"/>
      <c r="B570" s="889" t="s">
        <v>346</v>
      </c>
      <c r="C570" s="890" t="s">
        <v>289</v>
      </c>
      <c r="D570" s="890" t="s">
        <v>318</v>
      </c>
      <c r="E570" s="891">
        <v>2019.0</v>
      </c>
      <c r="F570" s="890" t="s">
        <v>291</v>
      </c>
      <c r="G570" s="890" t="s">
        <v>89</v>
      </c>
      <c r="H570" s="532">
        <v>232785.1238</v>
      </c>
      <c r="I570" s="532">
        <v>272828.6895</v>
      </c>
      <c r="J570" s="533">
        <v>193335.2563</v>
      </c>
      <c r="K570" s="220"/>
      <c r="CE570" s="525"/>
    </row>
    <row r="571">
      <c r="A571" s="509"/>
      <c r="B571" s="886" t="s">
        <v>346</v>
      </c>
      <c r="C571" s="887" t="s">
        <v>289</v>
      </c>
      <c r="D571" s="887" t="s">
        <v>309</v>
      </c>
      <c r="E571" s="888">
        <v>2019.0</v>
      </c>
      <c r="F571" s="887" t="s">
        <v>291</v>
      </c>
      <c r="G571" s="887" t="s">
        <v>89</v>
      </c>
      <c r="H571" s="547">
        <v>62143.72491</v>
      </c>
      <c r="I571" s="547">
        <v>72833.65341</v>
      </c>
      <c r="J571" s="548">
        <v>51612.28857</v>
      </c>
      <c r="K571" s="220"/>
      <c r="CE571" s="525"/>
    </row>
    <row r="572">
      <c r="A572" s="509"/>
      <c r="B572" s="889" t="s">
        <v>346</v>
      </c>
      <c r="C572" s="890" t="s">
        <v>289</v>
      </c>
      <c r="D572" s="890" t="s">
        <v>334</v>
      </c>
      <c r="E572" s="891">
        <v>2019.0</v>
      </c>
      <c r="F572" s="890" t="s">
        <v>291</v>
      </c>
      <c r="G572" s="890" t="s">
        <v>89</v>
      </c>
      <c r="H572" s="532">
        <v>76815.47559</v>
      </c>
      <c r="I572" s="532">
        <v>90029.23037</v>
      </c>
      <c r="J572" s="533">
        <v>63797.632</v>
      </c>
      <c r="K572" s="220"/>
      <c r="CE572" s="525"/>
    </row>
    <row r="573">
      <c r="A573" s="509"/>
      <c r="B573" s="886" t="s">
        <v>346</v>
      </c>
      <c r="C573" s="887" t="s">
        <v>289</v>
      </c>
      <c r="D573" s="887" t="s">
        <v>339</v>
      </c>
      <c r="E573" s="888">
        <v>2019.0</v>
      </c>
      <c r="F573" s="887" t="s">
        <v>291</v>
      </c>
      <c r="G573" s="887" t="s">
        <v>89</v>
      </c>
      <c r="H573" s="547">
        <v>148833.5877</v>
      </c>
      <c r="I573" s="547">
        <v>174435.8575</v>
      </c>
      <c r="J573" s="548">
        <v>123610.905</v>
      </c>
      <c r="K573" s="220"/>
      <c r="CE573" s="525"/>
    </row>
    <row r="574">
      <c r="A574" s="509"/>
      <c r="B574" s="889" t="s">
        <v>346</v>
      </c>
      <c r="C574" s="890" t="s">
        <v>289</v>
      </c>
      <c r="D574" s="890" t="s">
        <v>344</v>
      </c>
      <c r="E574" s="891">
        <v>2019.0</v>
      </c>
      <c r="F574" s="890" t="s">
        <v>291</v>
      </c>
      <c r="G574" s="890" t="s">
        <v>89</v>
      </c>
      <c r="H574" s="532">
        <v>214678.8853</v>
      </c>
      <c r="I574" s="532">
        <v>251607.826</v>
      </c>
      <c r="J574" s="533">
        <v>178297.4643</v>
      </c>
      <c r="K574" s="220"/>
      <c r="CE574" s="525"/>
    </row>
    <row r="575">
      <c r="A575" s="509"/>
      <c r="B575" s="886" t="s">
        <v>346</v>
      </c>
      <c r="C575" s="887" t="s">
        <v>289</v>
      </c>
      <c r="D575" s="887" t="s">
        <v>349</v>
      </c>
      <c r="E575" s="888">
        <v>2019.0</v>
      </c>
      <c r="F575" s="887" t="s">
        <v>291</v>
      </c>
      <c r="G575" s="887" t="s">
        <v>89</v>
      </c>
      <c r="H575" s="547">
        <v>72018.11215</v>
      </c>
      <c r="I575" s="547">
        <v>84406.62717</v>
      </c>
      <c r="J575" s="548">
        <v>59813.27305</v>
      </c>
      <c r="K575" s="220"/>
      <c r="CE575" s="525"/>
    </row>
    <row r="576">
      <c r="A576" s="509"/>
      <c r="B576" s="889" t="s">
        <v>346</v>
      </c>
      <c r="C576" s="890" t="s">
        <v>289</v>
      </c>
      <c r="D576" s="890" t="s">
        <v>355</v>
      </c>
      <c r="E576" s="891">
        <v>2019.0</v>
      </c>
      <c r="F576" s="890" t="s">
        <v>291</v>
      </c>
      <c r="G576" s="890" t="s">
        <v>89</v>
      </c>
      <c r="H576" s="532">
        <v>296303.4335</v>
      </c>
      <c r="I576" s="532">
        <v>347233.8701</v>
      </c>
      <c r="J576" s="533">
        <v>246055.9571</v>
      </c>
      <c r="K576" s="220"/>
      <c r="CE576" s="525"/>
    </row>
    <row r="577">
      <c r="A577" s="509"/>
      <c r="B577" s="886" t="s">
        <v>346</v>
      </c>
      <c r="C577" s="887" t="s">
        <v>289</v>
      </c>
      <c r="D577" s="887" t="s">
        <v>358</v>
      </c>
      <c r="E577" s="888">
        <v>2019.0</v>
      </c>
      <c r="F577" s="887" t="s">
        <v>291</v>
      </c>
      <c r="G577" s="887" t="s">
        <v>89</v>
      </c>
      <c r="H577" s="547">
        <v>373585.0707</v>
      </c>
      <c r="I577" s="547">
        <v>437848.9638</v>
      </c>
      <c r="J577" s="548">
        <v>310273.9738</v>
      </c>
      <c r="K577" s="220"/>
      <c r="CE577" s="525"/>
    </row>
    <row r="578">
      <c r="A578" s="509"/>
      <c r="B578" s="889" t="s">
        <v>346</v>
      </c>
      <c r="C578" s="890" t="s">
        <v>289</v>
      </c>
      <c r="D578" s="890" t="s">
        <v>362</v>
      </c>
      <c r="E578" s="891">
        <v>2019.0</v>
      </c>
      <c r="F578" s="890" t="s">
        <v>291</v>
      </c>
      <c r="G578" s="890" t="s">
        <v>89</v>
      </c>
      <c r="H578" s="532">
        <v>409599.0458</v>
      </c>
      <c r="I578" s="532">
        <v>480003.4215</v>
      </c>
      <c r="J578" s="533">
        <v>340138.7694</v>
      </c>
      <c r="K578" s="220"/>
      <c r="CE578" s="525"/>
    </row>
    <row r="579">
      <c r="A579" s="509"/>
      <c r="B579" s="886" t="s">
        <v>346</v>
      </c>
      <c r="C579" s="887" t="s">
        <v>289</v>
      </c>
      <c r="D579" s="887" t="s">
        <v>366</v>
      </c>
      <c r="E579" s="888">
        <v>2019.0</v>
      </c>
      <c r="F579" s="887" t="s">
        <v>291</v>
      </c>
      <c r="G579" s="887" t="s">
        <v>89</v>
      </c>
      <c r="H579" s="547">
        <v>65845.29754</v>
      </c>
      <c r="I579" s="547">
        <v>77171.96847</v>
      </c>
      <c r="J579" s="548">
        <v>54686.5593</v>
      </c>
      <c r="K579" s="220"/>
      <c r="CE579" s="525"/>
    </row>
    <row r="580">
      <c r="A580" s="509"/>
      <c r="B580" s="889" t="s">
        <v>346</v>
      </c>
      <c r="C580" s="890" t="s">
        <v>289</v>
      </c>
      <c r="D580" s="890" t="s">
        <v>368</v>
      </c>
      <c r="E580" s="891">
        <v>2019.0</v>
      </c>
      <c r="F580" s="890" t="s">
        <v>291</v>
      </c>
      <c r="G580" s="890" t="s">
        <v>89</v>
      </c>
      <c r="H580" s="532">
        <v>343702.5367</v>
      </c>
      <c r="I580" s="532">
        <v>402826.0532</v>
      </c>
      <c r="J580" s="533">
        <v>285455.6036</v>
      </c>
      <c r="K580" s="220"/>
      <c r="CE580" s="525"/>
    </row>
    <row r="581">
      <c r="A581" s="509"/>
      <c r="B581" s="886" t="s">
        <v>346</v>
      </c>
      <c r="C581" s="887" t="s">
        <v>289</v>
      </c>
      <c r="D581" s="887" t="s">
        <v>373</v>
      </c>
      <c r="E581" s="888">
        <v>2019.0</v>
      </c>
      <c r="F581" s="887" t="s">
        <v>291</v>
      </c>
      <c r="G581" s="887" t="s">
        <v>89</v>
      </c>
      <c r="H581" s="547">
        <v>59878.49481</v>
      </c>
      <c r="I581" s="547">
        <v>70178.75971</v>
      </c>
      <c r="J581" s="548">
        <v>49730.9448</v>
      </c>
      <c r="K581" s="220"/>
      <c r="CE581" s="525"/>
    </row>
    <row r="582">
      <c r="A582" s="509"/>
      <c r="B582" s="889" t="s">
        <v>346</v>
      </c>
      <c r="C582" s="890" t="s">
        <v>289</v>
      </c>
      <c r="D582" s="890" t="s">
        <v>379</v>
      </c>
      <c r="E582" s="891">
        <v>2019.0</v>
      </c>
      <c r="F582" s="890" t="s">
        <v>291</v>
      </c>
      <c r="G582" s="890" t="s">
        <v>89</v>
      </c>
      <c r="H582" s="532">
        <v>235751.1366</v>
      </c>
      <c r="I582" s="532">
        <v>276273.4761</v>
      </c>
      <c r="J582" s="533">
        <v>195772.1882</v>
      </c>
      <c r="K582" s="220"/>
      <c r="CE582" s="525"/>
    </row>
    <row r="583">
      <c r="A583" s="509"/>
      <c r="B583" s="886" t="s">
        <v>346</v>
      </c>
      <c r="C583" s="887" t="s">
        <v>289</v>
      </c>
      <c r="D583" s="887" t="s">
        <v>382</v>
      </c>
      <c r="E583" s="888">
        <v>2019.0</v>
      </c>
      <c r="F583" s="887" t="s">
        <v>291</v>
      </c>
      <c r="G583" s="887" t="s">
        <v>89</v>
      </c>
      <c r="H583" s="547">
        <v>52453.63178</v>
      </c>
      <c r="I583" s="547">
        <v>61476.67593</v>
      </c>
      <c r="J583" s="548">
        <v>43564.36606</v>
      </c>
      <c r="K583" s="220"/>
      <c r="CE583" s="525"/>
    </row>
    <row r="584">
      <c r="A584" s="509"/>
      <c r="B584" s="889" t="s">
        <v>346</v>
      </c>
      <c r="C584" s="890" t="s">
        <v>289</v>
      </c>
      <c r="D584" s="890" t="s">
        <v>387</v>
      </c>
      <c r="E584" s="891">
        <v>2019.0</v>
      </c>
      <c r="F584" s="890" t="s">
        <v>291</v>
      </c>
      <c r="G584" s="890" t="s">
        <v>89</v>
      </c>
      <c r="H584" s="532">
        <v>46070.85082</v>
      </c>
      <c r="I584" s="532">
        <v>53995.93259</v>
      </c>
      <c r="J584" s="533">
        <v>38263.26875</v>
      </c>
      <c r="K584" s="220"/>
      <c r="CE584" s="525"/>
    </row>
    <row r="585">
      <c r="A585" s="509"/>
      <c r="B585" s="886" t="s">
        <v>346</v>
      </c>
      <c r="C585" s="887" t="s">
        <v>289</v>
      </c>
      <c r="D585" s="887" t="s">
        <v>392</v>
      </c>
      <c r="E585" s="888">
        <v>2019.0</v>
      </c>
      <c r="F585" s="887" t="s">
        <v>291</v>
      </c>
      <c r="G585" s="887" t="s">
        <v>89</v>
      </c>
      <c r="H585" s="547">
        <v>41443.51921</v>
      </c>
      <c r="I585" s="547">
        <v>48572.61</v>
      </c>
      <c r="J585" s="548">
        <v>34420.1265</v>
      </c>
      <c r="K585" s="220"/>
      <c r="CE585" s="525"/>
    </row>
    <row r="586">
      <c r="A586" s="509"/>
      <c r="B586" s="889" t="s">
        <v>346</v>
      </c>
      <c r="C586" s="890" t="s">
        <v>289</v>
      </c>
      <c r="D586" s="890" t="s">
        <v>398</v>
      </c>
      <c r="E586" s="891">
        <v>2019.0</v>
      </c>
      <c r="F586" s="890" t="s">
        <v>291</v>
      </c>
      <c r="G586" s="890" t="s">
        <v>89</v>
      </c>
      <c r="H586" s="532">
        <v>35875.16437</v>
      </c>
      <c r="I586" s="532">
        <v>42046.38991</v>
      </c>
      <c r="J586" s="533">
        <v>29795.43532</v>
      </c>
      <c r="K586" s="220"/>
      <c r="CE586" s="525"/>
    </row>
    <row r="587">
      <c r="A587" s="509"/>
      <c r="B587" s="886" t="s">
        <v>346</v>
      </c>
      <c r="C587" s="887" t="s">
        <v>289</v>
      </c>
      <c r="D587" s="887" t="s">
        <v>402</v>
      </c>
      <c r="E587" s="888">
        <v>2019.0</v>
      </c>
      <c r="F587" s="887" t="s">
        <v>291</v>
      </c>
      <c r="G587" s="887" t="s">
        <v>89</v>
      </c>
      <c r="H587" s="547">
        <v>226725.1913</v>
      </c>
      <c r="I587" s="547">
        <v>265696.0965</v>
      </c>
      <c r="J587" s="548">
        <v>188276.8731</v>
      </c>
      <c r="K587" s="220"/>
      <c r="CE587" s="525"/>
    </row>
    <row r="588">
      <c r="A588" s="509"/>
      <c r="B588" s="889" t="s">
        <v>346</v>
      </c>
      <c r="C588" s="890" t="s">
        <v>289</v>
      </c>
      <c r="D588" s="890" t="s">
        <v>407</v>
      </c>
      <c r="E588" s="891">
        <v>2019.0</v>
      </c>
      <c r="F588" s="890" t="s">
        <v>291</v>
      </c>
      <c r="G588" s="890" t="s">
        <v>89</v>
      </c>
      <c r="H588" s="532">
        <v>77863.2565</v>
      </c>
      <c r="I588" s="532">
        <v>91257.24995</v>
      </c>
      <c r="J588" s="533">
        <v>64667.8465</v>
      </c>
      <c r="K588" s="220"/>
      <c r="CE588" s="525"/>
    </row>
    <row r="589">
      <c r="A589" s="509"/>
      <c r="B589" s="886" t="s">
        <v>346</v>
      </c>
      <c r="C589" s="887" t="s">
        <v>289</v>
      </c>
      <c r="D589" s="887" t="s">
        <v>414</v>
      </c>
      <c r="E589" s="888">
        <v>2019.0</v>
      </c>
      <c r="F589" s="887" t="s">
        <v>291</v>
      </c>
      <c r="G589" s="887" t="s">
        <v>89</v>
      </c>
      <c r="H589" s="547">
        <v>29221.91604</v>
      </c>
      <c r="I589" s="547">
        <v>34248.65356</v>
      </c>
      <c r="J589" s="548">
        <v>24269.70648</v>
      </c>
      <c r="K589" s="220"/>
      <c r="CE589" s="525"/>
    </row>
    <row r="590">
      <c r="A590" s="509"/>
      <c r="B590" s="889" t="s">
        <v>346</v>
      </c>
      <c r="C590" s="890" t="s">
        <v>289</v>
      </c>
      <c r="D590" s="890" t="s">
        <v>417</v>
      </c>
      <c r="E590" s="891">
        <v>2019.0</v>
      </c>
      <c r="F590" s="890" t="s">
        <v>291</v>
      </c>
      <c r="G590" s="890" t="s">
        <v>89</v>
      </c>
      <c r="H590" s="532">
        <v>82616.12248</v>
      </c>
      <c r="I590" s="532">
        <v>96827.70126</v>
      </c>
      <c r="J590" s="533">
        <v>68615.24893</v>
      </c>
      <c r="K590" s="220"/>
      <c r="CE590" s="525"/>
    </row>
    <row r="591">
      <c r="A591" s="509"/>
      <c r="B591" s="886" t="s">
        <v>346</v>
      </c>
      <c r="C591" s="887" t="s">
        <v>289</v>
      </c>
      <c r="D591" s="887" t="s">
        <v>300</v>
      </c>
      <c r="E591" s="888">
        <v>2019.0</v>
      </c>
      <c r="F591" s="887" t="s">
        <v>291</v>
      </c>
      <c r="G591" s="887" t="s">
        <v>89</v>
      </c>
      <c r="H591" s="547">
        <v>154678.7321</v>
      </c>
      <c r="I591" s="547">
        <v>181286.4803</v>
      </c>
      <c r="J591" s="548">
        <v>128465.4785</v>
      </c>
      <c r="K591" s="220"/>
      <c r="CE591" s="525"/>
    </row>
    <row r="592">
      <c r="A592" s="509"/>
      <c r="B592" s="889" t="s">
        <v>346</v>
      </c>
      <c r="C592" s="890" t="s">
        <v>289</v>
      </c>
      <c r="D592" s="890" t="s">
        <v>429</v>
      </c>
      <c r="E592" s="891">
        <v>2019.0</v>
      </c>
      <c r="F592" s="890" t="s">
        <v>291</v>
      </c>
      <c r="G592" s="890" t="s">
        <v>89</v>
      </c>
      <c r="H592" s="532">
        <v>78768.80801</v>
      </c>
      <c r="I592" s="532">
        <v>92308.06991</v>
      </c>
      <c r="J592" s="533">
        <v>65411.10313</v>
      </c>
      <c r="K592" s="220"/>
      <c r="CE592" s="525"/>
    </row>
    <row r="593">
      <c r="A593" s="509"/>
      <c r="B593" s="886" t="s">
        <v>346</v>
      </c>
      <c r="C593" s="887" t="s">
        <v>289</v>
      </c>
      <c r="D593" s="887" t="s">
        <v>432</v>
      </c>
      <c r="E593" s="888">
        <v>2019.0</v>
      </c>
      <c r="F593" s="887" t="s">
        <v>291</v>
      </c>
      <c r="G593" s="887" t="s">
        <v>89</v>
      </c>
      <c r="H593" s="547">
        <v>22663.01175</v>
      </c>
      <c r="I593" s="547">
        <v>26561.49025</v>
      </c>
      <c r="J593" s="548">
        <v>18822.3333</v>
      </c>
      <c r="K593" s="220"/>
      <c r="CE593" s="525"/>
    </row>
    <row r="594">
      <c r="A594" s="509"/>
      <c r="B594" s="889" t="s">
        <v>346</v>
      </c>
      <c r="C594" s="890" t="s">
        <v>289</v>
      </c>
      <c r="D594" s="890" t="s">
        <v>435</v>
      </c>
      <c r="E594" s="891">
        <v>2019.0</v>
      </c>
      <c r="F594" s="890" t="s">
        <v>291</v>
      </c>
      <c r="G594" s="890" t="s">
        <v>89</v>
      </c>
      <c r="H594" s="532">
        <v>17591.72679</v>
      </c>
      <c r="I594" s="532">
        <v>20617.84571</v>
      </c>
      <c r="J594" s="533">
        <v>14610.47404</v>
      </c>
      <c r="K594" s="220"/>
      <c r="CE594" s="525"/>
    </row>
    <row r="595">
      <c r="A595" s="509"/>
      <c r="B595" s="886" t="s">
        <v>346</v>
      </c>
      <c r="C595" s="887" t="s">
        <v>289</v>
      </c>
      <c r="D595" s="887" t="s">
        <v>442</v>
      </c>
      <c r="E595" s="888">
        <v>2019.0</v>
      </c>
      <c r="F595" s="887" t="s">
        <v>291</v>
      </c>
      <c r="G595" s="887" t="s">
        <v>89</v>
      </c>
      <c r="H595" s="547">
        <v>13139.4679</v>
      </c>
      <c r="I595" s="547">
        <v>15399.71175</v>
      </c>
      <c r="J595" s="548">
        <v>10912.73511</v>
      </c>
      <c r="K595" s="220"/>
      <c r="CE595" s="525"/>
    </row>
    <row r="596">
      <c r="A596" s="509"/>
      <c r="B596" s="889" t="s">
        <v>346</v>
      </c>
      <c r="C596" s="890" t="s">
        <v>289</v>
      </c>
      <c r="D596" s="890" t="s">
        <v>445</v>
      </c>
      <c r="E596" s="891">
        <v>2019.0</v>
      </c>
      <c r="F596" s="890" t="s">
        <v>291</v>
      </c>
      <c r="G596" s="890" t="s">
        <v>89</v>
      </c>
      <c r="H596" s="532">
        <v>24142.57398</v>
      </c>
      <c r="I596" s="532">
        <v>28292.34647</v>
      </c>
      <c r="J596" s="533">
        <v>20048.44857</v>
      </c>
      <c r="K596" s="220"/>
      <c r="CE596" s="525"/>
    </row>
    <row r="597">
      <c r="A597" s="509"/>
      <c r="B597" s="886" t="s">
        <v>346</v>
      </c>
      <c r="C597" s="887" t="s">
        <v>289</v>
      </c>
      <c r="D597" s="887" t="s">
        <v>450</v>
      </c>
      <c r="E597" s="888">
        <v>2019.0</v>
      </c>
      <c r="F597" s="887" t="s">
        <v>291</v>
      </c>
      <c r="G597" s="887" t="s">
        <v>89</v>
      </c>
      <c r="H597" s="547">
        <v>11000.08758</v>
      </c>
      <c r="I597" s="547">
        <v>12892.31644</v>
      </c>
      <c r="J597" s="548">
        <v>9135.913485</v>
      </c>
      <c r="K597" s="220"/>
      <c r="CE597" s="525"/>
    </row>
    <row r="598">
      <c r="A598" s="509"/>
      <c r="B598" s="889" t="s">
        <v>346</v>
      </c>
      <c r="C598" s="890" t="s">
        <v>289</v>
      </c>
      <c r="D598" s="890" t="s">
        <v>457</v>
      </c>
      <c r="E598" s="891">
        <v>2019.0</v>
      </c>
      <c r="F598" s="890" t="s">
        <v>291</v>
      </c>
      <c r="G598" s="890" t="s">
        <v>89</v>
      </c>
      <c r="H598" s="532">
        <v>25364.75323</v>
      </c>
      <c r="I598" s="532">
        <v>29727.98378</v>
      </c>
      <c r="J598" s="533">
        <v>21066.21329</v>
      </c>
      <c r="K598" s="220"/>
      <c r="CE598" s="525"/>
    </row>
    <row r="599">
      <c r="A599" s="509"/>
      <c r="B599" s="886" t="s">
        <v>346</v>
      </c>
      <c r="C599" s="887" t="s">
        <v>289</v>
      </c>
      <c r="D599" s="887" t="s">
        <v>463</v>
      </c>
      <c r="E599" s="888">
        <v>2019.0</v>
      </c>
      <c r="F599" s="887" t="s">
        <v>291</v>
      </c>
      <c r="G599" s="887" t="s">
        <v>89</v>
      </c>
      <c r="H599" s="547">
        <v>14366.46187</v>
      </c>
      <c r="I599" s="547">
        <v>16835.85673</v>
      </c>
      <c r="J599" s="548">
        <v>11930.18077</v>
      </c>
      <c r="K599" s="220"/>
      <c r="CE599" s="525"/>
    </row>
    <row r="600">
      <c r="A600" s="509"/>
      <c r="B600" s="889" t="s">
        <v>346</v>
      </c>
      <c r="C600" s="890" t="s">
        <v>289</v>
      </c>
      <c r="D600" s="890" t="s">
        <v>467</v>
      </c>
      <c r="E600" s="891">
        <v>2019.0</v>
      </c>
      <c r="F600" s="890" t="s">
        <v>291</v>
      </c>
      <c r="G600" s="890" t="s">
        <v>89</v>
      </c>
      <c r="H600" s="532">
        <v>7354.135984</v>
      </c>
      <c r="I600" s="532">
        <v>8619.190307</v>
      </c>
      <c r="J600" s="533">
        <v>6107.837744</v>
      </c>
      <c r="K600" s="220"/>
      <c r="CE600" s="525"/>
    </row>
    <row r="601">
      <c r="A601" s="509"/>
      <c r="B601" s="886" t="s">
        <v>346</v>
      </c>
      <c r="C601" s="887" t="s">
        <v>289</v>
      </c>
      <c r="D601" s="887" t="s">
        <v>473</v>
      </c>
      <c r="E601" s="888">
        <v>2019.0</v>
      </c>
      <c r="F601" s="887" t="s">
        <v>291</v>
      </c>
      <c r="G601" s="887" t="s">
        <v>89</v>
      </c>
      <c r="H601" s="547">
        <v>11682.48188</v>
      </c>
      <c r="I601" s="547">
        <v>13690.53793</v>
      </c>
      <c r="J601" s="548">
        <v>9701.35319</v>
      </c>
      <c r="K601" s="220"/>
      <c r="CE601" s="525"/>
    </row>
    <row r="602">
      <c r="A602" s="509"/>
      <c r="B602" s="889" t="s">
        <v>346</v>
      </c>
      <c r="C602" s="890" t="s">
        <v>289</v>
      </c>
      <c r="D602" s="890" t="s">
        <v>477</v>
      </c>
      <c r="E602" s="891">
        <v>2019.0</v>
      </c>
      <c r="F602" s="890" t="s">
        <v>291</v>
      </c>
      <c r="G602" s="890" t="s">
        <v>89</v>
      </c>
      <c r="H602" s="532">
        <v>7010.52967</v>
      </c>
      <c r="I602" s="532">
        <v>8216.477028</v>
      </c>
      <c r="J602" s="533">
        <v>5822.462056</v>
      </c>
      <c r="K602" s="220"/>
      <c r="CE602" s="525"/>
    </row>
    <row r="603">
      <c r="A603" s="509"/>
      <c r="B603" s="886" t="s">
        <v>346</v>
      </c>
      <c r="C603" s="887" t="s">
        <v>289</v>
      </c>
      <c r="D603" s="887" t="s">
        <v>483</v>
      </c>
      <c r="E603" s="888">
        <v>2019.0</v>
      </c>
      <c r="F603" s="887" t="s">
        <v>291</v>
      </c>
      <c r="G603" s="887" t="s">
        <v>89</v>
      </c>
      <c r="H603" s="547">
        <v>4326.885252</v>
      </c>
      <c r="I603" s="547">
        <v>5071.193612</v>
      </c>
      <c r="J603" s="548">
        <v>3593.612236</v>
      </c>
      <c r="K603" s="220"/>
      <c r="CE603" s="525"/>
    </row>
    <row r="604">
      <c r="A604" s="509"/>
      <c r="B604" s="889" t="s">
        <v>346</v>
      </c>
      <c r="C604" s="890" t="s">
        <v>289</v>
      </c>
      <c r="D604" s="890" t="s">
        <v>489</v>
      </c>
      <c r="E604" s="891">
        <v>2019.0</v>
      </c>
      <c r="F604" s="890" t="s">
        <v>291</v>
      </c>
      <c r="G604" s="890" t="s">
        <v>89</v>
      </c>
      <c r="H604" s="532">
        <v>2683.979991</v>
      </c>
      <c r="I604" s="532">
        <v>3145.3188</v>
      </c>
      <c r="J604" s="533">
        <v>2228.827583</v>
      </c>
      <c r="K604" s="220"/>
      <c r="CE604" s="525"/>
    </row>
    <row r="605">
      <c r="A605" s="509"/>
      <c r="B605" s="886" t="s">
        <v>346</v>
      </c>
      <c r="C605" s="887" t="s">
        <v>289</v>
      </c>
      <c r="D605" s="887" t="s">
        <v>493</v>
      </c>
      <c r="E605" s="888">
        <v>2019.0</v>
      </c>
      <c r="F605" s="887" t="s">
        <v>291</v>
      </c>
      <c r="G605" s="887" t="s">
        <v>89</v>
      </c>
      <c r="H605" s="547">
        <v>1885.48217</v>
      </c>
      <c r="I605" s="547">
        <v>2209.821749</v>
      </c>
      <c r="J605" s="548">
        <v>1565.951349</v>
      </c>
      <c r="K605" s="220"/>
      <c r="CE605" s="525"/>
    </row>
    <row r="606">
      <c r="A606" s="509"/>
      <c r="B606" s="889" t="s">
        <v>346</v>
      </c>
      <c r="C606" s="890" t="s">
        <v>289</v>
      </c>
      <c r="D606" s="890" t="s">
        <v>496</v>
      </c>
      <c r="E606" s="891">
        <v>2019.0</v>
      </c>
      <c r="F606" s="890" t="s">
        <v>291</v>
      </c>
      <c r="G606" s="890" t="s">
        <v>89</v>
      </c>
      <c r="H606" s="532">
        <v>638.1227013</v>
      </c>
      <c r="I606" s="532">
        <v>747.8922084</v>
      </c>
      <c r="J606" s="533">
        <v>529.9806706</v>
      </c>
      <c r="K606" s="220"/>
      <c r="CE606" s="525"/>
    </row>
    <row r="607">
      <c r="A607" s="509"/>
      <c r="B607" s="886" t="s">
        <v>346</v>
      </c>
      <c r="C607" s="887" t="s">
        <v>289</v>
      </c>
      <c r="D607" s="887" t="s">
        <v>502</v>
      </c>
      <c r="E607" s="888">
        <v>2019.0</v>
      </c>
      <c r="F607" s="887" t="s">
        <v>291</v>
      </c>
      <c r="G607" s="887" t="s">
        <v>89</v>
      </c>
      <c r="H607" s="547">
        <v>160.0395461</v>
      </c>
      <c r="I607" s="547">
        <v>187.5694585</v>
      </c>
      <c r="J607" s="548">
        <v>132.9178006</v>
      </c>
      <c r="K607" s="220"/>
      <c r="CE607" s="525"/>
    </row>
    <row r="608">
      <c r="A608" s="509"/>
      <c r="B608" s="889" t="s">
        <v>346</v>
      </c>
      <c r="C608" s="890" t="s">
        <v>289</v>
      </c>
      <c r="D608" s="890" t="s">
        <v>332</v>
      </c>
      <c r="E608" s="891">
        <v>2019.0</v>
      </c>
      <c r="F608" s="890" t="s">
        <v>291</v>
      </c>
      <c r="G608" s="890" t="s">
        <v>89</v>
      </c>
      <c r="H608" s="532">
        <v>714351.0703</v>
      </c>
      <c r="I608" s="532">
        <v>837233.3383</v>
      </c>
      <c r="J608" s="533">
        <v>593290.6923</v>
      </c>
      <c r="K608" s="220"/>
      <c r="CE608" s="525"/>
    </row>
    <row r="609">
      <c r="A609" s="509"/>
      <c r="B609" s="886" t="s">
        <v>346</v>
      </c>
      <c r="C609" s="887" t="s">
        <v>289</v>
      </c>
      <c r="D609" s="887" t="s">
        <v>510</v>
      </c>
      <c r="E609" s="888">
        <v>2019.0</v>
      </c>
      <c r="F609" s="887" t="s">
        <v>291</v>
      </c>
      <c r="G609" s="887" t="s">
        <v>89</v>
      </c>
      <c r="H609" s="547">
        <v>16790.02707</v>
      </c>
      <c r="I609" s="547">
        <v>19509.71923</v>
      </c>
      <c r="J609" s="548">
        <v>14361.26309</v>
      </c>
      <c r="K609" s="220"/>
      <c r="CE609" s="525"/>
    </row>
    <row r="610">
      <c r="A610" s="509"/>
      <c r="B610" s="889" t="s">
        <v>346</v>
      </c>
      <c r="C610" s="890" t="s">
        <v>289</v>
      </c>
      <c r="D610" s="890" t="s">
        <v>512</v>
      </c>
      <c r="E610" s="891">
        <v>2019.0</v>
      </c>
      <c r="F610" s="890" t="s">
        <v>291</v>
      </c>
      <c r="G610" s="890" t="s">
        <v>89</v>
      </c>
      <c r="H610" s="532">
        <v>314.1768493</v>
      </c>
      <c r="I610" s="532">
        <v>368.2213737</v>
      </c>
      <c r="J610" s="533">
        <v>260.9336057</v>
      </c>
      <c r="K610" s="220"/>
      <c r="CE610" s="525"/>
    </row>
    <row r="611">
      <c r="A611" s="509"/>
      <c r="B611" s="886" t="s">
        <v>346</v>
      </c>
      <c r="C611" s="887" t="s">
        <v>289</v>
      </c>
      <c r="D611" s="887" t="s">
        <v>515</v>
      </c>
      <c r="E611" s="888">
        <v>2019.0</v>
      </c>
      <c r="F611" s="887" t="s">
        <v>291</v>
      </c>
      <c r="G611" s="887" t="s">
        <v>89</v>
      </c>
      <c r="H611" s="547">
        <v>928.915853</v>
      </c>
      <c r="I611" s="547">
        <v>1088.707434</v>
      </c>
      <c r="J611" s="548">
        <v>771.493391</v>
      </c>
      <c r="K611" s="220"/>
      <c r="CE611" s="525"/>
    </row>
    <row r="612">
      <c r="A612" s="509"/>
      <c r="B612" s="889" t="s">
        <v>346</v>
      </c>
      <c r="C612" s="890" t="s">
        <v>289</v>
      </c>
      <c r="D612" s="890" t="s">
        <v>518</v>
      </c>
      <c r="E612" s="891">
        <v>2019.0</v>
      </c>
      <c r="F612" s="890" t="s">
        <v>291</v>
      </c>
      <c r="G612" s="890" t="s">
        <v>89</v>
      </c>
      <c r="H612" s="532">
        <v>1243.092702</v>
      </c>
      <c r="I612" s="532">
        <v>1456.928808</v>
      </c>
      <c r="J612" s="533">
        <v>1032.426997</v>
      </c>
      <c r="K612" s="220"/>
      <c r="CE612" s="525"/>
    </row>
    <row r="613">
      <c r="A613" s="509"/>
      <c r="B613" s="886" t="s">
        <v>346</v>
      </c>
      <c r="C613" s="887" t="s">
        <v>289</v>
      </c>
      <c r="D613" s="887" t="s">
        <v>522</v>
      </c>
      <c r="E613" s="888">
        <v>2019.0</v>
      </c>
      <c r="F613" s="887" t="s">
        <v>291</v>
      </c>
      <c r="G613" s="887" t="s">
        <v>89</v>
      </c>
      <c r="H613" s="547">
        <v>14719.57413</v>
      </c>
      <c r="I613" s="547">
        <v>17251.62697</v>
      </c>
      <c r="J613" s="548">
        <v>12225.06228</v>
      </c>
      <c r="K613" s="220"/>
      <c r="CE613" s="525"/>
    </row>
    <row r="614">
      <c r="A614" s="509"/>
      <c r="B614" s="889" t="s">
        <v>346</v>
      </c>
      <c r="C614" s="890" t="s">
        <v>289</v>
      </c>
      <c r="D614" s="890" t="s">
        <v>302</v>
      </c>
      <c r="E614" s="891">
        <v>2019.0</v>
      </c>
      <c r="F614" s="890" t="s">
        <v>291</v>
      </c>
      <c r="G614" s="890" t="s">
        <v>89</v>
      </c>
      <c r="H614" s="532">
        <v>78106.39174</v>
      </c>
      <c r="I614" s="532">
        <v>91542.20919</v>
      </c>
      <c r="J614" s="533">
        <v>64869.77785</v>
      </c>
      <c r="K614" s="220"/>
      <c r="CE614" s="525"/>
    </row>
    <row r="615">
      <c r="A615" s="509"/>
      <c r="B615" s="886" t="s">
        <v>374</v>
      </c>
      <c r="C615" s="887" t="s">
        <v>289</v>
      </c>
      <c r="D615" s="887" t="s">
        <v>290</v>
      </c>
      <c r="E615" s="888">
        <v>2019.0</v>
      </c>
      <c r="F615" s="887" t="s">
        <v>291</v>
      </c>
      <c r="G615" s="887" t="s">
        <v>89</v>
      </c>
      <c r="H615" s="547">
        <v>140068.7367</v>
      </c>
      <c r="I615" s="547">
        <v>159830.8967</v>
      </c>
      <c r="J615" s="548">
        <v>119885.6369</v>
      </c>
      <c r="K615" s="220"/>
      <c r="CE615" s="525"/>
    </row>
    <row r="616">
      <c r="A616" s="509"/>
      <c r="B616" s="889" t="s">
        <v>374</v>
      </c>
      <c r="C616" s="890" t="s">
        <v>289</v>
      </c>
      <c r="D616" s="890" t="s">
        <v>310</v>
      </c>
      <c r="E616" s="891">
        <v>2019.0</v>
      </c>
      <c r="F616" s="890" t="s">
        <v>291</v>
      </c>
      <c r="G616" s="890" t="s">
        <v>89</v>
      </c>
      <c r="H616" s="532">
        <v>2498564.611</v>
      </c>
      <c r="I616" s="532">
        <v>2851084.63</v>
      </c>
      <c r="J616" s="533">
        <v>2138535.813</v>
      </c>
      <c r="K616" s="220"/>
      <c r="CE616" s="525"/>
    </row>
    <row r="617">
      <c r="A617" s="509"/>
      <c r="B617" s="886" t="s">
        <v>374</v>
      </c>
      <c r="C617" s="887" t="s">
        <v>289</v>
      </c>
      <c r="D617" s="887" t="s">
        <v>318</v>
      </c>
      <c r="E617" s="888">
        <v>2019.0</v>
      </c>
      <c r="F617" s="887" t="s">
        <v>291</v>
      </c>
      <c r="G617" s="887" t="s">
        <v>89</v>
      </c>
      <c r="H617" s="547">
        <v>1987842.681</v>
      </c>
      <c r="I617" s="547">
        <v>2268305.445</v>
      </c>
      <c r="J617" s="548">
        <v>1701405.977</v>
      </c>
      <c r="K617" s="220"/>
      <c r="CE617" s="525"/>
    </row>
    <row r="618">
      <c r="A618" s="509"/>
      <c r="B618" s="889" t="s">
        <v>374</v>
      </c>
      <c r="C618" s="890" t="s">
        <v>289</v>
      </c>
      <c r="D618" s="890" t="s">
        <v>309</v>
      </c>
      <c r="E618" s="891">
        <v>2019.0</v>
      </c>
      <c r="F618" s="890" t="s">
        <v>291</v>
      </c>
      <c r="G618" s="890" t="s">
        <v>89</v>
      </c>
      <c r="H618" s="532">
        <v>555188.3779</v>
      </c>
      <c r="I618" s="532">
        <v>633519.359</v>
      </c>
      <c r="J618" s="533">
        <v>475188.924</v>
      </c>
      <c r="K618" s="220"/>
      <c r="CE618" s="525"/>
    </row>
    <row r="619">
      <c r="A619" s="509"/>
      <c r="B619" s="886" t="s">
        <v>374</v>
      </c>
      <c r="C619" s="887" t="s">
        <v>289</v>
      </c>
      <c r="D619" s="887" t="s">
        <v>334</v>
      </c>
      <c r="E619" s="888">
        <v>2019.0</v>
      </c>
      <c r="F619" s="887" t="s">
        <v>291</v>
      </c>
      <c r="G619" s="887" t="s">
        <v>89</v>
      </c>
      <c r="H619" s="547">
        <v>613402.8786</v>
      </c>
      <c r="I619" s="547">
        <v>699947.2862</v>
      </c>
      <c r="J619" s="548">
        <v>525015.0498</v>
      </c>
      <c r="K619" s="220"/>
      <c r="CE619" s="525"/>
    </row>
    <row r="620">
      <c r="A620" s="509"/>
      <c r="B620" s="889" t="s">
        <v>374</v>
      </c>
      <c r="C620" s="890" t="s">
        <v>289</v>
      </c>
      <c r="D620" s="890" t="s">
        <v>339</v>
      </c>
      <c r="E620" s="891">
        <v>2019.0</v>
      </c>
      <c r="F620" s="890" t="s">
        <v>291</v>
      </c>
      <c r="G620" s="890" t="s">
        <v>89</v>
      </c>
      <c r="H620" s="532">
        <v>1124124.809</v>
      </c>
      <c r="I620" s="532">
        <v>1282726.471</v>
      </c>
      <c r="J620" s="533">
        <v>962144.8859</v>
      </c>
      <c r="K620" s="220"/>
      <c r="CE620" s="525"/>
    </row>
    <row r="621">
      <c r="A621" s="509"/>
      <c r="B621" s="886" t="s">
        <v>374</v>
      </c>
      <c r="C621" s="887" t="s">
        <v>289</v>
      </c>
      <c r="D621" s="887" t="s">
        <v>344</v>
      </c>
      <c r="E621" s="888">
        <v>2019.0</v>
      </c>
      <c r="F621" s="887" t="s">
        <v>291</v>
      </c>
      <c r="G621" s="887" t="s">
        <v>89</v>
      </c>
      <c r="H621" s="547">
        <v>1562257.679</v>
      </c>
      <c r="I621" s="547">
        <v>1782675.076</v>
      </c>
      <c r="J621" s="548">
        <v>1337145.328</v>
      </c>
      <c r="K621" s="220"/>
      <c r="CE621" s="525"/>
    </row>
    <row r="622">
      <c r="A622" s="509"/>
      <c r="B622" s="889" t="s">
        <v>374</v>
      </c>
      <c r="C622" s="890" t="s">
        <v>289</v>
      </c>
      <c r="D622" s="890" t="s">
        <v>349</v>
      </c>
      <c r="E622" s="891">
        <v>2019.0</v>
      </c>
      <c r="F622" s="890" t="s">
        <v>291</v>
      </c>
      <c r="G622" s="890" t="s">
        <v>89</v>
      </c>
      <c r="H622" s="532">
        <v>510721.9306</v>
      </c>
      <c r="I622" s="532">
        <v>582779.1844</v>
      </c>
      <c r="J622" s="533">
        <v>437129.8361</v>
      </c>
      <c r="K622" s="220"/>
      <c r="CE622" s="525"/>
    </row>
    <row r="623">
      <c r="A623" s="509"/>
      <c r="B623" s="886" t="s">
        <v>374</v>
      </c>
      <c r="C623" s="887" t="s">
        <v>289</v>
      </c>
      <c r="D623" s="887" t="s">
        <v>355</v>
      </c>
      <c r="E623" s="888">
        <v>2019.0</v>
      </c>
      <c r="F623" s="887" t="s">
        <v>291</v>
      </c>
      <c r="G623" s="887" t="s">
        <v>89</v>
      </c>
      <c r="H623" s="547">
        <v>2105499.178</v>
      </c>
      <c r="I623" s="547">
        <v>2402891.809</v>
      </c>
      <c r="J623" s="548">
        <v>1802325.262</v>
      </c>
      <c r="K623" s="220"/>
      <c r="CE623" s="525"/>
    </row>
    <row r="624">
      <c r="A624" s="509"/>
      <c r="B624" s="889" t="s">
        <v>374</v>
      </c>
      <c r="C624" s="890" t="s">
        <v>289</v>
      </c>
      <c r="D624" s="890" t="s">
        <v>358</v>
      </c>
      <c r="E624" s="891">
        <v>2019.0</v>
      </c>
      <c r="F624" s="890" t="s">
        <v>291</v>
      </c>
      <c r="G624" s="890" t="s">
        <v>89</v>
      </c>
      <c r="H624" s="532">
        <v>2675857.011</v>
      </c>
      <c r="I624" s="532">
        <v>3053391.04</v>
      </c>
      <c r="J624" s="533">
        <v>2290281.397</v>
      </c>
      <c r="K624" s="220"/>
      <c r="CE624" s="525"/>
    </row>
    <row r="625">
      <c r="A625" s="509"/>
      <c r="B625" s="886" t="s">
        <v>374</v>
      </c>
      <c r="C625" s="887" t="s">
        <v>289</v>
      </c>
      <c r="D625" s="887" t="s">
        <v>362</v>
      </c>
      <c r="E625" s="888">
        <v>2019.0</v>
      </c>
      <c r="F625" s="887" t="s">
        <v>291</v>
      </c>
      <c r="G625" s="887" t="s">
        <v>89</v>
      </c>
      <c r="H625" s="547">
        <v>2766935.367</v>
      </c>
      <c r="I625" s="547">
        <v>3157752.991</v>
      </c>
      <c r="J625" s="548">
        <v>2368520.283</v>
      </c>
      <c r="K625" s="220"/>
      <c r="CE625" s="525"/>
    </row>
    <row r="626">
      <c r="A626" s="509"/>
      <c r="B626" s="889" t="s">
        <v>374</v>
      </c>
      <c r="C626" s="890" t="s">
        <v>289</v>
      </c>
      <c r="D626" s="890" t="s">
        <v>366</v>
      </c>
      <c r="E626" s="891">
        <v>2019.0</v>
      </c>
      <c r="F626" s="890" t="s">
        <v>291</v>
      </c>
      <c r="G626" s="890" t="s">
        <v>89</v>
      </c>
      <c r="H626" s="532">
        <v>438132.8701</v>
      </c>
      <c r="I626" s="532">
        <v>499948.6049</v>
      </c>
      <c r="J626" s="533">
        <v>375000.442</v>
      </c>
      <c r="K626" s="220"/>
      <c r="CE626" s="525"/>
    </row>
    <row r="627">
      <c r="A627" s="509"/>
      <c r="B627" s="886" t="s">
        <v>374</v>
      </c>
      <c r="C627" s="887" t="s">
        <v>289</v>
      </c>
      <c r="D627" s="887" t="s">
        <v>368</v>
      </c>
      <c r="E627" s="888">
        <v>2019.0</v>
      </c>
      <c r="F627" s="887" t="s">
        <v>291</v>
      </c>
      <c r="G627" s="887" t="s">
        <v>89</v>
      </c>
      <c r="H627" s="547">
        <v>2329148.795</v>
      </c>
      <c r="I627" s="547">
        <v>2657766.103</v>
      </c>
      <c r="J627" s="548">
        <v>1993531.842</v>
      </c>
      <c r="K627" s="220"/>
      <c r="CE627" s="525"/>
    </row>
    <row r="628">
      <c r="A628" s="509"/>
      <c r="B628" s="889" t="s">
        <v>374</v>
      </c>
      <c r="C628" s="890" t="s">
        <v>289</v>
      </c>
      <c r="D628" s="890" t="s">
        <v>373</v>
      </c>
      <c r="E628" s="891">
        <v>2019.0</v>
      </c>
      <c r="F628" s="890" t="s">
        <v>291</v>
      </c>
      <c r="G628" s="890" t="s">
        <v>89</v>
      </c>
      <c r="H628" s="532">
        <v>407471.1011</v>
      </c>
      <c r="I628" s="532">
        <v>464960.7972</v>
      </c>
      <c r="J628" s="533">
        <v>348756.8577</v>
      </c>
      <c r="K628" s="220"/>
      <c r="CE628" s="525"/>
    </row>
    <row r="629">
      <c r="A629" s="509"/>
      <c r="B629" s="886" t="s">
        <v>374</v>
      </c>
      <c r="C629" s="887" t="s">
        <v>289</v>
      </c>
      <c r="D629" s="887" t="s">
        <v>379</v>
      </c>
      <c r="E629" s="888">
        <v>2019.0</v>
      </c>
      <c r="F629" s="887" t="s">
        <v>291</v>
      </c>
      <c r="G629" s="887" t="s">
        <v>89</v>
      </c>
      <c r="H629" s="547">
        <v>1726786.093</v>
      </c>
      <c r="I629" s="547">
        <v>1970687.142</v>
      </c>
      <c r="J629" s="548">
        <v>1478143.63</v>
      </c>
      <c r="K629" s="220"/>
      <c r="CE629" s="525"/>
    </row>
    <row r="630">
      <c r="A630" s="509"/>
      <c r="B630" s="889" t="s">
        <v>374</v>
      </c>
      <c r="C630" s="890" t="s">
        <v>289</v>
      </c>
      <c r="D630" s="890" t="s">
        <v>382</v>
      </c>
      <c r="E630" s="891">
        <v>2019.0</v>
      </c>
      <c r="F630" s="890" t="s">
        <v>291</v>
      </c>
      <c r="G630" s="890" t="s">
        <v>89</v>
      </c>
      <c r="H630" s="532">
        <v>387433.419</v>
      </c>
      <c r="I630" s="532">
        <v>442096.0182</v>
      </c>
      <c r="J630" s="533">
        <v>331606.4903</v>
      </c>
      <c r="K630" s="220"/>
      <c r="CE630" s="525"/>
    </row>
    <row r="631">
      <c r="A631" s="509"/>
      <c r="B631" s="886" t="s">
        <v>374</v>
      </c>
      <c r="C631" s="887" t="s">
        <v>289</v>
      </c>
      <c r="D631" s="887" t="s">
        <v>387</v>
      </c>
      <c r="E631" s="888">
        <v>2019.0</v>
      </c>
      <c r="F631" s="887" t="s">
        <v>291</v>
      </c>
      <c r="G631" s="887" t="s">
        <v>89</v>
      </c>
      <c r="H631" s="547">
        <v>362003.3732</v>
      </c>
      <c r="I631" s="547">
        <v>413078.0724</v>
      </c>
      <c r="J631" s="548">
        <v>309840.768</v>
      </c>
      <c r="K631" s="220"/>
      <c r="CE631" s="525"/>
    </row>
    <row r="632">
      <c r="A632" s="509"/>
      <c r="B632" s="889" t="s">
        <v>374</v>
      </c>
      <c r="C632" s="890" t="s">
        <v>289</v>
      </c>
      <c r="D632" s="890" t="s">
        <v>392</v>
      </c>
      <c r="E632" s="891">
        <v>2019.0</v>
      </c>
      <c r="F632" s="890" t="s">
        <v>291</v>
      </c>
      <c r="G632" s="890" t="s">
        <v>89</v>
      </c>
      <c r="H632" s="532">
        <v>314825.7323</v>
      </c>
      <c r="I632" s="532">
        <v>359244.1846</v>
      </c>
      <c r="J632" s="533">
        <v>269461.154</v>
      </c>
      <c r="K632" s="220"/>
      <c r="CE632" s="525"/>
    </row>
    <row r="633">
      <c r="A633" s="509"/>
      <c r="B633" s="886" t="s">
        <v>374</v>
      </c>
      <c r="C633" s="887" t="s">
        <v>289</v>
      </c>
      <c r="D633" s="887" t="s">
        <v>398</v>
      </c>
      <c r="E633" s="888">
        <v>2019.0</v>
      </c>
      <c r="F633" s="887" t="s">
        <v>291</v>
      </c>
      <c r="G633" s="887" t="s">
        <v>89</v>
      </c>
      <c r="H633" s="547">
        <v>255268.585</v>
      </c>
      <c r="I633" s="547">
        <v>291284.1781</v>
      </c>
      <c r="J633" s="548">
        <v>218485.8493</v>
      </c>
      <c r="K633" s="220"/>
      <c r="CE633" s="525"/>
    </row>
    <row r="634">
      <c r="A634" s="509"/>
      <c r="B634" s="889" t="s">
        <v>374</v>
      </c>
      <c r="C634" s="890" t="s">
        <v>289</v>
      </c>
      <c r="D634" s="890" t="s">
        <v>402</v>
      </c>
      <c r="E634" s="891">
        <v>2019.0</v>
      </c>
      <c r="F634" s="890" t="s">
        <v>291</v>
      </c>
      <c r="G634" s="890" t="s">
        <v>89</v>
      </c>
      <c r="H634" s="532">
        <v>1803081.83</v>
      </c>
      <c r="I634" s="532">
        <v>2057759.321</v>
      </c>
      <c r="J634" s="533">
        <v>1543453.432</v>
      </c>
      <c r="K634" s="220"/>
      <c r="CE634" s="525"/>
    </row>
    <row r="635">
      <c r="A635" s="509"/>
      <c r="B635" s="886" t="s">
        <v>374</v>
      </c>
      <c r="C635" s="887" t="s">
        <v>289</v>
      </c>
      <c r="D635" s="887" t="s">
        <v>407</v>
      </c>
      <c r="E635" s="888">
        <v>2019.0</v>
      </c>
      <c r="F635" s="887" t="s">
        <v>291</v>
      </c>
      <c r="G635" s="887" t="s">
        <v>89</v>
      </c>
      <c r="H635" s="547">
        <v>679182.6874</v>
      </c>
      <c r="I635" s="547">
        <v>775007.9034</v>
      </c>
      <c r="J635" s="548">
        <v>581316.3663</v>
      </c>
      <c r="K635" s="220"/>
      <c r="CE635" s="525"/>
    </row>
    <row r="636">
      <c r="A636" s="509"/>
      <c r="B636" s="889" t="s">
        <v>374</v>
      </c>
      <c r="C636" s="890" t="s">
        <v>289</v>
      </c>
      <c r="D636" s="890" t="s">
        <v>414</v>
      </c>
      <c r="E636" s="891">
        <v>2019.0</v>
      </c>
      <c r="F636" s="890" t="s">
        <v>291</v>
      </c>
      <c r="G636" s="890" t="s">
        <v>89</v>
      </c>
      <c r="H636" s="532">
        <v>191030.2179</v>
      </c>
      <c r="I636" s="532">
        <v>217982.483</v>
      </c>
      <c r="J636" s="533">
        <v>163503.8616</v>
      </c>
      <c r="K636" s="220"/>
      <c r="CE636" s="525"/>
    </row>
    <row r="637">
      <c r="A637" s="509"/>
      <c r="B637" s="886" t="s">
        <v>374</v>
      </c>
      <c r="C637" s="887" t="s">
        <v>289</v>
      </c>
      <c r="D637" s="887" t="s">
        <v>417</v>
      </c>
      <c r="E637" s="888">
        <v>2019.0</v>
      </c>
      <c r="F637" s="887" t="s">
        <v>291</v>
      </c>
      <c r="G637" s="887" t="s">
        <v>89</v>
      </c>
      <c r="H637" s="547">
        <v>502523.7684</v>
      </c>
      <c r="I637" s="547">
        <v>573424.3516</v>
      </c>
      <c r="J637" s="548">
        <v>430112.982</v>
      </c>
      <c r="K637" s="220"/>
      <c r="CE637" s="525"/>
    </row>
    <row r="638">
      <c r="A638" s="509"/>
      <c r="B638" s="889" t="s">
        <v>374</v>
      </c>
      <c r="C638" s="890" t="s">
        <v>289</v>
      </c>
      <c r="D638" s="890" t="s">
        <v>300</v>
      </c>
      <c r="E638" s="891">
        <v>2019.0</v>
      </c>
      <c r="F638" s="890" t="s">
        <v>291</v>
      </c>
      <c r="G638" s="890" t="s">
        <v>89</v>
      </c>
      <c r="H638" s="532">
        <v>1292585.566</v>
      </c>
      <c r="I638" s="532">
        <v>1474955.19</v>
      </c>
      <c r="J638" s="533">
        <v>1106331.416</v>
      </c>
      <c r="K638" s="220"/>
      <c r="CE638" s="525"/>
    </row>
    <row r="639">
      <c r="A639" s="509"/>
      <c r="B639" s="886" t="s">
        <v>374</v>
      </c>
      <c r="C639" s="887" t="s">
        <v>289</v>
      </c>
      <c r="D639" s="887" t="s">
        <v>429</v>
      </c>
      <c r="E639" s="888">
        <v>2019.0</v>
      </c>
      <c r="F639" s="887" t="s">
        <v>291</v>
      </c>
      <c r="G639" s="887" t="s">
        <v>89</v>
      </c>
      <c r="H639" s="547">
        <v>411064.9193</v>
      </c>
      <c r="I639" s="547">
        <v>469126.0569</v>
      </c>
      <c r="J639" s="548">
        <v>351875.0783</v>
      </c>
      <c r="K639" s="220"/>
      <c r="CE639" s="525"/>
    </row>
    <row r="640">
      <c r="A640" s="509"/>
      <c r="B640" s="889" t="s">
        <v>374</v>
      </c>
      <c r="C640" s="890" t="s">
        <v>289</v>
      </c>
      <c r="D640" s="890" t="s">
        <v>432</v>
      </c>
      <c r="E640" s="891">
        <v>2019.0</v>
      </c>
      <c r="F640" s="890" t="s">
        <v>291</v>
      </c>
      <c r="G640" s="890" t="s">
        <v>89</v>
      </c>
      <c r="H640" s="532">
        <v>140887.0118</v>
      </c>
      <c r="I640" s="532">
        <v>160764.6214</v>
      </c>
      <c r="J640" s="533">
        <v>120586.0032</v>
      </c>
      <c r="K640" s="220"/>
      <c r="CE640" s="525"/>
    </row>
    <row r="641">
      <c r="A641" s="509"/>
      <c r="B641" s="886" t="s">
        <v>374</v>
      </c>
      <c r="C641" s="887" t="s">
        <v>289</v>
      </c>
      <c r="D641" s="887" t="s">
        <v>435</v>
      </c>
      <c r="E641" s="888">
        <v>2019.0</v>
      </c>
      <c r="F641" s="887" t="s">
        <v>291</v>
      </c>
      <c r="G641" s="887" t="s">
        <v>89</v>
      </c>
      <c r="H641" s="547">
        <v>100138.9124</v>
      </c>
      <c r="I641" s="547">
        <v>114267.4129</v>
      </c>
      <c r="J641" s="548">
        <v>85709.47077</v>
      </c>
      <c r="K641" s="220"/>
      <c r="CE641" s="525"/>
    </row>
    <row r="642">
      <c r="A642" s="509"/>
      <c r="B642" s="889" t="s">
        <v>374</v>
      </c>
      <c r="C642" s="890" t="s">
        <v>289</v>
      </c>
      <c r="D642" s="890" t="s">
        <v>442</v>
      </c>
      <c r="E642" s="891">
        <v>2019.0</v>
      </c>
      <c r="F642" s="890" t="s">
        <v>291</v>
      </c>
      <c r="G642" s="890" t="s">
        <v>89</v>
      </c>
      <c r="H642" s="532">
        <v>70467.62635</v>
      </c>
      <c r="I642" s="532">
        <v>80409.8343</v>
      </c>
      <c r="J642" s="533">
        <v>60313.64646</v>
      </c>
      <c r="K642" s="220"/>
      <c r="CE642" s="525"/>
    </row>
    <row r="643">
      <c r="A643" s="509"/>
      <c r="B643" s="886" t="s">
        <v>374</v>
      </c>
      <c r="C643" s="887" t="s">
        <v>289</v>
      </c>
      <c r="D643" s="887" t="s">
        <v>445</v>
      </c>
      <c r="E643" s="888">
        <v>2019.0</v>
      </c>
      <c r="F643" s="887" t="s">
        <v>291</v>
      </c>
      <c r="G643" s="887" t="s">
        <v>89</v>
      </c>
      <c r="H643" s="547">
        <v>117485.7581</v>
      </c>
      <c r="I643" s="547">
        <v>134080.1121</v>
      </c>
      <c r="J643" s="548">
        <v>100568.8114</v>
      </c>
      <c r="K643" s="220"/>
      <c r="CE643" s="525"/>
    </row>
    <row r="644">
      <c r="A644" s="509"/>
      <c r="B644" s="889" t="s">
        <v>374</v>
      </c>
      <c r="C644" s="890" t="s">
        <v>289</v>
      </c>
      <c r="D644" s="890" t="s">
        <v>450</v>
      </c>
      <c r="E644" s="891">
        <v>2019.0</v>
      </c>
      <c r="F644" s="890" t="s">
        <v>291</v>
      </c>
      <c r="G644" s="890" t="s">
        <v>89</v>
      </c>
      <c r="H644" s="532">
        <v>47032.83579</v>
      </c>
      <c r="I644" s="532">
        <v>53668.65224</v>
      </c>
      <c r="J644" s="533">
        <v>40255.6745</v>
      </c>
      <c r="K644" s="220"/>
      <c r="CE644" s="525"/>
    </row>
    <row r="645">
      <c r="A645" s="509"/>
      <c r="B645" s="886" t="s">
        <v>374</v>
      </c>
      <c r="C645" s="887" t="s">
        <v>289</v>
      </c>
      <c r="D645" s="887" t="s">
        <v>457</v>
      </c>
      <c r="E645" s="888">
        <v>2019.0</v>
      </c>
      <c r="F645" s="887" t="s">
        <v>291</v>
      </c>
      <c r="G645" s="887" t="s">
        <v>89</v>
      </c>
      <c r="H645" s="547">
        <v>99622.81596</v>
      </c>
      <c r="I645" s="547">
        <v>113678.5009</v>
      </c>
      <c r="J645" s="548">
        <v>85267.74083</v>
      </c>
      <c r="K645" s="220"/>
      <c r="CE645" s="525"/>
    </row>
    <row r="646">
      <c r="A646" s="509"/>
      <c r="B646" s="889" t="s">
        <v>374</v>
      </c>
      <c r="C646" s="890" t="s">
        <v>289</v>
      </c>
      <c r="D646" s="890" t="s">
        <v>463</v>
      </c>
      <c r="E646" s="891">
        <v>2019.0</v>
      </c>
      <c r="F646" s="890" t="s">
        <v>291</v>
      </c>
      <c r="G646" s="890" t="s">
        <v>89</v>
      </c>
      <c r="H646" s="532">
        <v>52583.39905</v>
      </c>
      <c r="I646" s="532">
        <v>60010.57618</v>
      </c>
      <c r="J646" s="533">
        <v>45011.83826</v>
      </c>
      <c r="K646" s="220"/>
      <c r="CE646" s="525"/>
    </row>
    <row r="647">
      <c r="A647" s="509"/>
      <c r="B647" s="886" t="s">
        <v>374</v>
      </c>
      <c r="C647" s="887" t="s">
        <v>289</v>
      </c>
      <c r="D647" s="887" t="s">
        <v>467</v>
      </c>
      <c r="E647" s="888">
        <v>2019.0</v>
      </c>
      <c r="F647" s="887" t="s">
        <v>291</v>
      </c>
      <c r="G647" s="887" t="s">
        <v>89</v>
      </c>
      <c r="H647" s="547">
        <v>29041.14035</v>
      </c>
      <c r="I647" s="547">
        <v>33138.52622</v>
      </c>
      <c r="J647" s="548">
        <v>24856.47896</v>
      </c>
      <c r="K647" s="220"/>
      <c r="CE647" s="525"/>
    </row>
    <row r="648">
      <c r="A648" s="509"/>
      <c r="B648" s="889" t="s">
        <v>374</v>
      </c>
      <c r="C648" s="890" t="s">
        <v>289</v>
      </c>
      <c r="D648" s="890" t="s">
        <v>473</v>
      </c>
      <c r="E648" s="891">
        <v>2019.0</v>
      </c>
      <c r="F648" s="890" t="s">
        <v>291</v>
      </c>
      <c r="G648" s="890" t="s">
        <v>89</v>
      </c>
      <c r="H648" s="532">
        <v>44574.6396</v>
      </c>
      <c r="I648" s="532">
        <v>50870.61418</v>
      </c>
      <c r="J648" s="533">
        <v>38156.27183</v>
      </c>
      <c r="K648" s="220"/>
      <c r="CE648" s="525"/>
    </row>
    <row r="649">
      <c r="A649" s="509"/>
      <c r="B649" s="886" t="s">
        <v>374</v>
      </c>
      <c r="C649" s="887" t="s">
        <v>289</v>
      </c>
      <c r="D649" s="887" t="s">
        <v>477</v>
      </c>
      <c r="E649" s="888">
        <v>2019.0</v>
      </c>
      <c r="F649" s="887" t="s">
        <v>291</v>
      </c>
      <c r="G649" s="887" t="s">
        <v>89</v>
      </c>
      <c r="H649" s="547">
        <v>23548.83982</v>
      </c>
      <c r="I649" s="547">
        <v>26871.32242</v>
      </c>
      <c r="J649" s="548">
        <v>20155.58737</v>
      </c>
      <c r="K649" s="220"/>
      <c r="CE649" s="525"/>
    </row>
    <row r="650">
      <c r="A650" s="509"/>
      <c r="B650" s="889" t="s">
        <v>374</v>
      </c>
      <c r="C650" s="890" t="s">
        <v>289</v>
      </c>
      <c r="D650" s="890" t="s">
        <v>483</v>
      </c>
      <c r="E650" s="891">
        <v>2019.0</v>
      </c>
      <c r="F650" s="890" t="s">
        <v>291</v>
      </c>
      <c r="G650" s="890" t="s">
        <v>89</v>
      </c>
      <c r="H650" s="532">
        <v>15539.07802</v>
      </c>
      <c r="I650" s="532">
        <v>17731.47123</v>
      </c>
      <c r="J650" s="533">
        <v>13299.9862</v>
      </c>
      <c r="K650" s="220"/>
      <c r="CE650" s="525"/>
    </row>
    <row r="651">
      <c r="A651" s="509"/>
      <c r="B651" s="886" t="s">
        <v>374</v>
      </c>
      <c r="C651" s="887" t="s">
        <v>289</v>
      </c>
      <c r="D651" s="887" t="s">
        <v>489</v>
      </c>
      <c r="E651" s="888">
        <v>2019.0</v>
      </c>
      <c r="F651" s="887" t="s">
        <v>291</v>
      </c>
      <c r="G651" s="887" t="s">
        <v>89</v>
      </c>
      <c r="H651" s="547">
        <v>8008.759454</v>
      </c>
      <c r="I651" s="547">
        <v>9139.962003</v>
      </c>
      <c r="J651" s="548">
        <v>6855.566427</v>
      </c>
      <c r="K651" s="220"/>
      <c r="CE651" s="525"/>
    </row>
    <row r="652">
      <c r="A652" s="509"/>
      <c r="B652" s="889" t="s">
        <v>374</v>
      </c>
      <c r="C652" s="890" t="s">
        <v>289</v>
      </c>
      <c r="D652" s="890" t="s">
        <v>493</v>
      </c>
      <c r="E652" s="891">
        <v>2019.0</v>
      </c>
      <c r="F652" s="890" t="s">
        <v>291</v>
      </c>
      <c r="G652" s="890" t="s">
        <v>89</v>
      </c>
      <c r="H652" s="532">
        <v>6144.030349</v>
      </c>
      <c r="I652" s="532">
        <v>7010.885536</v>
      </c>
      <c r="J652" s="533">
        <v>5258.710893</v>
      </c>
      <c r="K652" s="220"/>
      <c r="CE652" s="525"/>
    </row>
    <row r="653">
      <c r="A653" s="509"/>
      <c r="B653" s="886" t="s">
        <v>374</v>
      </c>
      <c r="C653" s="887" t="s">
        <v>289</v>
      </c>
      <c r="D653" s="887" t="s">
        <v>496</v>
      </c>
      <c r="E653" s="888">
        <v>2019.0</v>
      </c>
      <c r="F653" s="887" t="s">
        <v>291</v>
      </c>
      <c r="G653" s="887" t="s">
        <v>89</v>
      </c>
      <c r="H653" s="547">
        <v>1571.760848</v>
      </c>
      <c r="I653" s="547">
        <v>1793.519037</v>
      </c>
      <c r="J653" s="548">
        <v>1345.279145</v>
      </c>
      <c r="K653" s="220"/>
      <c r="CE653" s="525"/>
    </row>
    <row r="654">
      <c r="A654" s="509"/>
      <c r="B654" s="889" t="s">
        <v>374</v>
      </c>
      <c r="C654" s="890" t="s">
        <v>289</v>
      </c>
      <c r="D654" s="890" t="s">
        <v>502</v>
      </c>
      <c r="E654" s="891">
        <v>2019.0</v>
      </c>
      <c r="F654" s="890" t="s">
        <v>291</v>
      </c>
      <c r="G654" s="890" t="s">
        <v>89</v>
      </c>
      <c r="H654" s="532">
        <v>293.9705995</v>
      </c>
      <c r="I654" s="532">
        <v>335.4466217</v>
      </c>
      <c r="J654" s="533">
        <v>251.6111259</v>
      </c>
      <c r="K654" s="220"/>
      <c r="CE654" s="525"/>
    </row>
    <row r="655">
      <c r="A655" s="509"/>
      <c r="B655" s="886" t="s">
        <v>374</v>
      </c>
      <c r="C655" s="887" t="s">
        <v>289</v>
      </c>
      <c r="D655" s="887" t="s">
        <v>332</v>
      </c>
      <c r="E655" s="888">
        <v>2019.0</v>
      </c>
      <c r="F655" s="887" t="s">
        <v>291</v>
      </c>
      <c r="G655" s="887" t="s">
        <v>89</v>
      </c>
      <c r="H655" s="547">
        <v>5265846.276</v>
      </c>
      <c r="I655" s="547">
        <v>6008799.338</v>
      </c>
      <c r="J655" s="548">
        <v>4507068.097</v>
      </c>
      <c r="K655" s="220"/>
      <c r="CE655" s="525"/>
    </row>
    <row r="656">
      <c r="A656" s="509"/>
      <c r="B656" s="889" t="s">
        <v>374</v>
      </c>
      <c r="C656" s="890" t="s">
        <v>289</v>
      </c>
      <c r="D656" s="890" t="s">
        <v>510</v>
      </c>
      <c r="E656" s="891">
        <v>2019.0</v>
      </c>
      <c r="F656" s="890" t="s">
        <v>291</v>
      </c>
      <c r="G656" s="890" t="s">
        <v>89</v>
      </c>
      <c r="H656" s="532">
        <v>145110.8413</v>
      </c>
      <c r="I656" s="532">
        <v>157607.0306</v>
      </c>
      <c r="J656" s="533">
        <v>133130.7107</v>
      </c>
      <c r="K656" s="220"/>
      <c r="CE656" s="525"/>
    </row>
    <row r="657">
      <c r="A657" s="509"/>
      <c r="B657" s="886" t="s">
        <v>374</v>
      </c>
      <c r="C657" s="887" t="s">
        <v>289</v>
      </c>
      <c r="D657" s="887" t="s">
        <v>512</v>
      </c>
      <c r="E657" s="888">
        <v>2019.0</v>
      </c>
      <c r="F657" s="887" t="s">
        <v>291</v>
      </c>
      <c r="G657" s="887" t="s">
        <v>89</v>
      </c>
      <c r="H657" s="547">
        <v>2734.454781</v>
      </c>
      <c r="I657" s="547">
        <v>3120.256311</v>
      </c>
      <c r="J657" s="548">
        <v>2340.435565</v>
      </c>
      <c r="K657" s="220"/>
      <c r="CE657" s="525"/>
    </row>
    <row r="658">
      <c r="A658" s="509"/>
      <c r="B658" s="889" t="s">
        <v>374</v>
      </c>
      <c r="C658" s="890" t="s">
        <v>289</v>
      </c>
      <c r="D658" s="890" t="s">
        <v>515</v>
      </c>
      <c r="E658" s="891">
        <v>2019.0</v>
      </c>
      <c r="F658" s="890" t="s">
        <v>291</v>
      </c>
      <c r="G658" s="890" t="s">
        <v>89</v>
      </c>
      <c r="H658" s="532">
        <v>8125.400513</v>
      </c>
      <c r="I658" s="532">
        <v>9271.805263</v>
      </c>
      <c r="J658" s="533">
        <v>6954.577006</v>
      </c>
      <c r="K658" s="220"/>
      <c r="CE658" s="525"/>
    </row>
    <row r="659">
      <c r="A659" s="509"/>
      <c r="B659" s="886" t="s">
        <v>374</v>
      </c>
      <c r="C659" s="887" t="s">
        <v>289</v>
      </c>
      <c r="D659" s="887" t="s">
        <v>518</v>
      </c>
      <c r="E659" s="888">
        <v>2019.0</v>
      </c>
      <c r="F659" s="887" t="s">
        <v>291</v>
      </c>
      <c r="G659" s="887" t="s">
        <v>89</v>
      </c>
      <c r="H659" s="547">
        <v>10859.85529</v>
      </c>
      <c r="I659" s="547">
        <v>12392.06157</v>
      </c>
      <c r="J659" s="548">
        <v>9295.012571</v>
      </c>
      <c r="K659" s="220"/>
      <c r="CE659" s="525"/>
    </row>
    <row r="660">
      <c r="A660" s="509"/>
      <c r="B660" s="889" t="s">
        <v>374</v>
      </c>
      <c r="C660" s="890" t="s">
        <v>289</v>
      </c>
      <c r="D660" s="890" t="s">
        <v>522</v>
      </c>
      <c r="E660" s="891">
        <v>2019.0</v>
      </c>
      <c r="F660" s="890" t="s">
        <v>291</v>
      </c>
      <c r="G660" s="890" t="s">
        <v>89</v>
      </c>
      <c r="H660" s="532">
        <v>129208.8814</v>
      </c>
      <c r="I660" s="532">
        <v>147438.8352</v>
      </c>
      <c r="J660" s="533">
        <v>110590.6243</v>
      </c>
      <c r="K660" s="220"/>
      <c r="CE660" s="525"/>
    </row>
    <row r="661">
      <c r="A661" s="509"/>
      <c r="B661" s="886" t="s">
        <v>374</v>
      </c>
      <c r="C661" s="887" t="s">
        <v>289</v>
      </c>
      <c r="D661" s="887" t="s">
        <v>302</v>
      </c>
      <c r="E661" s="888">
        <v>2019.0</v>
      </c>
      <c r="F661" s="887" t="s">
        <v>291</v>
      </c>
      <c r="G661" s="887" t="s">
        <v>89</v>
      </c>
      <c r="H661" s="547">
        <v>695257.1147</v>
      </c>
      <c r="I661" s="547">
        <v>793350.2558</v>
      </c>
      <c r="J661" s="548">
        <v>595074.5609</v>
      </c>
      <c r="K661" s="220"/>
      <c r="CE661" s="525"/>
    </row>
    <row r="662">
      <c r="A662" s="509"/>
      <c r="B662" s="889" t="s">
        <v>5</v>
      </c>
      <c r="C662" s="890" t="s">
        <v>289</v>
      </c>
      <c r="D662" s="890" t="s">
        <v>290</v>
      </c>
      <c r="E662" s="891">
        <v>2019.0</v>
      </c>
      <c r="F662" s="890" t="s">
        <v>291</v>
      </c>
      <c r="G662" s="890" t="s">
        <v>89</v>
      </c>
      <c r="H662" s="532">
        <v>2808316.545</v>
      </c>
      <c r="I662" s="532">
        <v>3606567.163</v>
      </c>
      <c r="J662" s="533">
        <v>1977972.186</v>
      </c>
      <c r="K662" s="220"/>
      <c r="CE662" s="525"/>
    </row>
    <row r="663">
      <c r="A663" s="509"/>
      <c r="B663" s="886" t="s">
        <v>5</v>
      </c>
      <c r="C663" s="887" t="s">
        <v>289</v>
      </c>
      <c r="D663" s="887" t="s">
        <v>310</v>
      </c>
      <c r="E663" s="888">
        <v>2019.0</v>
      </c>
      <c r="F663" s="887" t="s">
        <v>291</v>
      </c>
      <c r="G663" s="887" t="s">
        <v>89</v>
      </c>
      <c r="H663" s="547">
        <v>4.728107588E7</v>
      </c>
      <c r="I663" s="547">
        <v>6.072049678E7</v>
      </c>
      <c r="J663" s="548">
        <v>3.330132181E7</v>
      </c>
      <c r="K663" s="220"/>
      <c r="CE663" s="525"/>
    </row>
    <row r="664">
      <c r="A664" s="509"/>
      <c r="B664" s="889" t="s">
        <v>5</v>
      </c>
      <c r="C664" s="890" t="s">
        <v>289</v>
      </c>
      <c r="D664" s="890" t="s">
        <v>318</v>
      </c>
      <c r="E664" s="891">
        <v>2019.0</v>
      </c>
      <c r="F664" s="890" t="s">
        <v>291</v>
      </c>
      <c r="G664" s="890" t="s">
        <v>89</v>
      </c>
      <c r="H664" s="532">
        <v>3.769514531E7</v>
      </c>
      <c r="I664" s="532">
        <v>4.840981104E7</v>
      </c>
      <c r="J664" s="533">
        <v>2.654969544E7</v>
      </c>
      <c r="K664" s="220"/>
      <c r="CE664" s="525"/>
    </row>
    <row r="665">
      <c r="A665" s="509"/>
      <c r="B665" s="886" t="s">
        <v>5</v>
      </c>
      <c r="C665" s="887" t="s">
        <v>289</v>
      </c>
      <c r="D665" s="887" t="s">
        <v>309</v>
      </c>
      <c r="E665" s="888">
        <v>2019.0</v>
      </c>
      <c r="F665" s="887" t="s">
        <v>291</v>
      </c>
      <c r="G665" s="887" t="s">
        <v>89</v>
      </c>
      <c r="H665" s="547">
        <v>1.082114861E7</v>
      </c>
      <c r="I665" s="547">
        <v>1.389700862E7</v>
      </c>
      <c r="J665" s="548">
        <v>7621623.354</v>
      </c>
      <c r="K665" s="220"/>
      <c r="CE665" s="525"/>
    </row>
    <row r="666">
      <c r="A666" s="509"/>
      <c r="B666" s="889" t="s">
        <v>5</v>
      </c>
      <c r="C666" s="890" t="s">
        <v>289</v>
      </c>
      <c r="D666" s="890" t="s">
        <v>334</v>
      </c>
      <c r="E666" s="891">
        <v>2019.0</v>
      </c>
      <c r="F666" s="890" t="s">
        <v>291</v>
      </c>
      <c r="G666" s="890" t="s">
        <v>89</v>
      </c>
      <c r="H666" s="532">
        <v>1.13018475E7</v>
      </c>
      <c r="I666" s="532">
        <v>1.451434389E7</v>
      </c>
      <c r="J666" s="533">
        <v>7960192.396</v>
      </c>
      <c r="K666" s="220"/>
      <c r="CE666" s="525"/>
    </row>
    <row r="667">
      <c r="A667" s="509"/>
      <c r="B667" s="886" t="s">
        <v>5</v>
      </c>
      <c r="C667" s="887" t="s">
        <v>289</v>
      </c>
      <c r="D667" s="887" t="s">
        <v>339</v>
      </c>
      <c r="E667" s="888">
        <v>2019.0</v>
      </c>
      <c r="F667" s="887" t="s">
        <v>291</v>
      </c>
      <c r="G667" s="887" t="s">
        <v>89</v>
      </c>
      <c r="H667" s="547">
        <v>2.088777807E7</v>
      </c>
      <c r="I667" s="547">
        <v>2.682502963E7</v>
      </c>
      <c r="J667" s="548">
        <v>1.471181877E7</v>
      </c>
      <c r="K667" s="220"/>
      <c r="CE667" s="525"/>
    </row>
    <row r="668">
      <c r="A668" s="509"/>
      <c r="B668" s="889" t="s">
        <v>5</v>
      </c>
      <c r="C668" s="890" t="s">
        <v>289</v>
      </c>
      <c r="D668" s="890" t="s">
        <v>344</v>
      </c>
      <c r="E668" s="891">
        <v>2019.0</v>
      </c>
      <c r="F668" s="890" t="s">
        <v>291</v>
      </c>
      <c r="G668" s="890" t="s">
        <v>89</v>
      </c>
      <c r="H668" s="532">
        <v>2.897607391E7</v>
      </c>
      <c r="I668" s="532">
        <v>3.721238508E7</v>
      </c>
      <c r="J668" s="533">
        <v>2.040862109E7</v>
      </c>
      <c r="K668" s="220"/>
      <c r="CE668" s="525"/>
    </row>
    <row r="669">
      <c r="A669" s="509"/>
      <c r="B669" s="886" t="s">
        <v>5</v>
      </c>
      <c r="C669" s="887" t="s">
        <v>289</v>
      </c>
      <c r="D669" s="887" t="s">
        <v>349</v>
      </c>
      <c r="E669" s="888">
        <v>2019.0</v>
      </c>
      <c r="F669" s="887" t="s">
        <v>291</v>
      </c>
      <c r="G669" s="887" t="s">
        <v>89</v>
      </c>
      <c r="H669" s="547">
        <v>9585930.572</v>
      </c>
      <c r="I669" s="547">
        <v>1.231068574E7</v>
      </c>
      <c r="J669" s="548">
        <v>6751626.373</v>
      </c>
      <c r="K669" s="220"/>
      <c r="CE669" s="525"/>
    </row>
    <row r="670">
      <c r="A670" s="509"/>
      <c r="B670" s="889" t="s">
        <v>5</v>
      </c>
      <c r="C670" s="890" t="s">
        <v>289</v>
      </c>
      <c r="D670" s="890" t="s">
        <v>355</v>
      </c>
      <c r="E670" s="891">
        <v>2019.0</v>
      </c>
      <c r="F670" s="890" t="s">
        <v>291</v>
      </c>
      <c r="G670" s="890" t="s">
        <v>89</v>
      </c>
      <c r="H670" s="532">
        <v>3.499000884E7</v>
      </c>
      <c r="I670" s="532">
        <v>4.493050373E7</v>
      </c>
      <c r="J670" s="533">
        <v>2.464030237E7</v>
      </c>
      <c r="K670" s="220"/>
      <c r="CE670" s="525"/>
    </row>
    <row r="671">
      <c r="A671" s="509"/>
      <c r="B671" s="886" t="s">
        <v>5</v>
      </c>
      <c r="C671" s="887" t="s">
        <v>289</v>
      </c>
      <c r="D671" s="887" t="s">
        <v>358</v>
      </c>
      <c r="E671" s="888">
        <v>2019.0</v>
      </c>
      <c r="F671" s="887" t="s">
        <v>291</v>
      </c>
      <c r="G671" s="887" t="s">
        <v>89</v>
      </c>
      <c r="H671" s="547">
        <v>4.172926852E7</v>
      </c>
      <c r="I671" s="547">
        <v>5.359061458E7</v>
      </c>
      <c r="J671" s="548">
        <v>2.939103593E7</v>
      </c>
      <c r="K671" s="220"/>
      <c r="CE671" s="525"/>
    </row>
    <row r="672">
      <c r="A672" s="509"/>
      <c r="B672" s="889" t="s">
        <v>5</v>
      </c>
      <c r="C672" s="890" t="s">
        <v>289</v>
      </c>
      <c r="D672" s="890" t="s">
        <v>362</v>
      </c>
      <c r="E672" s="891">
        <v>2019.0</v>
      </c>
      <c r="F672" s="890" t="s">
        <v>291</v>
      </c>
      <c r="G672" s="890" t="s">
        <v>89</v>
      </c>
      <c r="H672" s="532">
        <v>4.039540413E7</v>
      </c>
      <c r="I672" s="532">
        <v>5.187154608E7</v>
      </c>
      <c r="J672" s="533">
        <v>2.844683396E7</v>
      </c>
      <c r="K672" s="220"/>
      <c r="CE672" s="525"/>
    </row>
    <row r="673">
      <c r="A673" s="509"/>
      <c r="B673" s="886" t="s">
        <v>5</v>
      </c>
      <c r="C673" s="887" t="s">
        <v>289</v>
      </c>
      <c r="D673" s="887" t="s">
        <v>366</v>
      </c>
      <c r="E673" s="888">
        <v>2019.0</v>
      </c>
      <c r="F673" s="887" t="s">
        <v>291</v>
      </c>
      <c r="G673" s="887" t="s">
        <v>89</v>
      </c>
      <c r="H673" s="547">
        <v>8088295.839</v>
      </c>
      <c r="I673" s="547">
        <v>1.038735545E7</v>
      </c>
      <c r="J673" s="548">
        <v>5696802.317</v>
      </c>
      <c r="K673" s="220"/>
      <c r="CE673" s="525"/>
    </row>
    <row r="674">
      <c r="A674" s="509"/>
      <c r="B674" s="889" t="s">
        <v>5</v>
      </c>
      <c r="C674" s="890" t="s">
        <v>289</v>
      </c>
      <c r="D674" s="890" t="s">
        <v>368</v>
      </c>
      <c r="E674" s="891">
        <v>2019.0</v>
      </c>
      <c r="F674" s="890" t="s">
        <v>291</v>
      </c>
      <c r="G674" s="890" t="s">
        <v>89</v>
      </c>
      <c r="H674" s="532">
        <v>3.230107206E7</v>
      </c>
      <c r="I674" s="532">
        <v>4.148249813E7</v>
      </c>
      <c r="J674" s="533">
        <v>2.275050589E7</v>
      </c>
      <c r="K674" s="220"/>
      <c r="CE674" s="525"/>
    </row>
    <row r="675">
      <c r="A675" s="509"/>
      <c r="B675" s="886" t="s">
        <v>5</v>
      </c>
      <c r="C675" s="887" t="s">
        <v>289</v>
      </c>
      <c r="D675" s="887" t="s">
        <v>373</v>
      </c>
      <c r="E675" s="888">
        <v>2019.0</v>
      </c>
      <c r="F675" s="887" t="s">
        <v>291</v>
      </c>
      <c r="G675" s="887" t="s">
        <v>89</v>
      </c>
      <c r="H675" s="547">
        <v>6865209.407</v>
      </c>
      <c r="I675" s="547">
        <v>8816612.522</v>
      </c>
      <c r="J675" s="548">
        <v>4835349.947</v>
      </c>
      <c r="K675" s="220"/>
      <c r="CE675" s="525"/>
    </row>
    <row r="676">
      <c r="A676" s="509"/>
      <c r="B676" s="889" t="s">
        <v>5</v>
      </c>
      <c r="C676" s="890" t="s">
        <v>289</v>
      </c>
      <c r="D676" s="890" t="s">
        <v>379</v>
      </c>
      <c r="E676" s="891">
        <v>2019.0</v>
      </c>
      <c r="F676" s="890" t="s">
        <v>291</v>
      </c>
      <c r="G676" s="890" t="s">
        <v>89</v>
      </c>
      <c r="H676" s="532">
        <v>2.405863716E7</v>
      </c>
      <c r="I676" s="532">
        <v>3.089358141E7</v>
      </c>
      <c r="J676" s="533">
        <v>1.694232479E7</v>
      </c>
      <c r="K676" s="220"/>
      <c r="CE676" s="525"/>
    </row>
    <row r="677">
      <c r="A677" s="509"/>
      <c r="B677" s="886" t="s">
        <v>5</v>
      </c>
      <c r="C677" s="887" t="s">
        <v>289</v>
      </c>
      <c r="D677" s="887" t="s">
        <v>382</v>
      </c>
      <c r="E677" s="888">
        <v>2019.0</v>
      </c>
      <c r="F677" s="887" t="s">
        <v>291</v>
      </c>
      <c r="G677" s="887" t="s">
        <v>89</v>
      </c>
      <c r="H677" s="547">
        <v>5761896.889</v>
      </c>
      <c r="I677" s="547">
        <v>7399688.669</v>
      </c>
      <c r="J677" s="548">
        <v>4058257.537</v>
      </c>
      <c r="K677" s="220"/>
      <c r="CE677" s="525"/>
    </row>
    <row r="678">
      <c r="A678" s="509"/>
      <c r="B678" s="889" t="s">
        <v>5</v>
      </c>
      <c r="C678" s="890" t="s">
        <v>289</v>
      </c>
      <c r="D678" s="890" t="s">
        <v>387</v>
      </c>
      <c r="E678" s="891">
        <v>2019.0</v>
      </c>
      <c r="F678" s="890" t="s">
        <v>291</v>
      </c>
      <c r="G678" s="890" t="s">
        <v>89</v>
      </c>
      <c r="H678" s="532">
        <v>4683447.623</v>
      </c>
      <c r="I678" s="532">
        <v>6014695.331</v>
      </c>
      <c r="J678" s="533">
        <v>3298676.978</v>
      </c>
      <c r="K678" s="220"/>
      <c r="CE678" s="525"/>
    </row>
    <row r="679">
      <c r="A679" s="509"/>
      <c r="B679" s="886" t="s">
        <v>5</v>
      </c>
      <c r="C679" s="887" t="s">
        <v>289</v>
      </c>
      <c r="D679" s="887" t="s">
        <v>392</v>
      </c>
      <c r="E679" s="888">
        <v>2019.0</v>
      </c>
      <c r="F679" s="887" t="s">
        <v>291</v>
      </c>
      <c r="G679" s="887" t="s">
        <v>89</v>
      </c>
      <c r="H679" s="547">
        <v>3711517.562</v>
      </c>
      <c r="I679" s="547">
        <v>4766498.773</v>
      </c>
      <c r="J679" s="548">
        <v>2614120.733</v>
      </c>
      <c r="K679" s="220"/>
      <c r="CE679" s="525"/>
    </row>
    <row r="680">
      <c r="A680" s="509"/>
      <c r="B680" s="889" t="s">
        <v>5</v>
      </c>
      <c r="C680" s="890" t="s">
        <v>289</v>
      </c>
      <c r="D680" s="890" t="s">
        <v>398</v>
      </c>
      <c r="E680" s="891">
        <v>2019.0</v>
      </c>
      <c r="F680" s="890" t="s">
        <v>291</v>
      </c>
      <c r="G680" s="890" t="s">
        <v>89</v>
      </c>
      <c r="H680" s="532">
        <v>3032970.626</v>
      </c>
      <c r="I680" s="532">
        <v>3895078.099</v>
      </c>
      <c r="J680" s="533">
        <v>2136202.043</v>
      </c>
      <c r="K680" s="220"/>
      <c r="CE680" s="525"/>
    </row>
    <row r="681">
      <c r="A681" s="509"/>
      <c r="B681" s="886" t="s">
        <v>5</v>
      </c>
      <c r="C681" s="887" t="s">
        <v>289</v>
      </c>
      <c r="D681" s="887" t="s">
        <v>402</v>
      </c>
      <c r="E681" s="888">
        <v>2019.0</v>
      </c>
      <c r="F681" s="887" t="s">
        <v>291</v>
      </c>
      <c r="G681" s="887" t="s">
        <v>89</v>
      </c>
      <c r="H681" s="547">
        <v>3.365664E7</v>
      </c>
      <c r="I681" s="547">
        <v>4.321833115E7</v>
      </c>
      <c r="J681" s="548">
        <v>2.370133114E7</v>
      </c>
      <c r="K681" s="220"/>
      <c r="CE681" s="525"/>
    </row>
    <row r="682">
      <c r="A682" s="509"/>
      <c r="B682" s="889" t="s">
        <v>5</v>
      </c>
      <c r="C682" s="890" t="s">
        <v>289</v>
      </c>
      <c r="D682" s="890" t="s">
        <v>407</v>
      </c>
      <c r="E682" s="891">
        <v>2019.0</v>
      </c>
      <c r="F682" s="890" t="s">
        <v>291</v>
      </c>
      <c r="G682" s="890" t="s">
        <v>89</v>
      </c>
      <c r="H682" s="532">
        <v>1.276383266E7</v>
      </c>
      <c r="I682" s="532">
        <v>1.639189137E7</v>
      </c>
      <c r="J682" s="533">
        <v>8989907.504</v>
      </c>
      <c r="K682" s="220"/>
      <c r="CE682" s="525"/>
    </row>
    <row r="683">
      <c r="A683" s="509"/>
      <c r="B683" s="886" t="s">
        <v>5</v>
      </c>
      <c r="C683" s="887" t="s">
        <v>289</v>
      </c>
      <c r="D683" s="887" t="s">
        <v>414</v>
      </c>
      <c r="E683" s="888">
        <v>2019.0</v>
      </c>
      <c r="F683" s="887" t="s">
        <v>291</v>
      </c>
      <c r="G683" s="887" t="s">
        <v>89</v>
      </c>
      <c r="H683" s="547">
        <v>2492046.475</v>
      </c>
      <c r="I683" s="547">
        <v>3200398.83</v>
      </c>
      <c r="J683" s="548">
        <v>1755214.747</v>
      </c>
      <c r="K683" s="220"/>
      <c r="CE683" s="525"/>
    </row>
    <row r="684">
      <c r="A684" s="509"/>
      <c r="B684" s="889" t="s">
        <v>5</v>
      </c>
      <c r="C684" s="890" t="s">
        <v>289</v>
      </c>
      <c r="D684" s="890" t="s">
        <v>417</v>
      </c>
      <c r="E684" s="891">
        <v>2019.0</v>
      </c>
      <c r="F684" s="890" t="s">
        <v>291</v>
      </c>
      <c r="G684" s="890" t="s">
        <v>89</v>
      </c>
      <c r="H684" s="532">
        <v>6902204.234</v>
      </c>
      <c r="I684" s="532">
        <v>8864122.953</v>
      </c>
      <c r="J684" s="533">
        <v>4861406.39</v>
      </c>
      <c r="K684" s="220"/>
      <c r="CE684" s="525"/>
    </row>
    <row r="685">
      <c r="A685" s="509"/>
      <c r="B685" s="886" t="s">
        <v>5</v>
      </c>
      <c r="C685" s="887" t="s">
        <v>289</v>
      </c>
      <c r="D685" s="887" t="s">
        <v>300</v>
      </c>
      <c r="E685" s="888">
        <v>2019.0</v>
      </c>
      <c r="F685" s="887" t="s">
        <v>291</v>
      </c>
      <c r="G685" s="887" t="s">
        <v>89</v>
      </c>
      <c r="H685" s="547">
        <v>2.406568016E7</v>
      </c>
      <c r="I685" s="547">
        <v>3.090623526E7</v>
      </c>
      <c r="J685" s="548">
        <v>1.69500999E7</v>
      </c>
      <c r="K685" s="220"/>
      <c r="CE685" s="525"/>
    </row>
    <row r="686">
      <c r="A686" s="509"/>
      <c r="B686" s="889" t="s">
        <v>5</v>
      </c>
      <c r="C686" s="890" t="s">
        <v>289</v>
      </c>
      <c r="D686" s="890" t="s">
        <v>429</v>
      </c>
      <c r="E686" s="891">
        <v>2019.0</v>
      </c>
      <c r="F686" s="890" t="s">
        <v>291</v>
      </c>
      <c r="G686" s="890" t="s">
        <v>89</v>
      </c>
      <c r="H686" s="532">
        <v>5754843.413</v>
      </c>
      <c r="I686" s="532">
        <v>7389767.022</v>
      </c>
      <c r="J686" s="533">
        <v>4052616.345</v>
      </c>
      <c r="K686" s="220"/>
      <c r="CE686" s="525"/>
    </row>
    <row r="687">
      <c r="A687" s="509"/>
      <c r="B687" s="886" t="s">
        <v>5</v>
      </c>
      <c r="C687" s="887" t="s">
        <v>289</v>
      </c>
      <c r="D687" s="887" t="s">
        <v>432</v>
      </c>
      <c r="E687" s="888">
        <v>2019.0</v>
      </c>
      <c r="F687" s="887" t="s">
        <v>291</v>
      </c>
      <c r="G687" s="887" t="s">
        <v>89</v>
      </c>
      <c r="H687" s="547">
        <v>1982314.017</v>
      </c>
      <c r="I687" s="547">
        <v>2545777.346</v>
      </c>
      <c r="J687" s="548">
        <v>1396196.592</v>
      </c>
      <c r="K687" s="220"/>
      <c r="CE687" s="525"/>
    </row>
    <row r="688">
      <c r="A688" s="509"/>
      <c r="B688" s="889" t="s">
        <v>5</v>
      </c>
      <c r="C688" s="890" t="s">
        <v>289</v>
      </c>
      <c r="D688" s="890" t="s">
        <v>435</v>
      </c>
      <c r="E688" s="891">
        <v>2019.0</v>
      </c>
      <c r="F688" s="890" t="s">
        <v>291</v>
      </c>
      <c r="G688" s="890" t="s">
        <v>89</v>
      </c>
      <c r="H688" s="532">
        <v>1451638.466</v>
      </c>
      <c r="I688" s="532">
        <v>1864259.794</v>
      </c>
      <c r="J688" s="533">
        <v>1022427.659</v>
      </c>
      <c r="K688" s="220"/>
      <c r="CE688" s="525"/>
    </row>
    <row r="689">
      <c r="A689" s="509"/>
      <c r="B689" s="886" t="s">
        <v>5</v>
      </c>
      <c r="C689" s="887" t="s">
        <v>289</v>
      </c>
      <c r="D689" s="887" t="s">
        <v>442</v>
      </c>
      <c r="E689" s="888">
        <v>2019.0</v>
      </c>
      <c r="F689" s="887" t="s">
        <v>291</v>
      </c>
      <c r="G689" s="887" t="s">
        <v>89</v>
      </c>
      <c r="H689" s="547">
        <v>976205.2764</v>
      </c>
      <c r="I689" s="547">
        <v>1253686.982</v>
      </c>
      <c r="J689" s="548">
        <v>687567.3926</v>
      </c>
      <c r="K689" s="220"/>
      <c r="CE689" s="525"/>
    </row>
    <row r="690">
      <c r="A690" s="509"/>
      <c r="B690" s="889" t="s">
        <v>5</v>
      </c>
      <c r="C690" s="890" t="s">
        <v>289</v>
      </c>
      <c r="D690" s="890" t="s">
        <v>445</v>
      </c>
      <c r="E690" s="891">
        <v>2019.0</v>
      </c>
      <c r="F690" s="890" t="s">
        <v>291</v>
      </c>
      <c r="G690" s="890" t="s">
        <v>89</v>
      </c>
      <c r="H690" s="532">
        <v>1595344.144</v>
      </c>
      <c r="I690" s="532">
        <v>2048573.819</v>
      </c>
      <c r="J690" s="533">
        <v>1123456.764</v>
      </c>
      <c r="K690" s="220"/>
      <c r="CE690" s="525"/>
    </row>
    <row r="691">
      <c r="A691" s="509"/>
      <c r="B691" s="886" t="s">
        <v>5</v>
      </c>
      <c r="C691" s="887" t="s">
        <v>289</v>
      </c>
      <c r="D691" s="887" t="s">
        <v>450</v>
      </c>
      <c r="E691" s="888">
        <v>2019.0</v>
      </c>
      <c r="F691" s="887" t="s">
        <v>291</v>
      </c>
      <c r="G691" s="887" t="s">
        <v>89</v>
      </c>
      <c r="H691" s="547">
        <v>618900.4778</v>
      </c>
      <c r="I691" s="547">
        <v>794819.9944</v>
      </c>
      <c r="J691" s="548">
        <v>435908.1006</v>
      </c>
      <c r="K691" s="220"/>
      <c r="CE691" s="525"/>
    </row>
    <row r="692">
      <c r="A692" s="509"/>
      <c r="B692" s="889" t="s">
        <v>5</v>
      </c>
      <c r="C692" s="890" t="s">
        <v>289</v>
      </c>
      <c r="D692" s="890" t="s">
        <v>457</v>
      </c>
      <c r="E692" s="891">
        <v>2019.0</v>
      </c>
      <c r="F692" s="890" t="s">
        <v>291</v>
      </c>
      <c r="G692" s="890" t="s">
        <v>89</v>
      </c>
      <c r="H692" s="532">
        <v>1343825.715</v>
      </c>
      <c r="I692" s="532">
        <v>1725801.782</v>
      </c>
      <c r="J692" s="533">
        <v>946492.2648</v>
      </c>
      <c r="K692" s="220"/>
      <c r="CE692" s="525"/>
    </row>
    <row r="693">
      <c r="A693" s="509"/>
      <c r="B693" s="886" t="s">
        <v>5</v>
      </c>
      <c r="C693" s="887" t="s">
        <v>289</v>
      </c>
      <c r="D693" s="887" t="s">
        <v>463</v>
      </c>
      <c r="E693" s="888">
        <v>2019.0</v>
      </c>
      <c r="F693" s="887" t="s">
        <v>291</v>
      </c>
      <c r="G693" s="887" t="s">
        <v>89</v>
      </c>
      <c r="H693" s="547">
        <v>725033.5779</v>
      </c>
      <c r="I693" s="547">
        <v>931012.1649</v>
      </c>
      <c r="J693" s="548">
        <v>510575.6522</v>
      </c>
      <c r="K693" s="220"/>
      <c r="CE693" s="525"/>
    </row>
    <row r="694">
      <c r="A694" s="509"/>
      <c r="B694" s="889" t="s">
        <v>5</v>
      </c>
      <c r="C694" s="890" t="s">
        <v>289</v>
      </c>
      <c r="D694" s="890" t="s">
        <v>467</v>
      </c>
      <c r="E694" s="891">
        <v>2019.0</v>
      </c>
      <c r="F694" s="890" t="s">
        <v>291</v>
      </c>
      <c r="G694" s="890" t="s">
        <v>89</v>
      </c>
      <c r="H694" s="532">
        <v>381469.6281</v>
      </c>
      <c r="I694" s="532">
        <v>489900.5552</v>
      </c>
      <c r="J694" s="533">
        <v>268679.2255</v>
      </c>
      <c r="K694" s="220"/>
      <c r="CE694" s="525"/>
    </row>
    <row r="695">
      <c r="A695" s="509"/>
      <c r="B695" s="886" t="s">
        <v>5</v>
      </c>
      <c r="C695" s="887" t="s">
        <v>289</v>
      </c>
      <c r="D695" s="887" t="s">
        <v>473</v>
      </c>
      <c r="E695" s="888">
        <v>2019.0</v>
      </c>
      <c r="F695" s="887" t="s">
        <v>291</v>
      </c>
      <c r="G695" s="887" t="s">
        <v>89</v>
      </c>
      <c r="H695" s="547">
        <v>597021.0001</v>
      </c>
      <c r="I695" s="547">
        <v>766631.8233</v>
      </c>
      <c r="J695" s="548">
        <v>420427.9578</v>
      </c>
      <c r="K695" s="220"/>
      <c r="CE695" s="525"/>
    </row>
    <row r="696">
      <c r="A696" s="509"/>
      <c r="B696" s="889" t="s">
        <v>5</v>
      </c>
      <c r="C696" s="890" t="s">
        <v>289</v>
      </c>
      <c r="D696" s="890" t="s">
        <v>477</v>
      </c>
      <c r="E696" s="891">
        <v>2019.0</v>
      </c>
      <c r="F696" s="890" t="s">
        <v>291</v>
      </c>
      <c r="G696" s="890" t="s">
        <v>89</v>
      </c>
      <c r="H696" s="532">
        <v>343455.609</v>
      </c>
      <c r="I696" s="532">
        <v>441081.232</v>
      </c>
      <c r="J696" s="533">
        <v>241904.9387</v>
      </c>
      <c r="K696" s="220"/>
      <c r="CE696" s="525"/>
    </row>
    <row r="697">
      <c r="A697" s="509"/>
      <c r="B697" s="886" t="s">
        <v>5</v>
      </c>
      <c r="C697" s="887" t="s">
        <v>289</v>
      </c>
      <c r="D697" s="887" t="s">
        <v>483</v>
      </c>
      <c r="E697" s="888">
        <v>2019.0</v>
      </c>
      <c r="F697" s="887" t="s">
        <v>291</v>
      </c>
      <c r="G697" s="887" t="s">
        <v>89</v>
      </c>
      <c r="H697" s="547">
        <v>215462.16</v>
      </c>
      <c r="I697" s="547">
        <v>276706.2539</v>
      </c>
      <c r="J697" s="548">
        <v>151755.7415</v>
      </c>
      <c r="K697" s="220"/>
      <c r="CE697" s="525"/>
    </row>
    <row r="698">
      <c r="A698" s="509"/>
      <c r="B698" s="889" t="s">
        <v>5</v>
      </c>
      <c r="C698" s="890" t="s">
        <v>289</v>
      </c>
      <c r="D698" s="890" t="s">
        <v>489</v>
      </c>
      <c r="E698" s="891">
        <v>2019.0</v>
      </c>
      <c r="F698" s="890" t="s">
        <v>291</v>
      </c>
      <c r="G698" s="890" t="s">
        <v>89</v>
      </c>
      <c r="H698" s="532">
        <v>128012.5778</v>
      </c>
      <c r="I698" s="532">
        <v>164380.3416</v>
      </c>
      <c r="J698" s="533">
        <v>90147.69441</v>
      </c>
      <c r="K698" s="220"/>
      <c r="CE698" s="525"/>
    </row>
    <row r="699">
      <c r="A699" s="509"/>
      <c r="B699" s="886" t="s">
        <v>5</v>
      </c>
      <c r="C699" s="887" t="s">
        <v>289</v>
      </c>
      <c r="D699" s="887" t="s">
        <v>493</v>
      </c>
      <c r="E699" s="888">
        <v>2019.0</v>
      </c>
      <c r="F699" s="887" t="s">
        <v>291</v>
      </c>
      <c r="G699" s="887" t="s">
        <v>89</v>
      </c>
      <c r="H699" s="547">
        <v>93644.82263</v>
      </c>
      <c r="I699" s="547">
        <v>120262.918</v>
      </c>
      <c r="J699" s="548">
        <v>65956.54427</v>
      </c>
      <c r="K699" s="220"/>
      <c r="CE699" s="525"/>
    </row>
    <row r="700">
      <c r="A700" s="509"/>
      <c r="B700" s="889" t="s">
        <v>5</v>
      </c>
      <c r="C700" s="890" t="s">
        <v>289</v>
      </c>
      <c r="D700" s="890" t="s">
        <v>496</v>
      </c>
      <c r="E700" s="891">
        <v>2019.0</v>
      </c>
      <c r="F700" s="890" t="s">
        <v>291</v>
      </c>
      <c r="G700" s="890" t="s">
        <v>89</v>
      </c>
      <c r="H700" s="532">
        <v>28237.9192</v>
      </c>
      <c r="I700" s="532">
        <v>36264.4134</v>
      </c>
      <c r="J700" s="533">
        <v>19888.71905</v>
      </c>
      <c r="K700" s="220"/>
      <c r="CE700" s="525"/>
    </row>
    <row r="701">
      <c r="A701" s="509"/>
      <c r="B701" s="886" t="s">
        <v>5</v>
      </c>
      <c r="C701" s="887" t="s">
        <v>289</v>
      </c>
      <c r="D701" s="887" t="s">
        <v>502</v>
      </c>
      <c r="E701" s="888">
        <v>2019.0</v>
      </c>
      <c r="F701" s="887" t="s">
        <v>291</v>
      </c>
      <c r="G701" s="887" t="s">
        <v>89</v>
      </c>
      <c r="H701" s="547">
        <v>6110.707248</v>
      </c>
      <c r="I701" s="547">
        <v>7847.646714</v>
      </c>
      <c r="J701" s="548">
        <v>4303.933969</v>
      </c>
      <c r="K701" s="220"/>
      <c r="CE701" s="525"/>
    </row>
    <row r="702">
      <c r="A702" s="509"/>
      <c r="B702" s="889" t="s">
        <v>5</v>
      </c>
      <c r="C702" s="890" t="s">
        <v>289</v>
      </c>
      <c r="D702" s="890" t="s">
        <v>332</v>
      </c>
      <c r="E702" s="891">
        <v>2019.0</v>
      </c>
      <c r="F702" s="890" t="s">
        <v>291</v>
      </c>
      <c r="G702" s="890" t="s">
        <v>89</v>
      </c>
      <c r="H702" s="532">
        <v>8.767044378E7</v>
      </c>
      <c r="I702" s="532">
        <v>1.125903504E8</v>
      </c>
      <c r="J702" s="533">
        <v>6.174863002E7</v>
      </c>
      <c r="K702" s="220"/>
      <c r="CE702" s="525"/>
    </row>
    <row r="703">
      <c r="A703" s="509"/>
      <c r="B703" s="886" t="s">
        <v>5</v>
      </c>
      <c r="C703" s="887" t="s">
        <v>289</v>
      </c>
      <c r="D703" s="887" t="s">
        <v>510</v>
      </c>
      <c r="E703" s="888">
        <v>2019.0</v>
      </c>
      <c r="F703" s="887" t="s">
        <v>291</v>
      </c>
      <c r="G703" s="887" t="s">
        <v>89</v>
      </c>
      <c r="H703" s="547">
        <v>2935812.621</v>
      </c>
      <c r="I703" s="547">
        <v>3206061.698</v>
      </c>
      <c r="J703" s="548">
        <v>2666339.294</v>
      </c>
      <c r="K703" s="220"/>
      <c r="CE703" s="525"/>
    </row>
    <row r="704">
      <c r="A704" s="509"/>
      <c r="B704" s="889" t="s">
        <v>5</v>
      </c>
      <c r="C704" s="890" t="s">
        <v>289</v>
      </c>
      <c r="D704" s="890" t="s">
        <v>512</v>
      </c>
      <c r="E704" s="891">
        <v>2019.0</v>
      </c>
      <c r="F704" s="890" t="s">
        <v>291</v>
      </c>
      <c r="G704" s="890" t="s">
        <v>89</v>
      </c>
      <c r="H704" s="532">
        <v>55499.07786</v>
      </c>
      <c r="I704" s="532">
        <v>71274.42673</v>
      </c>
      <c r="J704" s="533">
        <v>39089.47963</v>
      </c>
      <c r="K704" s="220"/>
      <c r="CE704" s="525"/>
    </row>
    <row r="705">
      <c r="A705" s="509"/>
      <c r="B705" s="886" t="s">
        <v>5</v>
      </c>
      <c r="C705" s="887" t="s">
        <v>289</v>
      </c>
      <c r="D705" s="887" t="s">
        <v>515</v>
      </c>
      <c r="E705" s="888">
        <v>2019.0</v>
      </c>
      <c r="F705" s="887" t="s">
        <v>291</v>
      </c>
      <c r="G705" s="887" t="s">
        <v>89</v>
      </c>
      <c r="H705" s="547">
        <v>164541.8459</v>
      </c>
      <c r="I705" s="547">
        <v>211312.0829</v>
      </c>
      <c r="J705" s="548">
        <v>115891.2072</v>
      </c>
      <c r="K705" s="220"/>
      <c r="CE705" s="525"/>
    </row>
    <row r="706">
      <c r="A706" s="509"/>
      <c r="B706" s="889" t="s">
        <v>5</v>
      </c>
      <c r="C706" s="890" t="s">
        <v>289</v>
      </c>
      <c r="D706" s="890" t="s">
        <v>518</v>
      </c>
      <c r="E706" s="891">
        <v>2019.0</v>
      </c>
      <c r="F706" s="890" t="s">
        <v>291</v>
      </c>
      <c r="G706" s="890" t="s">
        <v>89</v>
      </c>
      <c r="H706" s="532">
        <v>220040.9238</v>
      </c>
      <c r="I706" s="532">
        <v>282586.5096</v>
      </c>
      <c r="J706" s="533">
        <v>154980.6868</v>
      </c>
      <c r="K706" s="220"/>
      <c r="CE706" s="525"/>
    </row>
    <row r="707">
      <c r="A707" s="509"/>
      <c r="B707" s="886" t="s">
        <v>5</v>
      </c>
      <c r="C707" s="887" t="s">
        <v>289</v>
      </c>
      <c r="D707" s="887" t="s">
        <v>522</v>
      </c>
      <c r="E707" s="888">
        <v>2019.0</v>
      </c>
      <c r="F707" s="887" t="s">
        <v>291</v>
      </c>
      <c r="G707" s="887" t="s">
        <v>89</v>
      </c>
      <c r="H707" s="547">
        <v>2588275.621</v>
      </c>
      <c r="I707" s="547">
        <v>3323980.654</v>
      </c>
      <c r="J707" s="548">
        <v>1822991.499</v>
      </c>
      <c r="K707" s="220"/>
      <c r="CE707" s="525"/>
    </row>
    <row r="708">
      <c r="A708" s="509"/>
      <c r="B708" s="889" t="s">
        <v>5</v>
      </c>
      <c r="C708" s="890" t="s">
        <v>289</v>
      </c>
      <c r="D708" s="890" t="s">
        <v>302</v>
      </c>
      <c r="E708" s="891">
        <v>2019.0</v>
      </c>
      <c r="F708" s="890" t="s">
        <v>291</v>
      </c>
      <c r="G708" s="890" t="s">
        <v>89</v>
      </c>
      <c r="H708" s="532">
        <v>1.362946515E7</v>
      </c>
      <c r="I708" s="532">
        <v>1.750357578E7</v>
      </c>
      <c r="J708" s="533">
        <v>9599595.54</v>
      </c>
      <c r="K708" s="220"/>
      <c r="CE708" s="525"/>
    </row>
    <row r="709">
      <c r="A709" s="509"/>
      <c r="B709" s="886" t="s">
        <v>383</v>
      </c>
      <c r="C709" s="887" t="s">
        <v>289</v>
      </c>
      <c r="D709" s="887" t="s">
        <v>290</v>
      </c>
      <c r="E709" s="888">
        <v>2019.0</v>
      </c>
      <c r="F709" s="887" t="s">
        <v>291</v>
      </c>
      <c r="G709" s="887" t="s">
        <v>89</v>
      </c>
      <c r="H709" s="547">
        <v>33522.71773</v>
      </c>
      <c r="I709" s="547">
        <v>37977.9625</v>
      </c>
      <c r="J709" s="548">
        <v>29277.25833</v>
      </c>
      <c r="K709" s="220"/>
      <c r="CE709" s="525"/>
    </row>
    <row r="710">
      <c r="A710" s="509"/>
      <c r="B710" s="889" t="s">
        <v>383</v>
      </c>
      <c r="C710" s="890" t="s">
        <v>289</v>
      </c>
      <c r="D710" s="890" t="s">
        <v>310</v>
      </c>
      <c r="E710" s="891">
        <v>2019.0</v>
      </c>
      <c r="F710" s="890" t="s">
        <v>291</v>
      </c>
      <c r="G710" s="890" t="s">
        <v>89</v>
      </c>
      <c r="H710" s="532">
        <v>524660.9586</v>
      </c>
      <c r="I710" s="532">
        <v>594389.5829</v>
      </c>
      <c r="J710" s="533">
        <v>458215.6656</v>
      </c>
      <c r="K710" s="220"/>
      <c r="CE710" s="525"/>
    </row>
    <row r="711">
      <c r="A711" s="509"/>
      <c r="B711" s="886" t="s">
        <v>383</v>
      </c>
      <c r="C711" s="887" t="s">
        <v>289</v>
      </c>
      <c r="D711" s="887" t="s">
        <v>318</v>
      </c>
      <c r="E711" s="888">
        <v>2019.0</v>
      </c>
      <c r="F711" s="887" t="s">
        <v>291</v>
      </c>
      <c r="G711" s="887" t="s">
        <v>89</v>
      </c>
      <c r="H711" s="547">
        <v>420592.6512</v>
      </c>
      <c r="I711" s="547">
        <v>476490.3628</v>
      </c>
      <c r="J711" s="548">
        <v>367327.0108</v>
      </c>
      <c r="K711" s="220"/>
      <c r="CE711" s="525"/>
    </row>
    <row r="712">
      <c r="A712" s="509"/>
      <c r="B712" s="889" t="s">
        <v>383</v>
      </c>
      <c r="C712" s="890" t="s">
        <v>289</v>
      </c>
      <c r="D712" s="890" t="s">
        <v>309</v>
      </c>
      <c r="E712" s="891">
        <v>2019.0</v>
      </c>
      <c r="F712" s="890" t="s">
        <v>291</v>
      </c>
      <c r="G712" s="890" t="s">
        <v>89</v>
      </c>
      <c r="H712" s="532">
        <v>125643.6302</v>
      </c>
      <c r="I712" s="532">
        <v>142341.9519</v>
      </c>
      <c r="J712" s="533">
        <v>109731.587</v>
      </c>
      <c r="K712" s="220"/>
      <c r="CE712" s="525"/>
    </row>
    <row r="713">
      <c r="A713" s="509"/>
      <c r="B713" s="886" t="s">
        <v>383</v>
      </c>
      <c r="C713" s="887" t="s">
        <v>289</v>
      </c>
      <c r="D713" s="887" t="s">
        <v>334</v>
      </c>
      <c r="E713" s="888">
        <v>2019.0</v>
      </c>
      <c r="F713" s="887" t="s">
        <v>291</v>
      </c>
      <c r="G713" s="887" t="s">
        <v>89</v>
      </c>
      <c r="H713" s="547">
        <v>122314.0782</v>
      </c>
      <c r="I713" s="547">
        <v>138569.895</v>
      </c>
      <c r="J713" s="548">
        <v>106823.7037</v>
      </c>
      <c r="K713" s="220"/>
      <c r="CE713" s="525"/>
    </row>
    <row r="714">
      <c r="A714" s="509"/>
      <c r="B714" s="889" t="s">
        <v>383</v>
      </c>
      <c r="C714" s="890" t="s">
        <v>289</v>
      </c>
      <c r="D714" s="890" t="s">
        <v>339</v>
      </c>
      <c r="E714" s="891">
        <v>2019.0</v>
      </c>
      <c r="F714" s="890" t="s">
        <v>291</v>
      </c>
      <c r="G714" s="890" t="s">
        <v>89</v>
      </c>
      <c r="H714" s="532">
        <v>226382.3857</v>
      </c>
      <c r="I714" s="532">
        <v>256469.1152</v>
      </c>
      <c r="J714" s="533">
        <v>197712.3585</v>
      </c>
      <c r="K714" s="220"/>
      <c r="CE714" s="525"/>
    </row>
    <row r="715">
      <c r="A715" s="509"/>
      <c r="B715" s="886" t="s">
        <v>383</v>
      </c>
      <c r="C715" s="887" t="s">
        <v>289</v>
      </c>
      <c r="D715" s="887" t="s">
        <v>344</v>
      </c>
      <c r="E715" s="888">
        <v>2019.0</v>
      </c>
      <c r="F715" s="887" t="s">
        <v>291</v>
      </c>
      <c r="G715" s="887" t="s">
        <v>89</v>
      </c>
      <c r="H715" s="547">
        <v>327936.3097</v>
      </c>
      <c r="I715" s="547">
        <v>371519.7846</v>
      </c>
      <c r="J715" s="548">
        <v>286405.062</v>
      </c>
      <c r="K715" s="220"/>
      <c r="CE715" s="525"/>
    </row>
    <row r="716">
      <c r="A716" s="509"/>
      <c r="B716" s="889" t="s">
        <v>383</v>
      </c>
      <c r="C716" s="890" t="s">
        <v>289</v>
      </c>
      <c r="D716" s="890" t="s">
        <v>349</v>
      </c>
      <c r="E716" s="891">
        <v>2019.0</v>
      </c>
      <c r="F716" s="890" t="s">
        <v>291</v>
      </c>
      <c r="G716" s="890" t="s">
        <v>89</v>
      </c>
      <c r="H716" s="532">
        <v>104068.3074</v>
      </c>
      <c r="I716" s="532">
        <v>117899.2201</v>
      </c>
      <c r="J716" s="533">
        <v>90888.6548</v>
      </c>
      <c r="K716" s="220"/>
      <c r="CE716" s="525"/>
    </row>
    <row r="717">
      <c r="A717" s="509"/>
      <c r="B717" s="886" t="s">
        <v>383</v>
      </c>
      <c r="C717" s="887" t="s">
        <v>289</v>
      </c>
      <c r="D717" s="887" t="s">
        <v>355</v>
      </c>
      <c r="E717" s="888">
        <v>2019.0</v>
      </c>
      <c r="F717" s="887" t="s">
        <v>291</v>
      </c>
      <c r="G717" s="887" t="s">
        <v>89</v>
      </c>
      <c r="H717" s="547">
        <v>504763.7581</v>
      </c>
      <c r="I717" s="547">
        <v>571849.5512</v>
      </c>
      <c r="J717" s="548">
        <v>440795.7479</v>
      </c>
      <c r="K717" s="220"/>
      <c r="CE717" s="525"/>
    </row>
    <row r="718">
      <c r="A718" s="509"/>
      <c r="B718" s="889" t="s">
        <v>383</v>
      </c>
      <c r="C718" s="890" t="s">
        <v>289</v>
      </c>
      <c r="D718" s="890" t="s">
        <v>358</v>
      </c>
      <c r="E718" s="891">
        <v>2019.0</v>
      </c>
      <c r="F718" s="890" t="s">
        <v>291</v>
      </c>
      <c r="G718" s="890" t="s">
        <v>89</v>
      </c>
      <c r="H718" s="532">
        <v>642167.3585</v>
      </c>
      <c r="I718" s="532">
        <v>727512.8483</v>
      </c>
      <c r="J718" s="533">
        <v>560840.5557</v>
      </c>
      <c r="K718" s="220"/>
      <c r="CE718" s="525"/>
    </row>
    <row r="719">
      <c r="A719" s="509"/>
      <c r="B719" s="886" t="s">
        <v>383</v>
      </c>
      <c r="C719" s="887" t="s">
        <v>289</v>
      </c>
      <c r="D719" s="887" t="s">
        <v>362</v>
      </c>
      <c r="E719" s="888">
        <v>2019.0</v>
      </c>
      <c r="F719" s="887" t="s">
        <v>291</v>
      </c>
      <c r="G719" s="887" t="s">
        <v>89</v>
      </c>
      <c r="H719" s="547">
        <v>678146.0718</v>
      </c>
      <c r="I719" s="547">
        <v>768275.2982</v>
      </c>
      <c r="J719" s="548">
        <v>592205.5616</v>
      </c>
      <c r="K719" s="220"/>
      <c r="CE719" s="525"/>
    </row>
    <row r="720">
      <c r="A720" s="509"/>
      <c r="B720" s="889" t="s">
        <v>383</v>
      </c>
      <c r="C720" s="890" t="s">
        <v>289</v>
      </c>
      <c r="D720" s="890" t="s">
        <v>366</v>
      </c>
      <c r="E720" s="891">
        <v>2019.0</v>
      </c>
      <c r="F720" s="890" t="s">
        <v>291</v>
      </c>
      <c r="G720" s="890" t="s">
        <v>89</v>
      </c>
      <c r="H720" s="532">
        <v>101553.924</v>
      </c>
      <c r="I720" s="532">
        <v>115050.6695</v>
      </c>
      <c r="J720" s="533">
        <v>88692.70357</v>
      </c>
      <c r="K720" s="220"/>
      <c r="CE720" s="525"/>
    </row>
    <row r="721">
      <c r="A721" s="509"/>
      <c r="B721" s="886" t="s">
        <v>383</v>
      </c>
      <c r="C721" s="887" t="s">
        <v>289</v>
      </c>
      <c r="D721" s="887" t="s">
        <v>368</v>
      </c>
      <c r="E721" s="888">
        <v>2019.0</v>
      </c>
      <c r="F721" s="887" t="s">
        <v>291</v>
      </c>
      <c r="G721" s="887" t="s">
        <v>89</v>
      </c>
      <c r="H721" s="547">
        <v>576581.8498</v>
      </c>
      <c r="I721" s="547">
        <v>653210.8776</v>
      </c>
      <c r="J721" s="548">
        <v>503561.0745</v>
      </c>
      <c r="K721" s="220"/>
      <c r="CE721" s="525"/>
    </row>
    <row r="722">
      <c r="A722" s="509"/>
      <c r="B722" s="889" t="s">
        <v>383</v>
      </c>
      <c r="C722" s="890" t="s">
        <v>289</v>
      </c>
      <c r="D722" s="890" t="s">
        <v>373</v>
      </c>
      <c r="E722" s="891">
        <v>2019.0</v>
      </c>
      <c r="F722" s="890" t="s">
        <v>291</v>
      </c>
      <c r="G722" s="890" t="s">
        <v>89</v>
      </c>
      <c r="H722" s="532">
        <v>101487.2539</v>
      </c>
      <c r="I722" s="532">
        <v>114975.1387</v>
      </c>
      <c r="J722" s="533">
        <v>88634.47683</v>
      </c>
      <c r="K722" s="220"/>
      <c r="CE722" s="525"/>
    </row>
    <row r="723">
      <c r="A723" s="509"/>
      <c r="B723" s="886" t="s">
        <v>383</v>
      </c>
      <c r="C723" s="887" t="s">
        <v>289</v>
      </c>
      <c r="D723" s="887" t="s">
        <v>379</v>
      </c>
      <c r="E723" s="888">
        <v>2019.0</v>
      </c>
      <c r="F723" s="887" t="s">
        <v>291</v>
      </c>
      <c r="G723" s="887" t="s">
        <v>89</v>
      </c>
      <c r="H723" s="547">
        <v>436551.7563</v>
      </c>
      <c r="I723" s="547">
        <v>494571.8109</v>
      </c>
      <c r="J723" s="548">
        <v>381228.1584</v>
      </c>
      <c r="K723" s="220"/>
      <c r="CE723" s="525"/>
    </row>
    <row r="724">
      <c r="A724" s="509"/>
      <c r="B724" s="889" t="s">
        <v>383</v>
      </c>
      <c r="C724" s="890" t="s">
        <v>289</v>
      </c>
      <c r="D724" s="890" t="s">
        <v>382</v>
      </c>
      <c r="E724" s="891">
        <v>2019.0</v>
      </c>
      <c r="F724" s="890" t="s">
        <v>291</v>
      </c>
      <c r="G724" s="890" t="s">
        <v>89</v>
      </c>
      <c r="H724" s="532">
        <v>104321.906</v>
      </c>
      <c r="I724" s="532">
        <v>118186.5226</v>
      </c>
      <c r="J724" s="533">
        <v>91110.1366</v>
      </c>
      <c r="K724" s="220"/>
      <c r="CE724" s="525"/>
    </row>
    <row r="725">
      <c r="A725" s="509"/>
      <c r="B725" s="886" t="s">
        <v>383</v>
      </c>
      <c r="C725" s="887" t="s">
        <v>289</v>
      </c>
      <c r="D725" s="887" t="s">
        <v>387</v>
      </c>
      <c r="E725" s="888">
        <v>2019.0</v>
      </c>
      <c r="F725" s="887" t="s">
        <v>291</v>
      </c>
      <c r="G725" s="887" t="s">
        <v>89</v>
      </c>
      <c r="H725" s="547">
        <v>93324.70169</v>
      </c>
      <c r="I725" s="547">
        <v>105727.765</v>
      </c>
      <c r="J725" s="548">
        <v>81505.66494</v>
      </c>
      <c r="K725" s="220"/>
      <c r="CE725" s="525"/>
    </row>
    <row r="726">
      <c r="A726" s="509"/>
      <c r="B726" s="889" t="s">
        <v>383</v>
      </c>
      <c r="C726" s="890" t="s">
        <v>289</v>
      </c>
      <c r="D726" s="890" t="s">
        <v>392</v>
      </c>
      <c r="E726" s="891">
        <v>2019.0</v>
      </c>
      <c r="F726" s="890" t="s">
        <v>291</v>
      </c>
      <c r="G726" s="890" t="s">
        <v>89</v>
      </c>
      <c r="H726" s="532">
        <v>77340.64973</v>
      </c>
      <c r="I726" s="532">
        <v>87619.39646</v>
      </c>
      <c r="J726" s="533">
        <v>67545.90124</v>
      </c>
      <c r="K726" s="220"/>
      <c r="CE726" s="525"/>
    </row>
    <row r="727">
      <c r="A727" s="509"/>
      <c r="B727" s="886" t="s">
        <v>383</v>
      </c>
      <c r="C727" s="887" t="s">
        <v>289</v>
      </c>
      <c r="D727" s="887" t="s">
        <v>398</v>
      </c>
      <c r="E727" s="888">
        <v>2019.0</v>
      </c>
      <c r="F727" s="887" t="s">
        <v>291</v>
      </c>
      <c r="G727" s="887" t="s">
        <v>89</v>
      </c>
      <c r="H727" s="547">
        <v>60070.61575</v>
      </c>
      <c r="I727" s="547">
        <v>68054.13603</v>
      </c>
      <c r="J727" s="548">
        <v>52463.01774</v>
      </c>
      <c r="K727" s="220"/>
      <c r="CE727" s="525"/>
    </row>
    <row r="728">
      <c r="A728" s="509"/>
      <c r="B728" s="889" t="s">
        <v>383</v>
      </c>
      <c r="C728" s="890" t="s">
        <v>289</v>
      </c>
      <c r="D728" s="890" t="s">
        <v>402</v>
      </c>
      <c r="E728" s="891">
        <v>2019.0</v>
      </c>
      <c r="F728" s="890" t="s">
        <v>291</v>
      </c>
      <c r="G728" s="890" t="s">
        <v>89</v>
      </c>
      <c r="H728" s="532">
        <v>365500.161</v>
      </c>
      <c r="I728" s="532">
        <v>414077.08</v>
      </c>
      <c r="J728" s="533">
        <v>319180.8331</v>
      </c>
      <c r="K728" s="220"/>
      <c r="CE728" s="525"/>
    </row>
    <row r="729">
      <c r="A729" s="509"/>
      <c r="B729" s="886" t="s">
        <v>383</v>
      </c>
      <c r="C729" s="887" t="s">
        <v>289</v>
      </c>
      <c r="D729" s="887" t="s">
        <v>407</v>
      </c>
      <c r="E729" s="888">
        <v>2019.0</v>
      </c>
      <c r="F729" s="887" t="s">
        <v>291</v>
      </c>
      <c r="G729" s="887" t="s">
        <v>89</v>
      </c>
      <c r="H729" s="547">
        <v>139112.225</v>
      </c>
      <c r="I729" s="547">
        <v>157600.5534</v>
      </c>
      <c r="J729" s="548">
        <v>121494.4618</v>
      </c>
      <c r="K729" s="220"/>
      <c r="CE729" s="525"/>
    </row>
    <row r="730">
      <c r="A730" s="509"/>
      <c r="B730" s="889" t="s">
        <v>383</v>
      </c>
      <c r="C730" s="890" t="s">
        <v>289</v>
      </c>
      <c r="D730" s="890" t="s">
        <v>414</v>
      </c>
      <c r="E730" s="891">
        <v>2019.0</v>
      </c>
      <c r="F730" s="890" t="s">
        <v>291</v>
      </c>
      <c r="G730" s="890" t="s">
        <v>89</v>
      </c>
      <c r="H730" s="532">
        <v>45062.92452</v>
      </c>
      <c r="I730" s="532">
        <v>51051.8888</v>
      </c>
      <c r="J730" s="533">
        <v>39355.9643</v>
      </c>
      <c r="K730" s="220"/>
      <c r="CE730" s="525"/>
    </row>
    <row r="731">
      <c r="A731" s="509"/>
      <c r="B731" s="886" t="s">
        <v>383</v>
      </c>
      <c r="C731" s="887" t="s">
        <v>289</v>
      </c>
      <c r="D731" s="887" t="s">
        <v>417</v>
      </c>
      <c r="E731" s="888">
        <v>2019.0</v>
      </c>
      <c r="F731" s="887" t="s">
        <v>291</v>
      </c>
      <c r="G731" s="887" t="s">
        <v>89</v>
      </c>
      <c r="H731" s="547">
        <v>119145.2256</v>
      </c>
      <c r="I731" s="547">
        <v>134979.8948</v>
      </c>
      <c r="J731" s="548">
        <v>104056.168</v>
      </c>
      <c r="K731" s="220"/>
      <c r="CE731" s="525"/>
    </row>
    <row r="732">
      <c r="A732" s="509"/>
      <c r="B732" s="889" t="s">
        <v>383</v>
      </c>
      <c r="C732" s="890" t="s">
        <v>289</v>
      </c>
      <c r="D732" s="890" t="s">
        <v>300</v>
      </c>
      <c r="E732" s="891">
        <v>2019.0</v>
      </c>
      <c r="F732" s="890" t="s">
        <v>291</v>
      </c>
      <c r="G732" s="890" t="s">
        <v>89</v>
      </c>
      <c r="H732" s="532">
        <v>261426.3033</v>
      </c>
      <c r="I732" s="532">
        <v>296170.4484</v>
      </c>
      <c r="J732" s="533">
        <v>228318.1655</v>
      </c>
      <c r="K732" s="220"/>
      <c r="CE732" s="525"/>
    </row>
    <row r="733">
      <c r="A733" s="509"/>
      <c r="B733" s="886" t="s">
        <v>383</v>
      </c>
      <c r="C733" s="887" t="s">
        <v>289</v>
      </c>
      <c r="D733" s="887" t="s">
        <v>429</v>
      </c>
      <c r="E733" s="888">
        <v>2019.0</v>
      </c>
      <c r="F733" s="887" t="s">
        <v>291</v>
      </c>
      <c r="G733" s="887" t="s">
        <v>89</v>
      </c>
      <c r="H733" s="547">
        <v>94975.24043</v>
      </c>
      <c r="I733" s="547">
        <v>107597.956</v>
      </c>
      <c r="J733" s="548">
        <v>82939.16007</v>
      </c>
      <c r="K733" s="220"/>
      <c r="CE733" s="525"/>
    </row>
    <row r="734">
      <c r="A734" s="509"/>
      <c r="B734" s="889" t="s">
        <v>383</v>
      </c>
      <c r="C734" s="890" t="s">
        <v>289</v>
      </c>
      <c r="D734" s="890" t="s">
        <v>432</v>
      </c>
      <c r="E734" s="891">
        <v>2019.0</v>
      </c>
      <c r="F734" s="890" t="s">
        <v>291</v>
      </c>
      <c r="G734" s="890" t="s">
        <v>89</v>
      </c>
      <c r="H734" s="532">
        <v>33126.5597</v>
      </c>
      <c r="I734" s="532">
        <v>37529.15418</v>
      </c>
      <c r="J734" s="533">
        <v>28931.27143</v>
      </c>
      <c r="K734" s="220"/>
      <c r="CE734" s="525"/>
    </row>
    <row r="735">
      <c r="A735" s="509"/>
      <c r="B735" s="886" t="s">
        <v>383</v>
      </c>
      <c r="C735" s="887" t="s">
        <v>289</v>
      </c>
      <c r="D735" s="887" t="s">
        <v>435</v>
      </c>
      <c r="E735" s="888">
        <v>2019.0</v>
      </c>
      <c r="F735" s="887" t="s">
        <v>291</v>
      </c>
      <c r="G735" s="887" t="s">
        <v>89</v>
      </c>
      <c r="H735" s="547">
        <v>24279.04228</v>
      </c>
      <c r="I735" s="547">
        <v>27505.78174</v>
      </c>
      <c r="J735" s="548">
        <v>21204.2412</v>
      </c>
      <c r="K735" s="220"/>
      <c r="CE735" s="525"/>
    </row>
    <row r="736">
      <c r="A736" s="509"/>
      <c r="B736" s="889" t="s">
        <v>383</v>
      </c>
      <c r="C736" s="890" t="s">
        <v>289</v>
      </c>
      <c r="D736" s="890" t="s">
        <v>442</v>
      </c>
      <c r="E736" s="891">
        <v>2019.0</v>
      </c>
      <c r="F736" s="890" t="s">
        <v>291</v>
      </c>
      <c r="G736" s="890" t="s">
        <v>89</v>
      </c>
      <c r="H736" s="532">
        <v>16676.69914</v>
      </c>
      <c r="I736" s="532">
        <v>18893.07006</v>
      </c>
      <c r="J736" s="533">
        <v>14564.69111</v>
      </c>
      <c r="K736" s="220"/>
      <c r="CE736" s="525"/>
    </row>
    <row r="737">
      <c r="A737" s="509"/>
      <c r="B737" s="886" t="s">
        <v>383</v>
      </c>
      <c r="C737" s="887" t="s">
        <v>289</v>
      </c>
      <c r="D737" s="887" t="s">
        <v>445</v>
      </c>
      <c r="E737" s="888">
        <v>2019.0</v>
      </c>
      <c r="F737" s="887" t="s">
        <v>291</v>
      </c>
      <c r="G737" s="887" t="s">
        <v>89</v>
      </c>
      <c r="H737" s="547">
        <v>27497.81533</v>
      </c>
      <c r="I737" s="547">
        <v>31152.4215</v>
      </c>
      <c r="J737" s="548">
        <v>24013.05537</v>
      </c>
      <c r="K737" s="220"/>
      <c r="CE737" s="525"/>
    </row>
    <row r="738">
      <c r="A738" s="509"/>
      <c r="B738" s="889" t="s">
        <v>383</v>
      </c>
      <c r="C738" s="890" t="s">
        <v>289</v>
      </c>
      <c r="D738" s="890" t="s">
        <v>450</v>
      </c>
      <c r="E738" s="891">
        <v>2019.0</v>
      </c>
      <c r="F738" s="890" t="s">
        <v>291</v>
      </c>
      <c r="G738" s="890" t="s">
        <v>89</v>
      </c>
      <c r="H738" s="532">
        <v>10820.69861</v>
      </c>
      <c r="I738" s="532">
        <v>12258.79386</v>
      </c>
      <c r="J738" s="533">
        <v>9450.319365</v>
      </c>
      <c r="K738" s="220"/>
      <c r="CE738" s="525"/>
    </row>
    <row r="739">
      <c r="A739" s="509"/>
      <c r="B739" s="886" t="s">
        <v>383</v>
      </c>
      <c r="C739" s="887" t="s">
        <v>289</v>
      </c>
      <c r="D739" s="887" t="s">
        <v>457</v>
      </c>
      <c r="E739" s="888">
        <v>2019.0</v>
      </c>
      <c r="F739" s="887" t="s">
        <v>291</v>
      </c>
      <c r="G739" s="887" t="s">
        <v>89</v>
      </c>
      <c r="H739" s="547">
        <v>20891.49706</v>
      </c>
      <c r="I739" s="547">
        <v>23668.02412</v>
      </c>
      <c r="J739" s="548">
        <v>18245.7091</v>
      </c>
      <c r="K739" s="220"/>
      <c r="CE739" s="525"/>
    </row>
    <row r="740">
      <c r="A740" s="509"/>
      <c r="B740" s="889" t="s">
        <v>383</v>
      </c>
      <c r="C740" s="890" t="s">
        <v>289</v>
      </c>
      <c r="D740" s="890" t="s">
        <v>463</v>
      </c>
      <c r="E740" s="891">
        <v>2019.0</v>
      </c>
      <c r="F740" s="890" t="s">
        <v>291</v>
      </c>
      <c r="G740" s="890" t="s">
        <v>89</v>
      </c>
      <c r="H740" s="532">
        <v>10070.95138</v>
      </c>
      <c r="I740" s="532">
        <v>11409.43448</v>
      </c>
      <c r="J740" s="533">
        <v>8794.673691</v>
      </c>
      <c r="K740" s="220"/>
      <c r="CE740" s="525"/>
    </row>
    <row r="741">
      <c r="A741" s="509"/>
      <c r="B741" s="886" t="s">
        <v>383</v>
      </c>
      <c r="C741" s="887" t="s">
        <v>289</v>
      </c>
      <c r="D741" s="887" t="s">
        <v>467</v>
      </c>
      <c r="E741" s="888">
        <v>2019.0</v>
      </c>
      <c r="F741" s="887" t="s">
        <v>291</v>
      </c>
      <c r="G741" s="887" t="s">
        <v>89</v>
      </c>
      <c r="H741" s="547">
        <v>5863.725984</v>
      </c>
      <c r="I741" s="547">
        <v>6643.028389</v>
      </c>
      <c r="J741" s="548">
        <v>5121.118811</v>
      </c>
      <c r="K741" s="220"/>
      <c r="CE741" s="525"/>
    </row>
    <row r="742">
      <c r="A742" s="509"/>
      <c r="B742" s="889" t="s">
        <v>383</v>
      </c>
      <c r="C742" s="890" t="s">
        <v>289</v>
      </c>
      <c r="D742" s="890" t="s">
        <v>473</v>
      </c>
      <c r="E742" s="891">
        <v>2019.0</v>
      </c>
      <c r="F742" s="890" t="s">
        <v>291</v>
      </c>
      <c r="G742" s="890" t="s">
        <v>89</v>
      </c>
      <c r="H742" s="532">
        <v>8652.500214</v>
      </c>
      <c r="I742" s="532">
        <v>9802.463596</v>
      </c>
      <c r="J742" s="533">
        <v>7555.980874</v>
      </c>
      <c r="K742" s="220"/>
      <c r="CE742" s="525"/>
    </row>
    <row r="743">
      <c r="A743" s="509"/>
      <c r="B743" s="886" t="s">
        <v>383</v>
      </c>
      <c r="C743" s="887" t="s">
        <v>289</v>
      </c>
      <c r="D743" s="887" t="s">
        <v>477</v>
      </c>
      <c r="E743" s="888">
        <v>2019.0</v>
      </c>
      <c r="F743" s="887" t="s">
        <v>291</v>
      </c>
      <c r="G743" s="887" t="s">
        <v>89</v>
      </c>
      <c r="H743" s="547">
        <v>4207.072459</v>
      </c>
      <c r="I743" s="547">
        <v>4766.201875</v>
      </c>
      <c r="J743" s="548">
        <v>3674.270928</v>
      </c>
      <c r="K743" s="220"/>
      <c r="CE743" s="525"/>
    </row>
    <row r="744">
      <c r="A744" s="509"/>
      <c r="B744" s="889" t="s">
        <v>383</v>
      </c>
      <c r="C744" s="890" t="s">
        <v>289</v>
      </c>
      <c r="D744" s="890" t="s">
        <v>483</v>
      </c>
      <c r="E744" s="891">
        <v>2019.0</v>
      </c>
      <c r="F744" s="890" t="s">
        <v>291</v>
      </c>
      <c r="G744" s="890" t="s">
        <v>89</v>
      </c>
      <c r="H744" s="532">
        <v>2788.642836</v>
      </c>
      <c r="I744" s="532">
        <v>3159.259757</v>
      </c>
      <c r="J744" s="533">
        <v>2435.477259</v>
      </c>
      <c r="K744" s="220"/>
      <c r="CE744" s="525"/>
    </row>
    <row r="745">
      <c r="A745" s="509"/>
      <c r="B745" s="886" t="s">
        <v>383</v>
      </c>
      <c r="C745" s="887" t="s">
        <v>289</v>
      </c>
      <c r="D745" s="887" t="s">
        <v>489</v>
      </c>
      <c r="E745" s="888">
        <v>2019.0</v>
      </c>
      <c r="F745" s="887" t="s">
        <v>291</v>
      </c>
      <c r="G745" s="887" t="s">
        <v>89</v>
      </c>
      <c r="H745" s="547">
        <v>1418.451163</v>
      </c>
      <c r="I745" s="547">
        <v>1606.970881</v>
      </c>
      <c r="J745" s="548">
        <v>1238.692817</v>
      </c>
      <c r="K745" s="220"/>
      <c r="CE745" s="525"/>
    </row>
    <row r="746">
      <c r="A746" s="509"/>
      <c r="B746" s="889" t="s">
        <v>383</v>
      </c>
      <c r="C746" s="890" t="s">
        <v>289</v>
      </c>
      <c r="D746" s="890" t="s">
        <v>493</v>
      </c>
      <c r="E746" s="891">
        <v>2019.0</v>
      </c>
      <c r="F746" s="890" t="s">
        <v>291</v>
      </c>
      <c r="G746" s="890" t="s">
        <v>89</v>
      </c>
      <c r="H746" s="532">
        <v>1048.640031</v>
      </c>
      <c r="I746" s="532">
        <v>1188.006656</v>
      </c>
      <c r="J746" s="533">
        <v>915.8358023</v>
      </c>
      <c r="K746" s="220"/>
      <c r="CE746" s="525"/>
    </row>
    <row r="747">
      <c r="A747" s="509"/>
      <c r="B747" s="886" t="s">
        <v>383</v>
      </c>
      <c r="C747" s="887" t="s">
        <v>289</v>
      </c>
      <c r="D747" s="887" t="s">
        <v>496</v>
      </c>
      <c r="E747" s="888">
        <v>2019.0</v>
      </c>
      <c r="F747" s="887" t="s">
        <v>291</v>
      </c>
      <c r="G747" s="887" t="s">
        <v>89</v>
      </c>
      <c r="H747" s="547">
        <v>302.53896</v>
      </c>
      <c r="I747" s="547">
        <v>342.7470699</v>
      </c>
      <c r="J747" s="548">
        <v>264.2241406</v>
      </c>
      <c r="K747" s="220"/>
      <c r="CE747" s="525"/>
    </row>
    <row r="748">
      <c r="A748" s="509"/>
      <c r="B748" s="889" t="s">
        <v>383</v>
      </c>
      <c r="C748" s="890" t="s">
        <v>289</v>
      </c>
      <c r="D748" s="890" t="s">
        <v>502</v>
      </c>
      <c r="E748" s="891">
        <v>2019.0</v>
      </c>
      <c r="F748" s="890" t="s">
        <v>291</v>
      </c>
      <c r="G748" s="890" t="s">
        <v>89</v>
      </c>
      <c r="H748" s="532">
        <v>67.25063184</v>
      </c>
      <c r="I748" s="532">
        <v>76.18839244</v>
      </c>
      <c r="J748" s="533">
        <v>58.73372609</v>
      </c>
      <c r="K748" s="220"/>
      <c r="CE748" s="525"/>
    </row>
    <row r="749">
      <c r="A749" s="509"/>
      <c r="B749" s="886" t="s">
        <v>383</v>
      </c>
      <c r="C749" s="887" t="s">
        <v>289</v>
      </c>
      <c r="D749" s="887" t="s">
        <v>332</v>
      </c>
      <c r="E749" s="888">
        <v>2019.0</v>
      </c>
      <c r="F749" s="887" t="s">
        <v>291</v>
      </c>
      <c r="G749" s="887" t="s">
        <v>89</v>
      </c>
      <c r="H749" s="547">
        <v>1202796.732</v>
      </c>
      <c r="I749" s="547">
        <v>1362651.13</v>
      </c>
      <c r="J749" s="548">
        <v>1050469.444</v>
      </c>
      <c r="K749" s="220"/>
      <c r="CE749" s="525"/>
    </row>
    <row r="750">
      <c r="A750" s="509"/>
      <c r="B750" s="889" t="s">
        <v>383</v>
      </c>
      <c r="C750" s="890" t="s">
        <v>289</v>
      </c>
      <c r="D750" s="890" t="s">
        <v>510</v>
      </c>
      <c r="E750" s="891">
        <v>2019.0</v>
      </c>
      <c r="F750" s="890" t="s">
        <v>291</v>
      </c>
      <c r="G750" s="890" t="s">
        <v>89</v>
      </c>
      <c r="H750" s="532">
        <v>35464.26302</v>
      </c>
      <c r="I750" s="532">
        <v>40572.41803</v>
      </c>
      <c r="J750" s="533">
        <v>30752.69749</v>
      </c>
      <c r="K750" s="220"/>
      <c r="CE750" s="525"/>
    </row>
    <row r="751">
      <c r="A751" s="509"/>
      <c r="B751" s="886" t="s">
        <v>383</v>
      </c>
      <c r="C751" s="887" t="s">
        <v>289</v>
      </c>
      <c r="D751" s="887" t="s">
        <v>512</v>
      </c>
      <c r="E751" s="888">
        <v>2019.0</v>
      </c>
      <c r="F751" s="887" t="s">
        <v>291</v>
      </c>
      <c r="G751" s="887" t="s">
        <v>89</v>
      </c>
      <c r="H751" s="547">
        <v>657.5583823</v>
      </c>
      <c r="I751" s="547">
        <v>744.9493739</v>
      </c>
      <c r="J751" s="548">
        <v>574.2823948</v>
      </c>
      <c r="K751" s="220"/>
      <c r="CE751" s="525"/>
    </row>
    <row r="752">
      <c r="A752" s="509"/>
      <c r="B752" s="889" t="s">
        <v>383</v>
      </c>
      <c r="C752" s="890" t="s">
        <v>289</v>
      </c>
      <c r="D752" s="890" t="s">
        <v>515</v>
      </c>
      <c r="E752" s="891">
        <v>2019.0</v>
      </c>
      <c r="F752" s="890" t="s">
        <v>291</v>
      </c>
      <c r="G752" s="890" t="s">
        <v>89</v>
      </c>
      <c r="H752" s="532">
        <v>1951.06455</v>
      </c>
      <c r="I752" s="532">
        <v>2210.365427</v>
      </c>
      <c r="J752" s="533">
        <v>1703.973445</v>
      </c>
      <c r="K752" s="220"/>
      <c r="CE752" s="525"/>
    </row>
    <row r="753">
      <c r="A753" s="509"/>
      <c r="B753" s="886" t="s">
        <v>383</v>
      </c>
      <c r="C753" s="887" t="s">
        <v>289</v>
      </c>
      <c r="D753" s="887" t="s">
        <v>518</v>
      </c>
      <c r="E753" s="888">
        <v>2019.0</v>
      </c>
      <c r="F753" s="887" t="s">
        <v>291</v>
      </c>
      <c r="G753" s="887" t="s">
        <v>89</v>
      </c>
      <c r="H753" s="547">
        <v>2608.622932</v>
      </c>
      <c r="I753" s="547">
        <v>2955.314801</v>
      </c>
      <c r="J753" s="548">
        <v>2278.25584</v>
      </c>
      <c r="K753" s="220"/>
      <c r="CE753" s="525"/>
    </row>
    <row r="754">
      <c r="A754" s="509"/>
      <c r="B754" s="889" t="s">
        <v>383</v>
      </c>
      <c r="C754" s="890" t="s">
        <v>289</v>
      </c>
      <c r="D754" s="890" t="s">
        <v>522</v>
      </c>
      <c r="E754" s="891">
        <v>2019.0</v>
      </c>
      <c r="F754" s="890" t="s">
        <v>291</v>
      </c>
      <c r="G754" s="890" t="s">
        <v>89</v>
      </c>
      <c r="H754" s="532">
        <v>30914.0948</v>
      </c>
      <c r="I754" s="532">
        <v>35022.6477</v>
      </c>
      <c r="J754" s="533">
        <v>26999.00249</v>
      </c>
      <c r="K754" s="220"/>
      <c r="CE754" s="525"/>
    </row>
    <row r="755">
      <c r="A755" s="509"/>
      <c r="B755" s="886" t="s">
        <v>383</v>
      </c>
      <c r="C755" s="887" t="s">
        <v>289</v>
      </c>
      <c r="D755" s="887" t="s">
        <v>302</v>
      </c>
      <c r="E755" s="888">
        <v>2019.0</v>
      </c>
      <c r="F755" s="887" t="s">
        <v>291</v>
      </c>
      <c r="G755" s="887" t="s">
        <v>89</v>
      </c>
      <c r="H755" s="547">
        <v>159166.3479</v>
      </c>
      <c r="I755" s="547">
        <v>180319.9144</v>
      </c>
      <c r="J755" s="548">
        <v>139008.8453</v>
      </c>
      <c r="K755" s="220"/>
      <c r="CE755" s="525"/>
    </row>
    <row r="756">
      <c r="A756" s="509"/>
      <c r="B756" s="889" t="s">
        <v>388</v>
      </c>
      <c r="C756" s="890" t="s">
        <v>289</v>
      </c>
      <c r="D756" s="890" t="s">
        <v>290</v>
      </c>
      <c r="E756" s="891">
        <v>2019.0</v>
      </c>
      <c r="F756" s="890" t="s">
        <v>291</v>
      </c>
      <c r="G756" s="890" t="s">
        <v>89</v>
      </c>
      <c r="H756" s="532">
        <v>37325.08952</v>
      </c>
      <c r="I756" s="532">
        <v>40822.82429</v>
      </c>
      <c r="J756" s="533">
        <v>33927.56123</v>
      </c>
      <c r="K756" s="220"/>
      <c r="CE756" s="525"/>
    </row>
    <row r="757">
      <c r="A757" s="509"/>
      <c r="B757" s="886" t="s">
        <v>388</v>
      </c>
      <c r="C757" s="887" t="s">
        <v>289</v>
      </c>
      <c r="D757" s="887" t="s">
        <v>310</v>
      </c>
      <c r="E757" s="888">
        <v>2019.0</v>
      </c>
      <c r="F757" s="887" t="s">
        <v>291</v>
      </c>
      <c r="G757" s="887" t="s">
        <v>89</v>
      </c>
      <c r="H757" s="547">
        <v>746650.6032</v>
      </c>
      <c r="I757" s="547">
        <v>816619.2438</v>
      </c>
      <c r="J757" s="548">
        <v>678686.4915</v>
      </c>
      <c r="K757" s="220"/>
      <c r="CE757" s="525"/>
    </row>
    <row r="758">
      <c r="A758" s="509"/>
      <c r="B758" s="889" t="s">
        <v>388</v>
      </c>
      <c r="C758" s="890" t="s">
        <v>289</v>
      </c>
      <c r="D758" s="890" t="s">
        <v>318</v>
      </c>
      <c r="E758" s="891">
        <v>2019.0</v>
      </c>
      <c r="F758" s="890" t="s">
        <v>291</v>
      </c>
      <c r="G758" s="890" t="s">
        <v>89</v>
      </c>
      <c r="H758" s="532">
        <v>564396.2345</v>
      </c>
      <c r="I758" s="532">
        <v>617285.8152</v>
      </c>
      <c r="J758" s="533">
        <v>513021.8855</v>
      </c>
      <c r="K758" s="220"/>
      <c r="CE758" s="525"/>
    </row>
    <row r="759">
      <c r="A759" s="509"/>
      <c r="B759" s="886" t="s">
        <v>388</v>
      </c>
      <c r="C759" s="887" t="s">
        <v>289</v>
      </c>
      <c r="D759" s="887" t="s">
        <v>309</v>
      </c>
      <c r="E759" s="888">
        <v>2019.0</v>
      </c>
      <c r="F759" s="887" t="s">
        <v>291</v>
      </c>
      <c r="G759" s="887" t="s">
        <v>89</v>
      </c>
      <c r="H759" s="547">
        <v>147708.0571</v>
      </c>
      <c r="I759" s="547">
        <v>161549.7816</v>
      </c>
      <c r="J759" s="548">
        <v>134262.8836</v>
      </c>
      <c r="K759" s="220"/>
      <c r="CE759" s="525"/>
    </row>
    <row r="760">
      <c r="A760" s="509"/>
      <c r="B760" s="889" t="s">
        <v>388</v>
      </c>
      <c r="C760" s="890" t="s">
        <v>289</v>
      </c>
      <c r="D760" s="890" t="s">
        <v>334</v>
      </c>
      <c r="E760" s="891">
        <v>2019.0</v>
      </c>
      <c r="F760" s="890" t="s">
        <v>291</v>
      </c>
      <c r="G760" s="890" t="s">
        <v>89</v>
      </c>
      <c r="H760" s="532">
        <v>191108.3003</v>
      </c>
      <c r="I760" s="532">
        <v>209017.0624</v>
      </c>
      <c r="J760" s="533">
        <v>173712.6057</v>
      </c>
      <c r="K760" s="220"/>
      <c r="CE760" s="525"/>
    </row>
    <row r="761">
      <c r="A761" s="509"/>
      <c r="B761" s="886" t="s">
        <v>388</v>
      </c>
      <c r="C761" s="887" t="s">
        <v>289</v>
      </c>
      <c r="D761" s="887" t="s">
        <v>339</v>
      </c>
      <c r="E761" s="888">
        <v>2019.0</v>
      </c>
      <c r="F761" s="887" t="s">
        <v>291</v>
      </c>
      <c r="G761" s="887" t="s">
        <v>89</v>
      </c>
      <c r="H761" s="547">
        <v>373362.669</v>
      </c>
      <c r="I761" s="547">
        <v>408350.491</v>
      </c>
      <c r="J761" s="548">
        <v>339377.2118</v>
      </c>
      <c r="K761" s="220"/>
      <c r="CE761" s="525"/>
    </row>
    <row r="762">
      <c r="A762" s="509"/>
      <c r="B762" s="889" t="s">
        <v>388</v>
      </c>
      <c r="C762" s="890" t="s">
        <v>289</v>
      </c>
      <c r="D762" s="890" t="s">
        <v>344</v>
      </c>
      <c r="E762" s="891">
        <v>2019.0</v>
      </c>
      <c r="F762" s="890" t="s">
        <v>291</v>
      </c>
      <c r="G762" s="890" t="s">
        <v>89</v>
      </c>
      <c r="H762" s="532">
        <v>530522.9518</v>
      </c>
      <c r="I762" s="532">
        <v>580238.2666</v>
      </c>
      <c r="J762" s="533">
        <v>482231.9292</v>
      </c>
      <c r="K762" s="220"/>
      <c r="CE762" s="525"/>
    </row>
    <row r="763">
      <c r="A763" s="509"/>
      <c r="B763" s="886" t="s">
        <v>388</v>
      </c>
      <c r="C763" s="887" t="s">
        <v>289</v>
      </c>
      <c r="D763" s="887" t="s">
        <v>349</v>
      </c>
      <c r="E763" s="888">
        <v>2019.0</v>
      </c>
      <c r="F763" s="887" t="s">
        <v>291</v>
      </c>
      <c r="G763" s="887" t="s">
        <v>89</v>
      </c>
      <c r="H763" s="547">
        <v>182254.3686</v>
      </c>
      <c r="I763" s="547">
        <v>199333.4286</v>
      </c>
      <c r="J763" s="548">
        <v>165664.606</v>
      </c>
      <c r="K763" s="220"/>
      <c r="CE763" s="525"/>
    </row>
    <row r="764">
      <c r="A764" s="509"/>
      <c r="B764" s="889" t="s">
        <v>388</v>
      </c>
      <c r="C764" s="890" t="s">
        <v>289</v>
      </c>
      <c r="D764" s="890" t="s">
        <v>355</v>
      </c>
      <c r="E764" s="891">
        <v>2019.0</v>
      </c>
      <c r="F764" s="890" t="s">
        <v>291</v>
      </c>
      <c r="G764" s="890" t="s">
        <v>89</v>
      </c>
      <c r="H764" s="532">
        <v>650802.8886</v>
      </c>
      <c r="I764" s="532">
        <v>711811.3484</v>
      </c>
      <c r="J764" s="533">
        <v>591557.0363</v>
      </c>
      <c r="K764" s="220"/>
      <c r="CE764" s="525"/>
    </row>
    <row r="765">
      <c r="A765" s="509"/>
      <c r="B765" s="886" t="s">
        <v>388</v>
      </c>
      <c r="C765" s="887" t="s">
        <v>289</v>
      </c>
      <c r="D765" s="887" t="s">
        <v>358</v>
      </c>
      <c r="E765" s="888">
        <v>2019.0</v>
      </c>
      <c r="F765" s="887" t="s">
        <v>291</v>
      </c>
      <c r="G765" s="887" t="s">
        <v>89</v>
      </c>
      <c r="H765" s="547">
        <v>748382.9039</v>
      </c>
      <c r="I765" s="547">
        <v>818513.8785</v>
      </c>
      <c r="J765" s="548">
        <v>680261.109</v>
      </c>
      <c r="K765" s="220"/>
      <c r="CE765" s="525"/>
    </row>
    <row r="766">
      <c r="A766" s="509"/>
      <c r="B766" s="889" t="s">
        <v>388</v>
      </c>
      <c r="C766" s="890" t="s">
        <v>289</v>
      </c>
      <c r="D766" s="890" t="s">
        <v>362</v>
      </c>
      <c r="E766" s="891">
        <v>2019.0</v>
      </c>
      <c r="F766" s="890" t="s">
        <v>291</v>
      </c>
      <c r="G766" s="890" t="s">
        <v>89</v>
      </c>
      <c r="H766" s="532">
        <v>673168.3544</v>
      </c>
      <c r="I766" s="532">
        <v>736273.4285</v>
      </c>
      <c r="J766" s="533">
        <v>611886.4615</v>
      </c>
      <c r="K766" s="220"/>
      <c r="CE766" s="525"/>
    </row>
    <row r="767">
      <c r="A767" s="509"/>
      <c r="B767" s="886" t="s">
        <v>388</v>
      </c>
      <c r="C767" s="887" t="s">
        <v>289</v>
      </c>
      <c r="D767" s="887" t="s">
        <v>366</v>
      </c>
      <c r="E767" s="888">
        <v>2019.0</v>
      </c>
      <c r="F767" s="887" t="s">
        <v>291</v>
      </c>
      <c r="G767" s="887" t="s">
        <v>89</v>
      </c>
      <c r="H767" s="547">
        <v>157160.2828</v>
      </c>
      <c r="I767" s="547">
        <v>171887.7756</v>
      </c>
      <c r="J767" s="548">
        <v>142854.7175</v>
      </c>
      <c r="K767" s="220"/>
      <c r="CE767" s="525"/>
    </row>
    <row r="768">
      <c r="A768" s="509"/>
      <c r="B768" s="889" t="s">
        <v>388</v>
      </c>
      <c r="C768" s="890" t="s">
        <v>289</v>
      </c>
      <c r="D768" s="890" t="s">
        <v>368</v>
      </c>
      <c r="E768" s="891">
        <v>2019.0</v>
      </c>
      <c r="F768" s="890" t="s">
        <v>291</v>
      </c>
      <c r="G768" s="890" t="s">
        <v>89</v>
      </c>
      <c r="H768" s="532">
        <v>516028.2158</v>
      </c>
      <c r="I768" s="532">
        <v>564385.2286</v>
      </c>
      <c r="J768" s="533">
        <v>469056.5812</v>
      </c>
      <c r="K768" s="220"/>
      <c r="CE768" s="525"/>
    </row>
    <row r="769">
      <c r="A769" s="509"/>
      <c r="B769" s="886" t="s">
        <v>388</v>
      </c>
      <c r="C769" s="887" t="s">
        <v>289</v>
      </c>
      <c r="D769" s="887" t="s">
        <v>373</v>
      </c>
      <c r="E769" s="888">
        <v>2019.0</v>
      </c>
      <c r="F769" s="887" t="s">
        <v>291</v>
      </c>
      <c r="G769" s="887" t="s">
        <v>89</v>
      </c>
      <c r="H769" s="547">
        <v>129495.7576</v>
      </c>
      <c r="I769" s="547">
        <v>141630.8072</v>
      </c>
      <c r="J769" s="548">
        <v>117708.3645</v>
      </c>
      <c r="K769" s="220"/>
      <c r="CE769" s="525"/>
    </row>
    <row r="770">
      <c r="A770" s="509"/>
      <c r="B770" s="889" t="s">
        <v>388</v>
      </c>
      <c r="C770" s="890" t="s">
        <v>289</v>
      </c>
      <c r="D770" s="890" t="s">
        <v>379</v>
      </c>
      <c r="E770" s="891">
        <v>2019.0</v>
      </c>
      <c r="F770" s="890" t="s">
        <v>291</v>
      </c>
      <c r="G770" s="890" t="s">
        <v>89</v>
      </c>
      <c r="H770" s="532">
        <v>408956.0147</v>
      </c>
      <c r="I770" s="532">
        <v>447292.9321</v>
      </c>
      <c r="J770" s="533">
        <v>371726.6968</v>
      </c>
      <c r="K770" s="220"/>
      <c r="CE770" s="525"/>
    </row>
    <row r="771">
      <c r="A771" s="509"/>
      <c r="B771" s="886" t="s">
        <v>388</v>
      </c>
      <c r="C771" s="887" t="s">
        <v>289</v>
      </c>
      <c r="D771" s="887" t="s">
        <v>382</v>
      </c>
      <c r="E771" s="888">
        <v>2019.0</v>
      </c>
      <c r="F771" s="887" t="s">
        <v>291</v>
      </c>
      <c r="G771" s="887" t="s">
        <v>89</v>
      </c>
      <c r="H771" s="547">
        <v>103667.899</v>
      </c>
      <c r="I771" s="547">
        <v>113382.6196</v>
      </c>
      <c r="J771" s="548">
        <v>94231.49511</v>
      </c>
      <c r="K771" s="220"/>
      <c r="CE771" s="525"/>
    </row>
    <row r="772">
      <c r="A772" s="509"/>
      <c r="B772" s="889" t="s">
        <v>388</v>
      </c>
      <c r="C772" s="890" t="s">
        <v>289</v>
      </c>
      <c r="D772" s="890" t="s">
        <v>387</v>
      </c>
      <c r="E772" s="891">
        <v>2019.0</v>
      </c>
      <c r="F772" s="890" t="s">
        <v>291</v>
      </c>
      <c r="G772" s="890" t="s">
        <v>89</v>
      </c>
      <c r="H772" s="532">
        <v>78244.05547</v>
      </c>
      <c r="I772" s="532">
        <v>85576.30724</v>
      </c>
      <c r="J772" s="533">
        <v>71121.86512</v>
      </c>
      <c r="K772" s="220"/>
      <c r="CE772" s="525"/>
    </row>
    <row r="773">
      <c r="A773" s="509"/>
      <c r="B773" s="886" t="s">
        <v>388</v>
      </c>
      <c r="C773" s="887" t="s">
        <v>289</v>
      </c>
      <c r="D773" s="887" t="s">
        <v>392</v>
      </c>
      <c r="E773" s="888">
        <v>2019.0</v>
      </c>
      <c r="F773" s="887" t="s">
        <v>291</v>
      </c>
      <c r="G773" s="887" t="s">
        <v>89</v>
      </c>
      <c r="H773" s="547">
        <v>55376.34592</v>
      </c>
      <c r="I773" s="547">
        <v>60565.66423</v>
      </c>
      <c r="J773" s="548">
        <v>50335.69619</v>
      </c>
      <c r="K773" s="220"/>
      <c r="CE773" s="525"/>
    </row>
    <row r="774">
      <c r="A774" s="509"/>
      <c r="B774" s="889" t="s">
        <v>388</v>
      </c>
      <c r="C774" s="890" t="s">
        <v>289</v>
      </c>
      <c r="D774" s="890" t="s">
        <v>398</v>
      </c>
      <c r="E774" s="891">
        <v>2019.0</v>
      </c>
      <c r="F774" s="890" t="s">
        <v>291</v>
      </c>
      <c r="G774" s="890" t="s">
        <v>89</v>
      </c>
      <c r="H774" s="532">
        <v>42184.19448</v>
      </c>
      <c r="I774" s="532">
        <v>46137.27606</v>
      </c>
      <c r="J774" s="533">
        <v>38344.36459</v>
      </c>
      <c r="K774" s="220"/>
      <c r="CE774" s="525"/>
    </row>
    <row r="775">
      <c r="A775" s="509"/>
      <c r="B775" s="886" t="s">
        <v>388</v>
      </c>
      <c r="C775" s="887" t="s">
        <v>289</v>
      </c>
      <c r="D775" s="887" t="s">
        <v>402</v>
      </c>
      <c r="E775" s="888">
        <v>2019.0</v>
      </c>
      <c r="F775" s="887" t="s">
        <v>291</v>
      </c>
      <c r="G775" s="887" t="s">
        <v>89</v>
      </c>
      <c r="H775" s="547">
        <v>561600.651</v>
      </c>
      <c r="I775" s="547">
        <v>614246.9919</v>
      </c>
      <c r="J775" s="548">
        <v>510475.3259</v>
      </c>
      <c r="K775" s="220"/>
      <c r="CE775" s="525"/>
    </row>
    <row r="776">
      <c r="A776" s="509"/>
      <c r="B776" s="889" t="s">
        <v>388</v>
      </c>
      <c r="C776" s="890" t="s">
        <v>289</v>
      </c>
      <c r="D776" s="890" t="s">
        <v>407</v>
      </c>
      <c r="E776" s="891">
        <v>2019.0</v>
      </c>
      <c r="F776" s="890" t="s">
        <v>291</v>
      </c>
      <c r="G776" s="890" t="s">
        <v>89</v>
      </c>
      <c r="H776" s="532">
        <v>188254.7876</v>
      </c>
      <c r="I776" s="532">
        <v>205896.1469</v>
      </c>
      <c r="J776" s="533">
        <v>171118.8349</v>
      </c>
      <c r="K776" s="220"/>
      <c r="CE776" s="525"/>
    </row>
    <row r="777">
      <c r="A777" s="509"/>
      <c r="B777" s="886" t="s">
        <v>388</v>
      </c>
      <c r="C777" s="887" t="s">
        <v>289</v>
      </c>
      <c r="D777" s="887" t="s">
        <v>414</v>
      </c>
      <c r="E777" s="888">
        <v>2019.0</v>
      </c>
      <c r="F777" s="887" t="s">
        <v>291</v>
      </c>
      <c r="G777" s="887" t="s">
        <v>89</v>
      </c>
      <c r="H777" s="547">
        <v>32133.613</v>
      </c>
      <c r="I777" s="547">
        <v>35144.85442</v>
      </c>
      <c r="J777" s="548">
        <v>29208.64053</v>
      </c>
      <c r="K777" s="220"/>
      <c r="CE777" s="525"/>
    </row>
    <row r="778">
      <c r="A778" s="509"/>
      <c r="B778" s="889" t="s">
        <v>388</v>
      </c>
      <c r="C778" s="890" t="s">
        <v>289</v>
      </c>
      <c r="D778" s="890" t="s">
        <v>417</v>
      </c>
      <c r="E778" s="891">
        <v>2019.0</v>
      </c>
      <c r="F778" s="890" t="s">
        <v>291</v>
      </c>
      <c r="G778" s="890" t="s">
        <v>89</v>
      </c>
      <c r="H778" s="532">
        <v>87583.11655</v>
      </c>
      <c r="I778" s="532">
        <v>95790.53189</v>
      </c>
      <c r="J778" s="533">
        <v>79610.83516</v>
      </c>
      <c r="K778" s="220"/>
      <c r="CE778" s="525"/>
    </row>
    <row r="779">
      <c r="A779" s="509"/>
      <c r="B779" s="886" t="s">
        <v>388</v>
      </c>
      <c r="C779" s="887" t="s">
        <v>289</v>
      </c>
      <c r="D779" s="887" t="s">
        <v>300</v>
      </c>
      <c r="E779" s="888">
        <v>2019.0</v>
      </c>
      <c r="F779" s="887" t="s">
        <v>291</v>
      </c>
      <c r="G779" s="887" t="s">
        <v>89</v>
      </c>
      <c r="H779" s="547">
        <v>379363.0879</v>
      </c>
      <c r="I779" s="547">
        <v>414913.2093</v>
      </c>
      <c r="J779" s="548">
        <v>344831.4407</v>
      </c>
      <c r="K779" s="220"/>
      <c r="CE779" s="525"/>
    </row>
    <row r="780">
      <c r="A780" s="509"/>
      <c r="B780" s="889" t="s">
        <v>388</v>
      </c>
      <c r="C780" s="890" t="s">
        <v>289</v>
      </c>
      <c r="D780" s="890" t="s">
        <v>429</v>
      </c>
      <c r="E780" s="891">
        <v>2019.0</v>
      </c>
      <c r="F780" s="890" t="s">
        <v>291</v>
      </c>
      <c r="G780" s="890" t="s">
        <v>89</v>
      </c>
      <c r="H780" s="532">
        <v>74924.10823</v>
      </c>
      <c r="I780" s="532">
        <v>81947.74707</v>
      </c>
      <c r="J780" s="533">
        <v>68103.39073</v>
      </c>
      <c r="K780" s="220"/>
      <c r="CE780" s="525"/>
    </row>
    <row r="781">
      <c r="A781" s="509"/>
      <c r="B781" s="886" t="s">
        <v>388</v>
      </c>
      <c r="C781" s="887" t="s">
        <v>289</v>
      </c>
      <c r="D781" s="887" t="s">
        <v>432</v>
      </c>
      <c r="E781" s="888">
        <v>2019.0</v>
      </c>
      <c r="F781" s="887" t="s">
        <v>291</v>
      </c>
      <c r="G781" s="887" t="s">
        <v>89</v>
      </c>
      <c r="H781" s="547">
        <v>23793.09991</v>
      </c>
      <c r="I781" s="547">
        <v>26022.75171</v>
      </c>
      <c r="J781" s="548">
        <v>21627.32533</v>
      </c>
      <c r="K781" s="220"/>
      <c r="CE781" s="525"/>
    </row>
    <row r="782">
      <c r="A782" s="509"/>
      <c r="B782" s="889" t="s">
        <v>388</v>
      </c>
      <c r="C782" s="890" t="s">
        <v>289</v>
      </c>
      <c r="D782" s="890" t="s">
        <v>435</v>
      </c>
      <c r="E782" s="891">
        <v>2019.0</v>
      </c>
      <c r="F782" s="890" t="s">
        <v>291</v>
      </c>
      <c r="G782" s="890" t="s">
        <v>89</v>
      </c>
      <c r="H782" s="532">
        <v>17796.24387</v>
      </c>
      <c r="I782" s="532">
        <v>19463.93019</v>
      </c>
      <c r="J782" s="533">
        <v>16176.33504</v>
      </c>
      <c r="K782" s="220"/>
      <c r="CE782" s="525"/>
    </row>
    <row r="783">
      <c r="A783" s="509"/>
      <c r="B783" s="886" t="s">
        <v>388</v>
      </c>
      <c r="C783" s="887" t="s">
        <v>289</v>
      </c>
      <c r="D783" s="887" t="s">
        <v>442</v>
      </c>
      <c r="E783" s="888">
        <v>2019.0</v>
      </c>
      <c r="F783" s="887" t="s">
        <v>291</v>
      </c>
      <c r="G783" s="887" t="s">
        <v>89</v>
      </c>
      <c r="H783" s="547">
        <v>13860.15976</v>
      </c>
      <c r="I783" s="547">
        <v>15158.99557</v>
      </c>
      <c r="J783" s="548">
        <v>12598.53425</v>
      </c>
      <c r="K783" s="220"/>
      <c r="CE783" s="525"/>
    </row>
    <row r="784">
      <c r="A784" s="509"/>
      <c r="B784" s="889" t="s">
        <v>388</v>
      </c>
      <c r="C784" s="890" t="s">
        <v>289</v>
      </c>
      <c r="D784" s="890" t="s">
        <v>445</v>
      </c>
      <c r="E784" s="891">
        <v>2019.0</v>
      </c>
      <c r="F784" s="890" t="s">
        <v>291</v>
      </c>
      <c r="G784" s="890" t="s">
        <v>89</v>
      </c>
      <c r="H784" s="532">
        <v>22144.41043</v>
      </c>
      <c r="I784" s="532">
        <v>24220.30222</v>
      </c>
      <c r="J784" s="533">
        <v>20128.49364</v>
      </c>
      <c r="K784" s="220"/>
      <c r="CE784" s="525"/>
    </row>
    <row r="785">
      <c r="A785" s="509"/>
      <c r="B785" s="886" t="s">
        <v>388</v>
      </c>
      <c r="C785" s="887" t="s">
        <v>289</v>
      </c>
      <c r="D785" s="887" t="s">
        <v>450</v>
      </c>
      <c r="E785" s="888">
        <v>2019.0</v>
      </c>
      <c r="F785" s="887" t="s">
        <v>291</v>
      </c>
      <c r="G785" s="887" t="s">
        <v>89</v>
      </c>
      <c r="H785" s="547">
        <v>8284.913329</v>
      </c>
      <c r="I785" s="547">
        <v>9061.292697</v>
      </c>
      <c r="J785" s="548">
        <v>7530.776424</v>
      </c>
      <c r="K785" s="220"/>
      <c r="CE785" s="525"/>
    </row>
    <row r="786">
      <c r="A786" s="509"/>
      <c r="B786" s="889" t="s">
        <v>388</v>
      </c>
      <c r="C786" s="890" t="s">
        <v>289</v>
      </c>
      <c r="D786" s="890" t="s">
        <v>457</v>
      </c>
      <c r="E786" s="891">
        <v>2019.0</v>
      </c>
      <c r="F786" s="890" t="s">
        <v>291</v>
      </c>
      <c r="G786" s="890" t="s">
        <v>89</v>
      </c>
      <c r="H786" s="532">
        <v>19476.84674</v>
      </c>
      <c r="I786" s="532">
        <v>21302.02238</v>
      </c>
      <c r="J786" s="533">
        <v>17703.9605</v>
      </c>
      <c r="K786" s="220"/>
      <c r="CE786" s="525"/>
    </row>
    <row r="787">
      <c r="A787" s="509"/>
      <c r="B787" s="886" t="s">
        <v>388</v>
      </c>
      <c r="C787" s="887" t="s">
        <v>289</v>
      </c>
      <c r="D787" s="887" t="s">
        <v>463</v>
      </c>
      <c r="E787" s="888">
        <v>2019.0</v>
      </c>
      <c r="F787" s="887" t="s">
        <v>291</v>
      </c>
      <c r="G787" s="887" t="s">
        <v>89</v>
      </c>
      <c r="H787" s="547">
        <v>11191.59851</v>
      </c>
      <c r="I787" s="547">
        <v>12240.73674</v>
      </c>
      <c r="J787" s="548">
        <v>10172.77115</v>
      </c>
      <c r="K787" s="220"/>
      <c r="CE787" s="525"/>
    </row>
    <row r="788">
      <c r="A788" s="509"/>
      <c r="B788" s="889" t="s">
        <v>388</v>
      </c>
      <c r="C788" s="890" t="s">
        <v>289</v>
      </c>
      <c r="D788" s="890" t="s">
        <v>467</v>
      </c>
      <c r="E788" s="891">
        <v>2019.0</v>
      </c>
      <c r="F788" s="890" t="s">
        <v>291</v>
      </c>
      <c r="G788" s="890" t="s">
        <v>89</v>
      </c>
      <c r="H788" s="532">
        <v>6105.732823</v>
      </c>
      <c r="I788" s="532">
        <v>6677.90115</v>
      </c>
      <c r="J788" s="533">
        <v>5549.956526</v>
      </c>
      <c r="K788" s="220"/>
      <c r="CE788" s="525"/>
    </row>
    <row r="789">
      <c r="A789" s="509"/>
      <c r="B789" s="886" t="s">
        <v>388</v>
      </c>
      <c r="C789" s="887" t="s">
        <v>289</v>
      </c>
      <c r="D789" s="887" t="s">
        <v>473</v>
      </c>
      <c r="E789" s="888">
        <v>2019.0</v>
      </c>
      <c r="F789" s="887" t="s">
        <v>291</v>
      </c>
      <c r="G789" s="887" t="s">
        <v>89</v>
      </c>
      <c r="H789" s="547">
        <v>9377.026303</v>
      </c>
      <c r="I789" s="547">
        <v>10256.06041</v>
      </c>
      <c r="J789" s="548">
        <v>8523.388551</v>
      </c>
      <c r="K789" s="220"/>
      <c r="CE789" s="525"/>
    </row>
    <row r="790">
      <c r="A790" s="509"/>
      <c r="B790" s="889" t="s">
        <v>388</v>
      </c>
      <c r="C790" s="890" t="s">
        <v>289</v>
      </c>
      <c r="D790" s="890" t="s">
        <v>477</v>
      </c>
      <c r="E790" s="891">
        <v>2019.0</v>
      </c>
      <c r="F790" s="890" t="s">
        <v>291</v>
      </c>
      <c r="G790" s="890" t="s">
        <v>89</v>
      </c>
      <c r="H790" s="532">
        <v>5086.200593</v>
      </c>
      <c r="I790" s="532">
        <v>5562.828537</v>
      </c>
      <c r="J790" s="533">
        <v>4623.227546</v>
      </c>
      <c r="K790" s="220"/>
      <c r="CE790" s="525"/>
    </row>
    <row r="791">
      <c r="A791" s="509"/>
      <c r="B791" s="886" t="s">
        <v>388</v>
      </c>
      <c r="C791" s="887" t="s">
        <v>289</v>
      </c>
      <c r="D791" s="887" t="s">
        <v>483</v>
      </c>
      <c r="E791" s="888">
        <v>2019.0</v>
      </c>
      <c r="F791" s="887" t="s">
        <v>291</v>
      </c>
      <c r="G791" s="887" t="s">
        <v>89</v>
      </c>
      <c r="H791" s="547">
        <v>3271.574083</v>
      </c>
      <c r="I791" s="547">
        <v>3578.153345</v>
      </c>
      <c r="J791" s="548">
        <v>2973.777998</v>
      </c>
      <c r="K791" s="220"/>
      <c r="CE791" s="525"/>
    </row>
    <row r="792">
      <c r="A792" s="509"/>
      <c r="B792" s="889" t="s">
        <v>388</v>
      </c>
      <c r="C792" s="890" t="s">
        <v>289</v>
      </c>
      <c r="D792" s="890" t="s">
        <v>489</v>
      </c>
      <c r="E792" s="891">
        <v>2019.0</v>
      </c>
      <c r="F792" s="890" t="s">
        <v>291</v>
      </c>
      <c r="G792" s="890" t="s">
        <v>89</v>
      </c>
      <c r="H792" s="532">
        <v>1814.57221</v>
      </c>
      <c r="I792" s="532">
        <v>1984.676335</v>
      </c>
      <c r="J792" s="533">
        <v>1649.382598</v>
      </c>
      <c r="K792" s="220"/>
      <c r="CE792" s="525"/>
    </row>
    <row r="793">
      <c r="A793" s="509"/>
      <c r="B793" s="886" t="s">
        <v>388</v>
      </c>
      <c r="C793" s="887" t="s">
        <v>289</v>
      </c>
      <c r="D793" s="887" t="s">
        <v>493</v>
      </c>
      <c r="E793" s="888">
        <v>2019.0</v>
      </c>
      <c r="F793" s="887" t="s">
        <v>291</v>
      </c>
      <c r="G793" s="887" t="s">
        <v>89</v>
      </c>
      <c r="H793" s="547">
        <v>1312.601875</v>
      </c>
      <c r="I793" s="547">
        <v>1435.605819</v>
      </c>
      <c r="J793" s="548">
        <v>1193.121867</v>
      </c>
      <c r="K793" s="220"/>
      <c r="CE793" s="525"/>
    </row>
    <row r="794">
      <c r="A794" s="509"/>
      <c r="B794" s="889" t="s">
        <v>388</v>
      </c>
      <c r="C794" s="890" t="s">
        <v>289</v>
      </c>
      <c r="D794" s="890" t="s">
        <v>496</v>
      </c>
      <c r="E794" s="891">
        <v>2019.0</v>
      </c>
      <c r="F794" s="890" t="s">
        <v>291</v>
      </c>
      <c r="G794" s="890" t="s">
        <v>89</v>
      </c>
      <c r="H794" s="532">
        <v>400.5675076</v>
      </c>
      <c r="I794" s="532">
        <v>438.1046956</v>
      </c>
      <c r="J794" s="533">
        <v>364.1057212</v>
      </c>
      <c r="K794" s="220"/>
      <c r="CE794" s="525"/>
    </row>
    <row r="795">
      <c r="A795" s="509"/>
      <c r="B795" s="886" t="s">
        <v>388</v>
      </c>
      <c r="C795" s="887" t="s">
        <v>289</v>
      </c>
      <c r="D795" s="887" t="s">
        <v>502</v>
      </c>
      <c r="E795" s="888">
        <v>2019.0</v>
      </c>
      <c r="F795" s="887" t="s">
        <v>291</v>
      </c>
      <c r="G795" s="887" t="s">
        <v>89</v>
      </c>
      <c r="H795" s="547">
        <v>101.4571278</v>
      </c>
      <c r="I795" s="547">
        <v>110.964677</v>
      </c>
      <c r="J795" s="548">
        <v>92.22196008</v>
      </c>
      <c r="K795" s="220"/>
      <c r="CE795" s="525"/>
    </row>
    <row r="796">
      <c r="A796" s="509"/>
      <c r="B796" s="889" t="s">
        <v>388</v>
      </c>
      <c r="C796" s="890" t="s">
        <v>289</v>
      </c>
      <c r="D796" s="890" t="s">
        <v>332</v>
      </c>
      <c r="E796" s="891">
        <v>2019.0</v>
      </c>
      <c r="F796" s="890" t="s">
        <v>291</v>
      </c>
      <c r="G796" s="890" t="s">
        <v>89</v>
      </c>
      <c r="H796" s="532">
        <v>1419839.102</v>
      </c>
      <c r="I796" s="532">
        <v>1552892.248</v>
      </c>
      <c r="J796" s="533">
        <v>1290597.79</v>
      </c>
      <c r="K796" s="220"/>
      <c r="CE796" s="525"/>
    </row>
    <row r="797">
      <c r="A797" s="509"/>
      <c r="B797" s="886" t="s">
        <v>388</v>
      </c>
      <c r="C797" s="887" t="s">
        <v>289</v>
      </c>
      <c r="D797" s="887" t="s">
        <v>510</v>
      </c>
      <c r="E797" s="888">
        <v>2019.0</v>
      </c>
      <c r="F797" s="887" t="s">
        <v>291</v>
      </c>
      <c r="G797" s="887" t="s">
        <v>89</v>
      </c>
      <c r="H797" s="547">
        <v>38469.88062</v>
      </c>
      <c r="I797" s="547">
        <v>44245.55827</v>
      </c>
      <c r="J797" s="548">
        <v>33491.09992</v>
      </c>
      <c r="K797" s="220"/>
      <c r="CE797" s="525"/>
    </row>
    <row r="798">
      <c r="A798" s="509"/>
      <c r="B798" s="889" t="s">
        <v>388</v>
      </c>
      <c r="C798" s="890" t="s">
        <v>289</v>
      </c>
      <c r="D798" s="890" t="s">
        <v>512</v>
      </c>
      <c r="E798" s="891">
        <v>2019.0</v>
      </c>
      <c r="F798" s="890" t="s">
        <v>291</v>
      </c>
      <c r="G798" s="890" t="s">
        <v>89</v>
      </c>
      <c r="H798" s="532">
        <v>735.6401136</v>
      </c>
      <c r="I798" s="532">
        <v>804.5769612</v>
      </c>
      <c r="J798" s="533">
        <v>668.6782353</v>
      </c>
      <c r="K798" s="220"/>
      <c r="CE798" s="525"/>
    </row>
    <row r="799">
      <c r="A799" s="509"/>
      <c r="B799" s="886" t="s">
        <v>388</v>
      </c>
      <c r="C799" s="887" t="s">
        <v>289</v>
      </c>
      <c r="D799" s="887" t="s">
        <v>515</v>
      </c>
      <c r="E799" s="888">
        <v>2019.0</v>
      </c>
      <c r="F799" s="887" t="s">
        <v>291</v>
      </c>
      <c r="G799" s="887" t="s">
        <v>89</v>
      </c>
      <c r="H799" s="547">
        <v>2185.050523</v>
      </c>
      <c r="I799" s="547">
        <v>2389.811644</v>
      </c>
      <c r="J799" s="548">
        <v>1986.155595</v>
      </c>
      <c r="K799" s="220"/>
      <c r="CE799" s="525"/>
    </row>
    <row r="800">
      <c r="A800" s="509"/>
      <c r="B800" s="889" t="s">
        <v>388</v>
      </c>
      <c r="C800" s="890" t="s">
        <v>289</v>
      </c>
      <c r="D800" s="890" t="s">
        <v>518</v>
      </c>
      <c r="E800" s="891">
        <v>2019.0</v>
      </c>
      <c r="F800" s="890" t="s">
        <v>291</v>
      </c>
      <c r="G800" s="890" t="s">
        <v>89</v>
      </c>
      <c r="H800" s="532">
        <v>2920.690636</v>
      </c>
      <c r="I800" s="532">
        <v>3194.388606</v>
      </c>
      <c r="J800" s="533">
        <v>2654.83383</v>
      </c>
      <c r="K800" s="220"/>
      <c r="CE800" s="525"/>
    </row>
    <row r="801">
      <c r="A801" s="509"/>
      <c r="B801" s="886" t="s">
        <v>388</v>
      </c>
      <c r="C801" s="887" t="s">
        <v>289</v>
      </c>
      <c r="D801" s="887" t="s">
        <v>522</v>
      </c>
      <c r="E801" s="888">
        <v>2019.0</v>
      </c>
      <c r="F801" s="887" t="s">
        <v>291</v>
      </c>
      <c r="G801" s="887" t="s">
        <v>89</v>
      </c>
      <c r="H801" s="547">
        <v>34404.39889</v>
      </c>
      <c r="I801" s="547">
        <v>37628.43569</v>
      </c>
      <c r="J801" s="548">
        <v>31272.7274</v>
      </c>
      <c r="K801" s="220"/>
      <c r="CE801" s="525"/>
    </row>
    <row r="802">
      <c r="A802" s="509"/>
      <c r="B802" s="889" t="s">
        <v>388</v>
      </c>
      <c r="C802" s="890" t="s">
        <v>289</v>
      </c>
      <c r="D802" s="890" t="s">
        <v>302</v>
      </c>
      <c r="E802" s="891">
        <v>2019.0</v>
      </c>
      <c r="F802" s="890" t="s">
        <v>291</v>
      </c>
      <c r="G802" s="890" t="s">
        <v>89</v>
      </c>
      <c r="H802" s="532">
        <v>185033.1466</v>
      </c>
      <c r="I802" s="532">
        <v>202372.6059</v>
      </c>
      <c r="J802" s="533">
        <v>168190.4448</v>
      </c>
      <c r="K802" s="220"/>
      <c r="CE802" s="525"/>
    </row>
    <row r="803">
      <c r="A803" s="509"/>
      <c r="B803" s="886" t="s">
        <v>393</v>
      </c>
      <c r="C803" s="887" t="s">
        <v>289</v>
      </c>
      <c r="D803" s="887" t="s">
        <v>290</v>
      </c>
      <c r="E803" s="888">
        <v>2019.0</v>
      </c>
      <c r="F803" s="887" t="s">
        <v>291</v>
      </c>
      <c r="G803" s="887" t="s">
        <v>89</v>
      </c>
      <c r="H803" s="547">
        <v>191813.9411</v>
      </c>
      <c r="I803" s="547">
        <v>245674.4585</v>
      </c>
      <c r="J803" s="548">
        <v>136636.2226</v>
      </c>
      <c r="K803" s="220"/>
      <c r="CE803" s="525"/>
    </row>
    <row r="804">
      <c r="A804" s="509"/>
      <c r="B804" s="889" t="s">
        <v>393</v>
      </c>
      <c r="C804" s="890" t="s">
        <v>289</v>
      </c>
      <c r="D804" s="890" t="s">
        <v>310</v>
      </c>
      <c r="E804" s="891">
        <v>2019.0</v>
      </c>
      <c r="F804" s="890" t="s">
        <v>291</v>
      </c>
      <c r="G804" s="890" t="s">
        <v>89</v>
      </c>
      <c r="H804" s="532">
        <v>3401848.585</v>
      </c>
      <c r="I804" s="532">
        <v>4357072.818</v>
      </c>
      <c r="J804" s="533">
        <v>2423263.595</v>
      </c>
      <c r="K804" s="220"/>
      <c r="CE804" s="525"/>
    </row>
    <row r="805">
      <c r="A805" s="509"/>
      <c r="B805" s="886" t="s">
        <v>393</v>
      </c>
      <c r="C805" s="887" t="s">
        <v>289</v>
      </c>
      <c r="D805" s="887" t="s">
        <v>318</v>
      </c>
      <c r="E805" s="888">
        <v>2019.0</v>
      </c>
      <c r="F805" s="887" t="s">
        <v>291</v>
      </c>
      <c r="G805" s="887" t="s">
        <v>89</v>
      </c>
      <c r="H805" s="547">
        <v>2641002.571</v>
      </c>
      <c r="I805" s="547">
        <v>3382584.565</v>
      </c>
      <c r="J805" s="548">
        <v>1881284.609</v>
      </c>
      <c r="K805" s="220"/>
      <c r="CE805" s="525"/>
    </row>
    <row r="806">
      <c r="A806" s="509"/>
      <c r="B806" s="889" t="s">
        <v>393</v>
      </c>
      <c r="C806" s="890" t="s">
        <v>289</v>
      </c>
      <c r="D806" s="890" t="s">
        <v>309</v>
      </c>
      <c r="E806" s="891">
        <v>2019.0</v>
      </c>
      <c r="F806" s="890" t="s">
        <v>291</v>
      </c>
      <c r="G806" s="890" t="s">
        <v>89</v>
      </c>
      <c r="H806" s="532">
        <v>738016.3703</v>
      </c>
      <c r="I806" s="532">
        <v>945248.1455</v>
      </c>
      <c r="J806" s="533">
        <v>525716.5797</v>
      </c>
      <c r="K806" s="220"/>
      <c r="CE806" s="525"/>
    </row>
    <row r="807">
      <c r="A807" s="509"/>
      <c r="B807" s="886" t="s">
        <v>393</v>
      </c>
      <c r="C807" s="887" t="s">
        <v>289</v>
      </c>
      <c r="D807" s="887" t="s">
        <v>334</v>
      </c>
      <c r="E807" s="888">
        <v>2019.0</v>
      </c>
      <c r="F807" s="887" t="s">
        <v>291</v>
      </c>
      <c r="G807" s="887" t="s">
        <v>89</v>
      </c>
      <c r="H807" s="547">
        <v>827389.0778</v>
      </c>
      <c r="I807" s="547">
        <v>1059716.319</v>
      </c>
      <c r="J807" s="548">
        <v>589380.0918</v>
      </c>
      <c r="K807" s="220"/>
      <c r="CE807" s="525"/>
    </row>
    <row r="808">
      <c r="A808" s="509"/>
      <c r="B808" s="889" t="s">
        <v>393</v>
      </c>
      <c r="C808" s="890" t="s">
        <v>289</v>
      </c>
      <c r="D808" s="890" t="s">
        <v>339</v>
      </c>
      <c r="E808" s="891">
        <v>2019.0</v>
      </c>
      <c r="F808" s="890" t="s">
        <v>291</v>
      </c>
      <c r="G808" s="890" t="s">
        <v>89</v>
      </c>
      <c r="H808" s="532">
        <v>1588235.092</v>
      </c>
      <c r="I808" s="532">
        <v>2034204.572</v>
      </c>
      <c r="J808" s="533">
        <v>1131359.078</v>
      </c>
      <c r="K808" s="220"/>
      <c r="CE808" s="525"/>
    </row>
    <row r="809">
      <c r="A809" s="509"/>
      <c r="B809" s="886" t="s">
        <v>393</v>
      </c>
      <c r="C809" s="887" t="s">
        <v>289</v>
      </c>
      <c r="D809" s="887" t="s">
        <v>344</v>
      </c>
      <c r="E809" s="888">
        <v>2019.0</v>
      </c>
      <c r="F809" s="887" t="s">
        <v>291</v>
      </c>
      <c r="G809" s="887" t="s">
        <v>89</v>
      </c>
      <c r="H809" s="547">
        <v>2256867.817</v>
      </c>
      <c r="I809" s="547">
        <v>2890586.448</v>
      </c>
      <c r="J809" s="548">
        <v>1607651.1</v>
      </c>
      <c r="K809" s="220"/>
      <c r="CE809" s="525"/>
    </row>
    <row r="810">
      <c r="A810" s="509"/>
      <c r="B810" s="889" t="s">
        <v>393</v>
      </c>
      <c r="C810" s="890" t="s">
        <v>289</v>
      </c>
      <c r="D810" s="890" t="s">
        <v>349</v>
      </c>
      <c r="E810" s="891">
        <v>2019.0</v>
      </c>
      <c r="F810" s="890" t="s">
        <v>291</v>
      </c>
      <c r="G810" s="890" t="s">
        <v>89</v>
      </c>
      <c r="H810" s="532">
        <v>760846.0137</v>
      </c>
      <c r="I810" s="532">
        <v>974488.2531</v>
      </c>
      <c r="J810" s="533">
        <v>541978.9859</v>
      </c>
      <c r="K810" s="220"/>
      <c r="CE810" s="525"/>
    </row>
    <row r="811">
      <c r="A811" s="509"/>
      <c r="B811" s="886" t="s">
        <v>393</v>
      </c>
      <c r="C811" s="887" t="s">
        <v>289</v>
      </c>
      <c r="D811" s="887" t="s">
        <v>355</v>
      </c>
      <c r="E811" s="888">
        <v>2019.0</v>
      </c>
      <c r="F811" s="887" t="s">
        <v>291</v>
      </c>
      <c r="G811" s="887" t="s">
        <v>89</v>
      </c>
      <c r="H811" s="547">
        <v>2874160.432</v>
      </c>
      <c r="I811" s="547">
        <v>3682405.185</v>
      </c>
      <c r="J811" s="548">
        <v>2047787.405</v>
      </c>
      <c r="K811" s="220"/>
      <c r="CE811" s="525"/>
    </row>
    <row r="812">
      <c r="A812" s="509"/>
      <c r="B812" s="889" t="s">
        <v>393</v>
      </c>
      <c r="C812" s="890" t="s">
        <v>289</v>
      </c>
      <c r="D812" s="890" t="s">
        <v>358</v>
      </c>
      <c r="E812" s="891">
        <v>2019.0</v>
      </c>
      <c r="F812" s="890" t="s">
        <v>291</v>
      </c>
      <c r="G812" s="890" t="s">
        <v>89</v>
      </c>
      <c r="H812" s="532">
        <v>3454468.876</v>
      </c>
      <c r="I812" s="532">
        <v>4424468.657</v>
      </c>
      <c r="J812" s="533">
        <v>2460746.991</v>
      </c>
      <c r="K812" s="220"/>
      <c r="CE812" s="525"/>
    </row>
    <row r="813">
      <c r="A813" s="509"/>
      <c r="B813" s="886" t="s">
        <v>393</v>
      </c>
      <c r="C813" s="887" t="s">
        <v>289</v>
      </c>
      <c r="D813" s="887" t="s">
        <v>362</v>
      </c>
      <c r="E813" s="888">
        <v>2019.0</v>
      </c>
      <c r="F813" s="887" t="s">
        <v>291</v>
      </c>
      <c r="G813" s="887" t="s">
        <v>89</v>
      </c>
      <c r="H813" s="547">
        <v>3308477.855</v>
      </c>
      <c r="I813" s="547">
        <v>4238857.327</v>
      </c>
      <c r="J813" s="548">
        <v>2357230.725</v>
      </c>
      <c r="K813" s="220"/>
      <c r="CE813" s="525"/>
    </row>
    <row r="814">
      <c r="A814" s="509"/>
      <c r="B814" s="889" t="s">
        <v>393</v>
      </c>
      <c r="C814" s="890" t="s">
        <v>289</v>
      </c>
      <c r="D814" s="890" t="s">
        <v>366</v>
      </c>
      <c r="E814" s="891">
        <v>2019.0</v>
      </c>
      <c r="F814" s="890" t="s">
        <v>291</v>
      </c>
      <c r="G814" s="890" t="s">
        <v>89</v>
      </c>
      <c r="H814" s="532">
        <v>668632.7253</v>
      </c>
      <c r="I814" s="532">
        <v>856381.8759</v>
      </c>
      <c r="J814" s="533">
        <v>476292.0222</v>
      </c>
      <c r="K814" s="220"/>
      <c r="CE814" s="525"/>
    </row>
    <row r="815">
      <c r="A815" s="509"/>
      <c r="B815" s="886" t="s">
        <v>393</v>
      </c>
      <c r="C815" s="887" t="s">
        <v>289</v>
      </c>
      <c r="D815" s="887" t="s">
        <v>368</v>
      </c>
      <c r="E815" s="888">
        <v>2019.0</v>
      </c>
      <c r="F815" s="887" t="s">
        <v>291</v>
      </c>
      <c r="G815" s="887" t="s">
        <v>89</v>
      </c>
      <c r="H815" s="547">
        <v>2640732.022</v>
      </c>
      <c r="I815" s="547">
        <v>3382238.046</v>
      </c>
      <c r="J815" s="548">
        <v>1881091.887</v>
      </c>
      <c r="K815" s="220"/>
      <c r="CE815" s="525"/>
    </row>
    <row r="816">
      <c r="A816" s="509"/>
      <c r="B816" s="889" t="s">
        <v>393</v>
      </c>
      <c r="C816" s="890" t="s">
        <v>289</v>
      </c>
      <c r="D816" s="890" t="s">
        <v>373</v>
      </c>
      <c r="E816" s="891">
        <v>2019.0</v>
      </c>
      <c r="F816" s="890" t="s">
        <v>291</v>
      </c>
      <c r="G816" s="890" t="s">
        <v>89</v>
      </c>
      <c r="H816" s="532">
        <v>568330.6192</v>
      </c>
      <c r="I816" s="532">
        <v>727915.3762</v>
      </c>
      <c r="J816" s="533">
        <v>404843.092</v>
      </c>
      <c r="K816" s="220"/>
      <c r="CE816" s="525"/>
    </row>
    <row r="817">
      <c r="A817" s="509"/>
      <c r="B817" s="886" t="s">
        <v>393</v>
      </c>
      <c r="C817" s="887" t="s">
        <v>289</v>
      </c>
      <c r="D817" s="887" t="s">
        <v>379</v>
      </c>
      <c r="E817" s="888">
        <v>2019.0</v>
      </c>
      <c r="F817" s="887" t="s">
        <v>291</v>
      </c>
      <c r="G817" s="887" t="s">
        <v>89</v>
      </c>
      <c r="H817" s="547">
        <v>2024447.45</v>
      </c>
      <c r="I817" s="547">
        <v>2593743.795</v>
      </c>
      <c r="J817" s="548">
        <v>1442382.25</v>
      </c>
      <c r="K817" s="220"/>
      <c r="CE817" s="525"/>
    </row>
    <row r="818">
      <c r="A818" s="509"/>
      <c r="B818" s="889" t="s">
        <v>393</v>
      </c>
      <c r="C818" s="890" t="s">
        <v>289</v>
      </c>
      <c r="D818" s="890" t="s">
        <v>382</v>
      </c>
      <c r="E818" s="891">
        <v>2019.0</v>
      </c>
      <c r="F818" s="890" t="s">
        <v>291</v>
      </c>
      <c r="G818" s="890" t="s">
        <v>89</v>
      </c>
      <c r="H818" s="532">
        <v>477696.8317</v>
      </c>
      <c r="I818" s="532">
        <v>611832.0168</v>
      </c>
      <c r="J818" s="533">
        <v>340281.2656</v>
      </c>
      <c r="K818" s="220"/>
      <c r="CE818" s="525"/>
    </row>
    <row r="819">
      <c r="A819" s="509"/>
      <c r="B819" s="886" t="s">
        <v>393</v>
      </c>
      <c r="C819" s="887" t="s">
        <v>289</v>
      </c>
      <c r="D819" s="887" t="s">
        <v>387</v>
      </c>
      <c r="E819" s="888">
        <v>2019.0</v>
      </c>
      <c r="F819" s="887" t="s">
        <v>291</v>
      </c>
      <c r="G819" s="887" t="s">
        <v>89</v>
      </c>
      <c r="H819" s="547">
        <v>399424.7087</v>
      </c>
      <c r="I819" s="547">
        <v>511581.4233</v>
      </c>
      <c r="J819" s="548">
        <v>284525.1137</v>
      </c>
      <c r="K819" s="220"/>
      <c r="CE819" s="525"/>
    </row>
    <row r="820">
      <c r="A820" s="509"/>
      <c r="B820" s="889" t="s">
        <v>393</v>
      </c>
      <c r="C820" s="890" t="s">
        <v>289</v>
      </c>
      <c r="D820" s="890" t="s">
        <v>392</v>
      </c>
      <c r="E820" s="891">
        <v>2019.0</v>
      </c>
      <c r="F820" s="890" t="s">
        <v>291</v>
      </c>
      <c r="G820" s="890" t="s">
        <v>89</v>
      </c>
      <c r="H820" s="532">
        <v>323866.185</v>
      </c>
      <c r="I820" s="532">
        <v>414806.396</v>
      </c>
      <c r="J820" s="533">
        <v>230701.9599</v>
      </c>
      <c r="K820" s="220"/>
      <c r="CE820" s="525"/>
    </row>
    <row r="821">
      <c r="A821" s="509"/>
      <c r="B821" s="886" t="s">
        <v>393</v>
      </c>
      <c r="C821" s="887" t="s">
        <v>289</v>
      </c>
      <c r="D821" s="887" t="s">
        <v>398</v>
      </c>
      <c r="E821" s="888">
        <v>2019.0</v>
      </c>
      <c r="F821" s="887" t="s">
        <v>291</v>
      </c>
      <c r="G821" s="887" t="s">
        <v>89</v>
      </c>
      <c r="H821" s="547">
        <v>255671.7925</v>
      </c>
      <c r="I821" s="547">
        <v>327463.3158</v>
      </c>
      <c r="J821" s="548">
        <v>182124.5513</v>
      </c>
      <c r="K821" s="220"/>
      <c r="CE821" s="525"/>
    </row>
    <row r="822">
      <c r="A822" s="509"/>
      <c r="B822" s="889" t="s">
        <v>393</v>
      </c>
      <c r="C822" s="890" t="s">
        <v>289</v>
      </c>
      <c r="D822" s="890" t="s">
        <v>402</v>
      </c>
      <c r="E822" s="891">
        <v>2019.0</v>
      </c>
      <c r="F822" s="890" t="s">
        <v>291</v>
      </c>
      <c r="G822" s="890" t="s">
        <v>89</v>
      </c>
      <c r="H822" s="532">
        <v>2471355.786</v>
      </c>
      <c r="I822" s="532">
        <v>3166327.549</v>
      </c>
      <c r="J822" s="533">
        <v>1760796.368</v>
      </c>
      <c r="K822" s="220"/>
      <c r="CE822" s="525"/>
    </row>
    <row r="823">
      <c r="A823" s="509"/>
      <c r="B823" s="886" t="s">
        <v>393</v>
      </c>
      <c r="C823" s="887" t="s">
        <v>289</v>
      </c>
      <c r="D823" s="887" t="s">
        <v>407</v>
      </c>
      <c r="E823" s="888">
        <v>2019.0</v>
      </c>
      <c r="F823" s="887" t="s">
        <v>291</v>
      </c>
      <c r="G823" s="887" t="s">
        <v>89</v>
      </c>
      <c r="H823" s="547">
        <v>883783.1819</v>
      </c>
      <c r="I823" s="547">
        <v>1131945.641</v>
      </c>
      <c r="J823" s="548">
        <v>629551.7149</v>
      </c>
      <c r="K823" s="220"/>
      <c r="CE823" s="525"/>
    </row>
    <row r="824">
      <c r="A824" s="509"/>
      <c r="B824" s="889" t="s">
        <v>393</v>
      </c>
      <c r="C824" s="890" t="s">
        <v>289</v>
      </c>
      <c r="D824" s="890" t="s">
        <v>414</v>
      </c>
      <c r="E824" s="891">
        <v>2019.0</v>
      </c>
      <c r="F824" s="890" t="s">
        <v>291</v>
      </c>
      <c r="G824" s="890" t="s">
        <v>89</v>
      </c>
      <c r="H824" s="532">
        <v>197006.1445</v>
      </c>
      <c r="I824" s="532">
        <v>252324.61</v>
      </c>
      <c r="J824" s="533">
        <v>140334.8227</v>
      </c>
      <c r="K824" s="220"/>
      <c r="CE824" s="525"/>
    </row>
    <row r="825">
      <c r="A825" s="509"/>
      <c r="B825" s="886" t="s">
        <v>393</v>
      </c>
      <c r="C825" s="887" t="s">
        <v>289</v>
      </c>
      <c r="D825" s="887" t="s">
        <v>417</v>
      </c>
      <c r="E825" s="888">
        <v>2019.0</v>
      </c>
      <c r="F825" s="887" t="s">
        <v>291</v>
      </c>
      <c r="G825" s="887" t="s">
        <v>89</v>
      </c>
      <c r="H825" s="547">
        <v>527868.1371</v>
      </c>
      <c r="I825" s="547">
        <v>676091.2058</v>
      </c>
      <c r="J825" s="548">
        <v>376020.1572</v>
      </c>
      <c r="K825" s="220"/>
      <c r="CE825" s="525"/>
    </row>
    <row r="826">
      <c r="A826" s="509"/>
      <c r="B826" s="889" t="s">
        <v>393</v>
      </c>
      <c r="C826" s="890" t="s">
        <v>289</v>
      </c>
      <c r="D826" s="890" t="s">
        <v>300</v>
      </c>
      <c r="E826" s="891">
        <v>2019.0</v>
      </c>
      <c r="F826" s="890" t="s">
        <v>291</v>
      </c>
      <c r="G826" s="890" t="s">
        <v>89</v>
      </c>
      <c r="H826" s="532">
        <v>1711172.26</v>
      </c>
      <c r="I826" s="532">
        <v>2191661.961</v>
      </c>
      <c r="J826" s="533">
        <v>1218931.807</v>
      </c>
      <c r="K826" s="220"/>
      <c r="CE826" s="525"/>
    </row>
    <row r="827">
      <c r="A827" s="509"/>
      <c r="B827" s="886" t="s">
        <v>393</v>
      </c>
      <c r="C827" s="887" t="s">
        <v>289</v>
      </c>
      <c r="D827" s="887" t="s">
        <v>429</v>
      </c>
      <c r="E827" s="888">
        <v>2019.0</v>
      </c>
      <c r="F827" s="887" t="s">
        <v>291</v>
      </c>
      <c r="G827" s="887" t="s">
        <v>89</v>
      </c>
      <c r="H827" s="547">
        <v>418623.5212</v>
      </c>
      <c r="I827" s="547">
        <v>536344.947</v>
      </c>
      <c r="J827" s="548">
        <v>298261.6991</v>
      </c>
      <c r="K827" s="220"/>
      <c r="CE827" s="525"/>
    </row>
    <row r="828">
      <c r="A828" s="509"/>
      <c r="B828" s="889" t="s">
        <v>393</v>
      </c>
      <c r="C828" s="890" t="s">
        <v>289</v>
      </c>
      <c r="D828" s="890" t="s">
        <v>432</v>
      </c>
      <c r="E828" s="891">
        <v>2019.0</v>
      </c>
      <c r="F828" s="890" t="s">
        <v>291</v>
      </c>
      <c r="G828" s="890" t="s">
        <v>89</v>
      </c>
      <c r="H828" s="532">
        <v>150195.8961</v>
      </c>
      <c r="I828" s="532">
        <v>192370.248</v>
      </c>
      <c r="J828" s="533">
        <v>106990.1373</v>
      </c>
      <c r="K828" s="220"/>
      <c r="CE828" s="525"/>
    </row>
    <row r="829">
      <c r="A829" s="509"/>
      <c r="B829" s="886" t="s">
        <v>393</v>
      </c>
      <c r="C829" s="887" t="s">
        <v>289</v>
      </c>
      <c r="D829" s="887" t="s">
        <v>435</v>
      </c>
      <c r="E829" s="888">
        <v>2019.0</v>
      </c>
      <c r="F829" s="887" t="s">
        <v>291</v>
      </c>
      <c r="G829" s="887" t="s">
        <v>89</v>
      </c>
      <c r="H829" s="547">
        <v>108440.5409</v>
      </c>
      <c r="I829" s="547">
        <v>138890.1715</v>
      </c>
      <c r="J829" s="548">
        <v>77246.24083</v>
      </c>
      <c r="K829" s="220"/>
      <c r="CE829" s="525"/>
    </row>
    <row r="830">
      <c r="A830" s="509"/>
      <c r="B830" s="889" t="s">
        <v>393</v>
      </c>
      <c r="C830" s="890" t="s">
        <v>289</v>
      </c>
      <c r="D830" s="890" t="s">
        <v>442</v>
      </c>
      <c r="E830" s="891">
        <v>2019.0</v>
      </c>
      <c r="F830" s="890" t="s">
        <v>291</v>
      </c>
      <c r="G830" s="890" t="s">
        <v>89</v>
      </c>
      <c r="H830" s="532">
        <v>72225.55561</v>
      </c>
      <c r="I830" s="532">
        <v>92506.17635</v>
      </c>
      <c r="J830" s="533">
        <v>51448.95641</v>
      </c>
      <c r="K830" s="220"/>
      <c r="CE830" s="525"/>
    </row>
    <row r="831">
      <c r="A831" s="509"/>
      <c r="B831" s="886" t="s">
        <v>393</v>
      </c>
      <c r="C831" s="887" t="s">
        <v>289</v>
      </c>
      <c r="D831" s="887" t="s">
        <v>445</v>
      </c>
      <c r="E831" s="888">
        <v>2019.0</v>
      </c>
      <c r="F831" s="887" t="s">
        <v>291</v>
      </c>
      <c r="G831" s="887" t="s">
        <v>89</v>
      </c>
      <c r="H831" s="547">
        <v>113596.0041</v>
      </c>
      <c r="I831" s="547">
        <v>145540.4194</v>
      </c>
      <c r="J831" s="548">
        <v>80935.10157</v>
      </c>
      <c r="K831" s="220"/>
      <c r="CE831" s="525"/>
    </row>
    <row r="832">
      <c r="A832" s="509"/>
      <c r="B832" s="889" t="s">
        <v>393</v>
      </c>
      <c r="C832" s="890" t="s">
        <v>289</v>
      </c>
      <c r="D832" s="890" t="s">
        <v>450</v>
      </c>
      <c r="E832" s="891">
        <v>2019.0</v>
      </c>
      <c r="F832" s="890" t="s">
        <v>291</v>
      </c>
      <c r="G832" s="890" t="s">
        <v>89</v>
      </c>
      <c r="H832" s="532">
        <v>41400.89982</v>
      </c>
      <c r="I832" s="532">
        <v>53026.09177</v>
      </c>
      <c r="J832" s="533">
        <v>29491.4047</v>
      </c>
      <c r="K832" s="220"/>
      <c r="CE832" s="525"/>
    </row>
    <row r="833">
      <c r="A833" s="509"/>
      <c r="B833" s="886" t="s">
        <v>393</v>
      </c>
      <c r="C833" s="887" t="s">
        <v>289</v>
      </c>
      <c r="D833" s="887" t="s">
        <v>457</v>
      </c>
      <c r="E833" s="888">
        <v>2019.0</v>
      </c>
      <c r="F833" s="887" t="s">
        <v>291</v>
      </c>
      <c r="G833" s="887" t="s">
        <v>89</v>
      </c>
      <c r="H833" s="547">
        <v>87873.74753</v>
      </c>
      <c r="I833" s="547">
        <v>112548.3122</v>
      </c>
      <c r="J833" s="548">
        <v>62595.747</v>
      </c>
      <c r="K833" s="220"/>
      <c r="CE833" s="525"/>
    </row>
    <row r="834">
      <c r="A834" s="509"/>
      <c r="B834" s="889" t="s">
        <v>393</v>
      </c>
      <c r="C834" s="890" t="s">
        <v>289</v>
      </c>
      <c r="D834" s="890" t="s">
        <v>463</v>
      </c>
      <c r="E834" s="891">
        <v>2019.0</v>
      </c>
      <c r="F834" s="890" t="s">
        <v>291</v>
      </c>
      <c r="G834" s="890" t="s">
        <v>89</v>
      </c>
      <c r="H834" s="532">
        <v>46460.39323</v>
      </c>
      <c r="I834" s="532">
        <v>59525.55432</v>
      </c>
      <c r="J834" s="533">
        <v>33102.19117</v>
      </c>
      <c r="K834" s="220"/>
      <c r="CE834" s="525"/>
    </row>
    <row r="835">
      <c r="A835" s="509"/>
      <c r="B835" s="886" t="s">
        <v>393</v>
      </c>
      <c r="C835" s="887" t="s">
        <v>289</v>
      </c>
      <c r="D835" s="887" t="s">
        <v>467</v>
      </c>
      <c r="E835" s="888">
        <v>2019.0</v>
      </c>
      <c r="F835" s="887" t="s">
        <v>291</v>
      </c>
      <c r="G835" s="887" t="s">
        <v>89</v>
      </c>
      <c r="H835" s="547">
        <v>27602.57692</v>
      </c>
      <c r="I835" s="547">
        <v>35353.26003</v>
      </c>
      <c r="J835" s="548">
        <v>19662.34479</v>
      </c>
      <c r="K835" s="220"/>
      <c r="CE835" s="525"/>
    </row>
    <row r="836">
      <c r="A836" s="509"/>
      <c r="B836" s="889" t="s">
        <v>393</v>
      </c>
      <c r="C836" s="890" t="s">
        <v>289</v>
      </c>
      <c r="D836" s="890" t="s">
        <v>473</v>
      </c>
      <c r="E836" s="891">
        <v>2019.0</v>
      </c>
      <c r="F836" s="890" t="s">
        <v>291</v>
      </c>
      <c r="G836" s="890" t="s">
        <v>89</v>
      </c>
      <c r="H836" s="532">
        <v>40661.99693</v>
      </c>
      <c r="I836" s="532">
        <v>52096.58676</v>
      </c>
      <c r="J836" s="533">
        <v>28970.93852</v>
      </c>
      <c r="K836" s="220"/>
      <c r="CE836" s="525"/>
    </row>
    <row r="837">
      <c r="A837" s="509"/>
      <c r="B837" s="886" t="s">
        <v>393</v>
      </c>
      <c r="C837" s="887" t="s">
        <v>289</v>
      </c>
      <c r="D837" s="887" t="s">
        <v>477</v>
      </c>
      <c r="E837" s="888">
        <v>2019.0</v>
      </c>
      <c r="F837" s="887" t="s">
        <v>291</v>
      </c>
      <c r="G837" s="887" t="s">
        <v>89</v>
      </c>
      <c r="H837" s="547">
        <v>18870.27079</v>
      </c>
      <c r="I837" s="547">
        <v>24168.96045</v>
      </c>
      <c r="J837" s="548">
        <v>13441.99752</v>
      </c>
      <c r="K837" s="220"/>
      <c r="CE837" s="525"/>
    </row>
    <row r="838">
      <c r="A838" s="509"/>
      <c r="B838" s="889" t="s">
        <v>393</v>
      </c>
      <c r="C838" s="890" t="s">
        <v>289</v>
      </c>
      <c r="D838" s="890" t="s">
        <v>483</v>
      </c>
      <c r="E838" s="891">
        <v>2019.0</v>
      </c>
      <c r="F838" s="890" t="s">
        <v>291</v>
      </c>
      <c r="G838" s="890" t="s">
        <v>89</v>
      </c>
      <c r="H838" s="532">
        <v>13070.32013</v>
      </c>
      <c r="I838" s="532">
        <v>16740.40897</v>
      </c>
      <c r="J838" s="533">
        <v>9310.476396</v>
      </c>
      <c r="K838" s="220"/>
      <c r="CE838" s="525"/>
    </row>
    <row r="839">
      <c r="A839" s="509"/>
      <c r="B839" s="886" t="s">
        <v>393</v>
      </c>
      <c r="C839" s="887" t="s">
        <v>289</v>
      </c>
      <c r="D839" s="887" t="s">
        <v>489</v>
      </c>
      <c r="E839" s="888">
        <v>2019.0</v>
      </c>
      <c r="F839" s="887" t="s">
        <v>291</v>
      </c>
      <c r="G839" s="887" t="s">
        <v>89</v>
      </c>
      <c r="H839" s="547">
        <v>5798.396301</v>
      </c>
      <c r="I839" s="547">
        <v>7428.967556</v>
      </c>
      <c r="J839" s="548">
        <v>4131.252654</v>
      </c>
      <c r="K839" s="220"/>
      <c r="CE839" s="525"/>
    </row>
    <row r="840">
      <c r="A840" s="509"/>
      <c r="B840" s="889" t="s">
        <v>393</v>
      </c>
      <c r="C840" s="890" t="s">
        <v>289</v>
      </c>
      <c r="D840" s="890" t="s">
        <v>493</v>
      </c>
      <c r="E840" s="891">
        <v>2019.0</v>
      </c>
      <c r="F840" s="890" t="s">
        <v>291</v>
      </c>
      <c r="G840" s="890" t="s">
        <v>89</v>
      </c>
      <c r="H840" s="532">
        <v>4571.943363</v>
      </c>
      <c r="I840" s="532">
        <v>5855.725101</v>
      </c>
      <c r="J840" s="533">
        <v>3256.765736</v>
      </c>
      <c r="K840" s="220"/>
      <c r="CE840" s="525"/>
    </row>
    <row r="841">
      <c r="A841" s="509"/>
      <c r="B841" s="886" t="s">
        <v>393</v>
      </c>
      <c r="C841" s="887" t="s">
        <v>289</v>
      </c>
      <c r="D841" s="887" t="s">
        <v>496</v>
      </c>
      <c r="E841" s="888">
        <v>2019.0</v>
      </c>
      <c r="F841" s="887" t="s">
        <v>291</v>
      </c>
      <c r="G841" s="887" t="s">
        <v>89</v>
      </c>
      <c r="H841" s="547">
        <v>1046.226736</v>
      </c>
      <c r="I841" s="547">
        <v>1340.002636</v>
      </c>
      <c r="J841" s="548">
        <v>745.2663156</v>
      </c>
      <c r="K841" s="220"/>
      <c r="CE841" s="525"/>
    </row>
    <row r="842">
      <c r="A842" s="509"/>
      <c r="B842" s="889" t="s">
        <v>393</v>
      </c>
      <c r="C842" s="890" t="s">
        <v>289</v>
      </c>
      <c r="D842" s="890" t="s">
        <v>502</v>
      </c>
      <c r="E842" s="891">
        <v>2019.0</v>
      </c>
      <c r="F842" s="890" t="s">
        <v>291</v>
      </c>
      <c r="G842" s="890" t="s">
        <v>89</v>
      </c>
      <c r="H842" s="532">
        <v>181.7805587</v>
      </c>
      <c r="I842" s="532">
        <v>232.823746</v>
      </c>
      <c r="J842" s="533">
        <v>129.4890702</v>
      </c>
      <c r="K842" s="220"/>
      <c r="CE842" s="525"/>
    </row>
    <row r="843">
      <c r="A843" s="509"/>
      <c r="B843" s="886" t="s">
        <v>393</v>
      </c>
      <c r="C843" s="887" t="s">
        <v>289</v>
      </c>
      <c r="D843" s="887" t="s">
        <v>332</v>
      </c>
      <c r="E843" s="888">
        <v>2019.0</v>
      </c>
      <c r="F843" s="887" t="s">
        <v>291</v>
      </c>
      <c r="G843" s="887" t="s">
        <v>89</v>
      </c>
      <c r="H843" s="547">
        <v>6711213.332</v>
      </c>
      <c r="I843" s="547">
        <v>8595692.739</v>
      </c>
      <c r="J843" s="548">
        <v>4780647.504</v>
      </c>
      <c r="K843" s="220"/>
      <c r="CE843" s="525"/>
    </row>
    <row r="844">
      <c r="A844" s="509"/>
      <c r="B844" s="889" t="s">
        <v>393</v>
      </c>
      <c r="C844" s="890" t="s">
        <v>289</v>
      </c>
      <c r="D844" s="890" t="s">
        <v>510</v>
      </c>
      <c r="E844" s="891">
        <v>2019.0</v>
      </c>
      <c r="F844" s="890" t="s">
        <v>291</v>
      </c>
      <c r="G844" s="890" t="s">
        <v>89</v>
      </c>
      <c r="H844" s="532">
        <v>199217.3869</v>
      </c>
      <c r="I844" s="532">
        <v>227965.4014</v>
      </c>
      <c r="J844" s="533">
        <v>174021.4349</v>
      </c>
      <c r="K844" s="220"/>
      <c r="CE844" s="525"/>
    </row>
    <row r="845">
      <c r="A845" s="509"/>
      <c r="B845" s="886" t="s">
        <v>393</v>
      </c>
      <c r="C845" s="887" t="s">
        <v>289</v>
      </c>
      <c r="D845" s="887" t="s">
        <v>512</v>
      </c>
      <c r="E845" s="888">
        <v>2019.0</v>
      </c>
      <c r="F845" s="887" t="s">
        <v>291</v>
      </c>
      <c r="G845" s="887" t="s">
        <v>89</v>
      </c>
      <c r="H845" s="547">
        <v>3783.66385</v>
      </c>
      <c r="I845" s="547">
        <v>4846.100142</v>
      </c>
      <c r="J845" s="548">
        <v>2695.244845</v>
      </c>
      <c r="K845" s="220"/>
      <c r="CE845" s="525"/>
    </row>
    <row r="846">
      <c r="A846" s="509"/>
      <c r="B846" s="889" t="s">
        <v>393</v>
      </c>
      <c r="C846" s="890" t="s">
        <v>289</v>
      </c>
      <c r="D846" s="890" t="s">
        <v>515</v>
      </c>
      <c r="E846" s="891">
        <v>2019.0</v>
      </c>
      <c r="F846" s="890" t="s">
        <v>291</v>
      </c>
      <c r="G846" s="890" t="s">
        <v>89</v>
      </c>
      <c r="H846" s="532">
        <v>11230.31166</v>
      </c>
      <c r="I846" s="532">
        <v>14383.73415</v>
      </c>
      <c r="J846" s="533">
        <v>7999.769748</v>
      </c>
      <c r="K846" s="220"/>
      <c r="CE846" s="525"/>
    </row>
    <row r="847">
      <c r="A847" s="509"/>
      <c r="B847" s="886" t="s">
        <v>393</v>
      </c>
      <c r="C847" s="887" t="s">
        <v>289</v>
      </c>
      <c r="D847" s="887" t="s">
        <v>518</v>
      </c>
      <c r="E847" s="888">
        <v>2019.0</v>
      </c>
      <c r="F847" s="887" t="s">
        <v>291</v>
      </c>
      <c r="G847" s="887" t="s">
        <v>89</v>
      </c>
      <c r="H847" s="547">
        <v>15013.97551</v>
      </c>
      <c r="I847" s="547">
        <v>19229.83429</v>
      </c>
      <c r="J847" s="548">
        <v>10695.01459</v>
      </c>
      <c r="K847" s="220"/>
      <c r="CE847" s="525"/>
    </row>
    <row r="848">
      <c r="A848" s="509"/>
      <c r="B848" s="889" t="s">
        <v>393</v>
      </c>
      <c r="C848" s="890" t="s">
        <v>289</v>
      </c>
      <c r="D848" s="890" t="s">
        <v>522</v>
      </c>
      <c r="E848" s="891">
        <v>2019.0</v>
      </c>
      <c r="F848" s="890" t="s">
        <v>291</v>
      </c>
      <c r="G848" s="890" t="s">
        <v>89</v>
      </c>
      <c r="H848" s="532">
        <v>176799.9656</v>
      </c>
      <c r="I848" s="532">
        <v>226444.6242</v>
      </c>
      <c r="J848" s="533">
        <v>125941.208</v>
      </c>
      <c r="K848" s="220"/>
      <c r="CE848" s="525"/>
    </row>
    <row r="849">
      <c r="A849" s="509"/>
      <c r="B849" s="886" t="s">
        <v>393</v>
      </c>
      <c r="C849" s="887" t="s">
        <v>289</v>
      </c>
      <c r="D849" s="887" t="s">
        <v>302</v>
      </c>
      <c r="E849" s="888">
        <v>2019.0</v>
      </c>
      <c r="F849" s="887" t="s">
        <v>291</v>
      </c>
      <c r="G849" s="887" t="s">
        <v>89</v>
      </c>
      <c r="H849" s="547">
        <v>929830.3114</v>
      </c>
      <c r="I849" s="547">
        <v>1190922.604</v>
      </c>
      <c r="J849" s="548">
        <v>662352.8023</v>
      </c>
      <c r="K849" s="220"/>
      <c r="CE849" s="525"/>
    </row>
    <row r="850">
      <c r="A850" s="509"/>
      <c r="B850" s="889" t="s">
        <v>394</v>
      </c>
      <c r="C850" s="890" t="s">
        <v>289</v>
      </c>
      <c r="D850" s="890" t="s">
        <v>290</v>
      </c>
      <c r="E850" s="891">
        <v>2019.0</v>
      </c>
      <c r="F850" s="890" t="s">
        <v>291</v>
      </c>
      <c r="G850" s="890" t="s">
        <v>89</v>
      </c>
      <c r="H850" s="532">
        <v>28570.0832</v>
      </c>
      <c r="I850" s="532">
        <v>30776.58873</v>
      </c>
      <c r="J850" s="533">
        <v>26293.31164</v>
      </c>
      <c r="K850" s="220"/>
      <c r="CE850" s="525"/>
    </row>
    <row r="851">
      <c r="A851" s="509"/>
      <c r="B851" s="886" t="s">
        <v>394</v>
      </c>
      <c r="C851" s="887" t="s">
        <v>289</v>
      </c>
      <c r="D851" s="887" t="s">
        <v>310</v>
      </c>
      <c r="E851" s="888">
        <v>2019.0</v>
      </c>
      <c r="F851" s="887" t="s">
        <v>291</v>
      </c>
      <c r="G851" s="887" t="s">
        <v>89</v>
      </c>
      <c r="H851" s="547">
        <v>531137.4767</v>
      </c>
      <c r="I851" s="547">
        <v>572157.9306</v>
      </c>
      <c r="J851" s="548">
        <v>488810.7292</v>
      </c>
      <c r="K851" s="220"/>
      <c r="CE851" s="525"/>
    </row>
    <row r="852">
      <c r="A852" s="509"/>
      <c r="B852" s="889" t="s">
        <v>394</v>
      </c>
      <c r="C852" s="890" t="s">
        <v>289</v>
      </c>
      <c r="D852" s="890" t="s">
        <v>318</v>
      </c>
      <c r="E852" s="891">
        <v>2019.0</v>
      </c>
      <c r="F852" s="890" t="s">
        <v>291</v>
      </c>
      <c r="G852" s="890" t="s">
        <v>89</v>
      </c>
      <c r="H852" s="532">
        <v>409209.4487</v>
      </c>
      <c r="I852" s="532">
        <v>440813.2388</v>
      </c>
      <c r="J852" s="533">
        <v>376599.238</v>
      </c>
      <c r="K852" s="220"/>
      <c r="CE852" s="525"/>
    </row>
    <row r="853">
      <c r="A853" s="509"/>
      <c r="B853" s="886" t="s">
        <v>394</v>
      </c>
      <c r="C853" s="887" t="s">
        <v>289</v>
      </c>
      <c r="D853" s="887" t="s">
        <v>309</v>
      </c>
      <c r="E853" s="888">
        <v>2019.0</v>
      </c>
      <c r="F853" s="887" t="s">
        <v>291</v>
      </c>
      <c r="G853" s="887" t="s">
        <v>89</v>
      </c>
      <c r="H853" s="547">
        <v>112022.0888</v>
      </c>
      <c r="I853" s="547">
        <v>120673.7037</v>
      </c>
      <c r="J853" s="548">
        <v>103094.9637</v>
      </c>
      <c r="K853" s="220"/>
      <c r="CE853" s="525"/>
    </row>
    <row r="854">
      <c r="A854" s="509"/>
      <c r="B854" s="889" t="s">
        <v>394</v>
      </c>
      <c r="C854" s="890" t="s">
        <v>289</v>
      </c>
      <c r="D854" s="890" t="s">
        <v>334</v>
      </c>
      <c r="E854" s="891">
        <v>2019.0</v>
      </c>
      <c r="F854" s="890" t="s">
        <v>291</v>
      </c>
      <c r="G854" s="890" t="s">
        <v>89</v>
      </c>
      <c r="H854" s="532">
        <v>131258.8196</v>
      </c>
      <c r="I854" s="532">
        <v>141396.1128</v>
      </c>
      <c r="J854" s="533">
        <v>120798.7049</v>
      </c>
      <c r="K854" s="220"/>
      <c r="CE854" s="525"/>
    </row>
    <row r="855">
      <c r="A855" s="509"/>
      <c r="B855" s="886" t="s">
        <v>394</v>
      </c>
      <c r="C855" s="887" t="s">
        <v>289</v>
      </c>
      <c r="D855" s="887" t="s">
        <v>339</v>
      </c>
      <c r="E855" s="888">
        <v>2019.0</v>
      </c>
      <c r="F855" s="887" t="s">
        <v>291</v>
      </c>
      <c r="G855" s="887" t="s">
        <v>89</v>
      </c>
      <c r="H855" s="547">
        <v>253186.8476</v>
      </c>
      <c r="I855" s="547">
        <v>272740.8047</v>
      </c>
      <c r="J855" s="548">
        <v>233010.1961</v>
      </c>
      <c r="K855" s="220"/>
      <c r="CE855" s="525"/>
    </row>
    <row r="856">
      <c r="A856" s="509"/>
      <c r="B856" s="889" t="s">
        <v>394</v>
      </c>
      <c r="C856" s="890" t="s">
        <v>289</v>
      </c>
      <c r="D856" s="890" t="s">
        <v>344</v>
      </c>
      <c r="E856" s="891">
        <v>2019.0</v>
      </c>
      <c r="F856" s="890" t="s">
        <v>291</v>
      </c>
      <c r="G856" s="890" t="s">
        <v>89</v>
      </c>
      <c r="H856" s="532">
        <v>366256.7887</v>
      </c>
      <c r="I856" s="532">
        <v>394543.2877</v>
      </c>
      <c r="J856" s="533">
        <v>337069.508</v>
      </c>
      <c r="K856" s="220"/>
      <c r="CE856" s="525"/>
    </row>
    <row r="857">
      <c r="A857" s="509"/>
      <c r="B857" s="886" t="s">
        <v>394</v>
      </c>
      <c r="C857" s="887" t="s">
        <v>289</v>
      </c>
      <c r="D857" s="887" t="s">
        <v>349</v>
      </c>
      <c r="E857" s="888">
        <v>2019.0</v>
      </c>
      <c r="F857" s="887" t="s">
        <v>291</v>
      </c>
      <c r="G857" s="887" t="s">
        <v>89</v>
      </c>
      <c r="H857" s="547">
        <v>121928.028</v>
      </c>
      <c r="I857" s="547">
        <v>131344.6918</v>
      </c>
      <c r="J857" s="548">
        <v>112211.4912</v>
      </c>
      <c r="K857" s="220"/>
      <c r="CE857" s="525"/>
    </row>
    <row r="858">
      <c r="A858" s="509"/>
      <c r="B858" s="889" t="s">
        <v>394</v>
      </c>
      <c r="C858" s="890" t="s">
        <v>289</v>
      </c>
      <c r="D858" s="890" t="s">
        <v>355</v>
      </c>
      <c r="E858" s="891">
        <v>2019.0</v>
      </c>
      <c r="F858" s="890" t="s">
        <v>291</v>
      </c>
      <c r="G858" s="890" t="s">
        <v>89</v>
      </c>
      <c r="H858" s="532">
        <v>504923.9042</v>
      </c>
      <c r="I858" s="532">
        <v>543934.6114</v>
      </c>
      <c r="J858" s="533">
        <v>464692.4062</v>
      </c>
      <c r="K858" s="220"/>
      <c r="CE858" s="525"/>
    </row>
    <row r="859">
      <c r="A859" s="509"/>
      <c r="B859" s="886" t="s">
        <v>394</v>
      </c>
      <c r="C859" s="887" t="s">
        <v>289</v>
      </c>
      <c r="D859" s="887" t="s">
        <v>358</v>
      </c>
      <c r="E859" s="888">
        <v>2019.0</v>
      </c>
      <c r="F859" s="887" t="s">
        <v>291</v>
      </c>
      <c r="G859" s="887" t="s">
        <v>89</v>
      </c>
      <c r="H859" s="547">
        <v>605663.3282</v>
      </c>
      <c r="I859" s="547">
        <v>652439.5127</v>
      </c>
      <c r="J859" s="548">
        <v>557397.5591</v>
      </c>
      <c r="K859" s="220"/>
      <c r="CE859" s="525"/>
    </row>
    <row r="860">
      <c r="A860" s="509"/>
      <c r="B860" s="889" t="s">
        <v>394</v>
      </c>
      <c r="C860" s="890" t="s">
        <v>289</v>
      </c>
      <c r="D860" s="890" t="s">
        <v>362</v>
      </c>
      <c r="E860" s="891">
        <v>2019.0</v>
      </c>
      <c r="F860" s="890" t="s">
        <v>291</v>
      </c>
      <c r="G860" s="890" t="s">
        <v>89</v>
      </c>
      <c r="H860" s="532">
        <v>610962.0273</v>
      </c>
      <c r="I860" s="532">
        <v>658165.3</v>
      </c>
      <c r="J860" s="533">
        <v>562281.5877</v>
      </c>
      <c r="K860" s="220"/>
      <c r="CE860" s="525"/>
    </row>
    <row r="861">
      <c r="A861" s="509"/>
      <c r="B861" s="886" t="s">
        <v>394</v>
      </c>
      <c r="C861" s="887" t="s">
        <v>289</v>
      </c>
      <c r="D861" s="887" t="s">
        <v>366</v>
      </c>
      <c r="E861" s="888">
        <v>2019.0</v>
      </c>
      <c r="F861" s="887" t="s">
        <v>291</v>
      </c>
      <c r="G861" s="887" t="s">
        <v>89</v>
      </c>
      <c r="H861" s="547">
        <v>113069.9411</v>
      </c>
      <c r="I861" s="547">
        <v>121802.483</v>
      </c>
      <c r="J861" s="548">
        <v>104059.3119</v>
      </c>
      <c r="K861" s="220"/>
      <c r="CE861" s="525"/>
    </row>
    <row r="862">
      <c r="A862" s="509"/>
      <c r="B862" s="889" t="s">
        <v>394</v>
      </c>
      <c r="C862" s="890" t="s">
        <v>289</v>
      </c>
      <c r="D862" s="890" t="s">
        <v>368</v>
      </c>
      <c r="E862" s="891">
        <v>2019.0</v>
      </c>
      <c r="F862" s="890" t="s">
        <v>291</v>
      </c>
      <c r="G862" s="890" t="s">
        <v>89</v>
      </c>
      <c r="H862" s="532">
        <v>497901.2084</v>
      </c>
      <c r="I862" s="532">
        <v>536354.7811</v>
      </c>
      <c r="J862" s="533">
        <v>458223.0842</v>
      </c>
      <c r="K862" s="220"/>
      <c r="CE862" s="525"/>
    </row>
    <row r="863">
      <c r="A863" s="509"/>
      <c r="B863" s="886" t="s">
        <v>394</v>
      </c>
      <c r="C863" s="887" t="s">
        <v>289</v>
      </c>
      <c r="D863" s="887" t="s">
        <v>373</v>
      </c>
      <c r="E863" s="888">
        <v>2019.0</v>
      </c>
      <c r="F863" s="887" t="s">
        <v>291</v>
      </c>
      <c r="G863" s="887" t="s">
        <v>89</v>
      </c>
      <c r="H863" s="547">
        <v>103564.3764</v>
      </c>
      <c r="I863" s="547">
        <v>111562.791</v>
      </c>
      <c r="J863" s="548">
        <v>95311.25286</v>
      </c>
      <c r="K863" s="220"/>
      <c r="CE863" s="525"/>
    </row>
    <row r="864">
      <c r="A864" s="509"/>
      <c r="B864" s="889" t="s">
        <v>394</v>
      </c>
      <c r="C864" s="890" t="s">
        <v>289</v>
      </c>
      <c r="D864" s="890" t="s">
        <v>379</v>
      </c>
      <c r="E864" s="891">
        <v>2019.0</v>
      </c>
      <c r="F864" s="890" t="s">
        <v>291</v>
      </c>
      <c r="G864" s="890" t="s">
        <v>89</v>
      </c>
      <c r="H864" s="532">
        <v>370659.8247</v>
      </c>
      <c r="I864" s="532">
        <v>399297.213</v>
      </c>
      <c r="J864" s="533">
        <v>341126.2656</v>
      </c>
      <c r="K864" s="220"/>
      <c r="CE864" s="525"/>
    </row>
    <row r="865">
      <c r="A865" s="509"/>
      <c r="B865" s="886" t="s">
        <v>394</v>
      </c>
      <c r="C865" s="887" t="s">
        <v>289</v>
      </c>
      <c r="D865" s="887" t="s">
        <v>382</v>
      </c>
      <c r="E865" s="888">
        <v>2019.0</v>
      </c>
      <c r="F865" s="887" t="s">
        <v>291</v>
      </c>
      <c r="G865" s="887" t="s">
        <v>89</v>
      </c>
      <c r="H865" s="547">
        <v>91326.79395</v>
      </c>
      <c r="I865" s="547">
        <v>98380.08373</v>
      </c>
      <c r="J865" s="548">
        <v>84048.89261</v>
      </c>
      <c r="K865" s="220"/>
      <c r="CE865" s="525"/>
    </row>
    <row r="866">
      <c r="A866" s="509"/>
      <c r="B866" s="889" t="s">
        <v>394</v>
      </c>
      <c r="C866" s="890" t="s">
        <v>289</v>
      </c>
      <c r="D866" s="890" t="s">
        <v>387</v>
      </c>
      <c r="E866" s="891">
        <v>2019.0</v>
      </c>
      <c r="F866" s="890" t="s">
        <v>291</v>
      </c>
      <c r="G866" s="890" t="s">
        <v>89</v>
      </c>
      <c r="H866" s="532">
        <v>75042.30369</v>
      </c>
      <c r="I866" s="532">
        <v>80837.92063</v>
      </c>
      <c r="J866" s="533">
        <v>69062.12571</v>
      </c>
      <c r="K866" s="220"/>
      <c r="CE866" s="525"/>
    </row>
    <row r="867">
      <c r="A867" s="509"/>
      <c r="B867" s="886" t="s">
        <v>394</v>
      </c>
      <c r="C867" s="887" t="s">
        <v>289</v>
      </c>
      <c r="D867" s="887" t="s">
        <v>392</v>
      </c>
      <c r="E867" s="888">
        <v>2019.0</v>
      </c>
      <c r="F867" s="887" t="s">
        <v>291</v>
      </c>
      <c r="G867" s="887" t="s">
        <v>89</v>
      </c>
      <c r="H867" s="547">
        <v>57264.72124</v>
      </c>
      <c r="I867" s="547">
        <v>61687.35184</v>
      </c>
      <c r="J867" s="548">
        <v>52701.25225</v>
      </c>
      <c r="K867" s="220"/>
      <c r="CE867" s="525"/>
    </row>
    <row r="868">
      <c r="A868" s="509"/>
      <c r="B868" s="889" t="s">
        <v>394</v>
      </c>
      <c r="C868" s="890" t="s">
        <v>289</v>
      </c>
      <c r="D868" s="890" t="s">
        <v>398</v>
      </c>
      <c r="E868" s="891">
        <v>2019.0</v>
      </c>
      <c r="F868" s="890" t="s">
        <v>291</v>
      </c>
      <c r="G868" s="890" t="s">
        <v>89</v>
      </c>
      <c r="H868" s="532">
        <v>43467.16374</v>
      </c>
      <c r="I868" s="532">
        <v>46824.19062</v>
      </c>
      <c r="J868" s="533">
        <v>40003.23256</v>
      </c>
      <c r="K868" s="220"/>
      <c r="CE868" s="525"/>
    </row>
    <row r="869">
      <c r="A869" s="509"/>
      <c r="B869" s="886" t="s">
        <v>394</v>
      </c>
      <c r="C869" s="887" t="s">
        <v>289</v>
      </c>
      <c r="D869" s="887" t="s">
        <v>402</v>
      </c>
      <c r="E869" s="888">
        <v>2019.0</v>
      </c>
      <c r="F869" s="887" t="s">
        <v>291</v>
      </c>
      <c r="G869" s="887" t="s">
        <v>89</v>
      </c>
      <c r="H869" s="547">
        <v>390539.4736</v>
      </c>
      <c r="I869" s="547">
        <v>420712.7749</v>
      </c>
      <c r="J869" s="548">
        <v>359421.9371</v>
      </c>
      <c r="K869" s="220"/>
      <c r="CE869" s="525"/>
    </row>
    <row r="870">
      <c r="A870" s="509"/>
      <c r="B870" s="889" t="s">
        <v>394</v>
      </c>
      <c r="C870" s="890" t="s">
        <v>289</v>
      </c>
      <c r="D870" s="890" t="s">
        <v>407</v>
      </c>
      <c r="E870" s="891">
        <v>2019.0</v>
      </c>
      <c r="F870" s="890" t="s">
        <v>291</v>
      </c>
      <c r="G870" s="890" t="s">
        <v>89</v>
      </c>
      <c r="H870" s="532">
        <v>137358.4571</v>
      </c>
      <c r="I870" s="532">
        <v>147966.8335</v>
      </c>
      <c r="J870" s="533">
        <v>126412.2577</v>
      </c>
      <c r="K870" s="220"/>
      <c r="CE870" s="525"/>
    </row>
    <row r="871">
      <c r="A871" s="509"/>
      <c r="B871" s="886" t="s">
        <v>394</v>
      </c>
      <c r="C871" s="887" t="s">
        <v>289</v>
      </c>
      <c r="D871" s="887" t="s">
        <v>414</v>
      </c>
      <c r="E871" s="888">
        <v>2019.0</v>
      </c>
      <c r="F871" s="887" t="s">
        <v>291</v>
      </c>
      <c r="G871" s="887" t="s">
        <v>89</v>
      </c>
      <c r="H871" s="547">
        <v>34049.45167</v>
      </c>
      <c r="I871" s="547">
        <v>36679.13612</v>
      </c>
      <c r="J871" s="548">
        <v>31336.02509</v>
      </c>
      <c r="K871" s="220"/>
      <c r="CE871" s="525"/>
    </row>
    <row r="872">
      <c r="A872" s="509"/>
      <c r="B872" s="889" t="s">
        <v>394</v>
      </c>
      <c r="C872" s="890" t="s">
        <v>289</v>
      </c>
      <c r="D872" s="890" t="s">
        <v>417</v>
      </c>
      <c r="E872" s="891">
        <v>2019.0</v>
      </c>
      <c r="F872" s="890" t="s">
        <v>291</v>
      </c>
      <c r="G872" s="890" t="s">
        <v>89</v>
      </c>
      <c r="H872" s="532">
        <v>101893.2744</v>
      </c>
      <c r="I872" s="532">
        <v>109762.6275</v>
      </c>
      <c r="J872" s="533">
        <v>93773.32219</v>
      </c>
      <c r="K872" s="220"/>
      <c r="CE872" s="525"/>
    </row>
    <row r="873">
      <c r="A873" s="509"/>
      <c r="B873" s="886" t="s">
        <v>394</v>
      </c>
      <c r="C873" s="887" t="s">
        <v>289</v>
      </c>
      <c r="D873" s="887" t="s">
        <v>300</v>
      </c>
      <c r="E873" s="888">
        <v>2019.0</v>
      </c>
      <c r="F873" s="887" t="s">
        <v>291</v>
      </c>
      <c r="G873" s="887" t="s">
        <v>89</v>
      </c>
      <c r="H873" s="547">
        <v>268617.2767</v>
      </c>
      <c r="I873" s="547">
        <v>289362.9463</v>
      </c>
      <c r="J873" s="548">
        <v>247210.9626</v>
      </c>
      <c r="K873" s="220"/>
      <c r="CE873" s="525"/>
    </row>
    <row r="874">
      <c r="A874" s="509"/>
      <c r="B874" s="889" t="s">
        <v>394</v>
      </c>
      <c r="C874" s="890" t="s">
        <v>289</v>
      </c>
      <c r="D874" s="890" t="s">
        <v>429</v>
      </c>
      <c r="E874" s="891">
        <v>2019.0</v>
      </c>
      <c r="F874" s="890" t="s">
        <v>291</v>
      </c>
      <c r="G874" s="890" t="s">
        <v>89</v>
      </c>
      <c r="H874" s="532">
        <v>93185.00637</v>
      </c>
      <c r="I874" s="532">
        <v>100384.5328</v>
      </c>
      <c r="J874" s="533">
        <v>85760.17984</v>
      </c>
      <c r="K874" s="220"/>
      <c r="CE874" s="525"/>
    </row>
    <row r="875">
      <c r="A875" s="509"/>
      <c r="B875" s="886" t="s">
        <v>394</v>
      </c>
      <c r="C875" s="887" t="s">
        <v>289</v>
      </c>
      <c r="D875" s="887" t="s">
        <v>432</v>
      </c>
      <c r="E875" s="888">
        <v>2019.0</v>
      </c>
      <c r="F875" s="887" t="s">
        <v>291</v>
      </c>
      <c r="G875" s="887" t="s">
        <v>89</v>
      </c>
      <c r="H875" s="547">
        <v>27354.32454</v>
      </c>
      <c r="I875" s="547">
        <v>29466.93541</v>
      </c>
      <c r="J875" s="548">
        <v>25174.43771</v>
      </c>
      <c r="K875" s="220"/>
      <c r="CE875" s="525"/>
    </row>
    <row r="876">
      <c r="A876" s="509"/>
      <c r="B876" s="889" t="s">
        <v>394</v>
      </c>
      <c r="C876" s="890" t="s">
        <v>289</v>
      </c>
      <c r="D876" s="890" t="s">
        <v>435</v>
      </c>
      <c r="E876" s="891">
        <v>2019.0</v>
      </c>
      <c r="F876" s="890" t="s">
        <v>291</v>
      </c>
      <c r="G876" s="890" t="s">
        <v>89</v>
      </c>
      <c r="H876" s="532">
        <v>22589.57197</v>
      </c>
      <c r="I876" s="532">
        <v>24334.19466</v>
      </c>
      <c r="J876" s="533">
        <v>20789.39188</v>
      </c>
      <c r="K876" s="220"/>
      <c r="CE876" s="525"/>
    </row>
    <row r="877">
      <c r="A877" s="509"/>
      <c r="B877" s="886" t="s">
        <v>394</v>
      </c>
      <c r="C877" s="887" t="s">
        <v>289</v>
      </c>
      <c r="D877" s="887" t="s">
        <v>442</v>
      </c>
      <c r="E877" s="888">
        <v>2019.0</v>
      </c>
      <c r="F877" s="887" t="s">
        <v>291</v>
      </c>
      <c r="G877" s="887" t="s">
        <v>89</v>
      </c>
      <c r="H877" s="547">
        <v>17899.92618</v>
      </c>
      <c r="I877" s="547">
        <v>19282.36129</v>
      </c>
      <c r="J877" s="548">
        <v>16473.46751</v>
      </c>
      <c r="K877" s="220"/>
      <c r="CE877" s="525"/>
    </row>
    <row r="878">
      <c r="A878" s="509"/>
      <c r="B878" s="889" t="s">
        <v>394</v>
      </c>
      <c r="C878" s="890" t="s">
        <v>289</v>
      </c>
      <c r="D878" s="890" t="s">
        <v>445</v>
      </c>
      <c r="E878" s="891">
        <v>2019.0</v>
      </c>
      <c r="F878" s="890" t="s">
        <v>291</v>
      </c>
      <c r="G878" s="890" t="s">
        <v>89</v>
      </c>
      <c r="H878" s="532">
        <v>30459.86059</v>
      </c>
      <c r="I878" s="532">
        <v>32813.20669</v>
      </c>
      <c r="J878" s="533">
        <v>28032.86949</v>
      </c>
      <c r="K878" s="220"/>
      <c r="CE878" s="525"/>
    </row>
    <row r="879">
      <c r="A879" s="509"/>
      <c r="B879" s="886" t="s">
        <v>394</v>
      </c>
      <c r="C879" s="887" t="s">
        <v>289</v>
      </c>
      <c r="D879" s="887" t="s">
        <v>450</v>
      </c>
      <c r="E879" s="888">
        <v>2019.0</v>
      </c>
      <c r="F879" s="887" t="s">
        <v>291</v>
      </c>
      <c r="G879" s="887" t="s">
        <v>89</v>
      </c>
      <c r="H879" s="547">
        <v>12560.3892</v>
      </c>
      <c r="I879" s="547">
        <v>13530.44477</v>
      </c>
      <c r="J879" s="548">
        <v>11559.44228</v>
      </c>
      <c r="K879" s="220"/>
      <c r="CE879" s="525"/>
    </row>
    <row r="880">
      <c r="A880" s="509"/>
      <c r="B880" s="889" t="s">
        <v>394</v>
      </c>
      <c r="C880" s="890" t="s">
        <v>289</v>
      </c>
      <c r="D880" s="890" t="s">
        <v>457</v>
      </c>
      <c r="E880" s="891">
        <v>2019.0</v>
      </c>
      <c r="F880" s="890" t="s">
        <v>291</v>
      </c>
      <c r="G880" s="890" t="s">
        <v>89</v>
      </c>
      <c r="H880" s="532">
        <v>25342.57502</v>
      </c>
      <c r="I880" s="532">
        <v>27299.81581</v>
      </c>
      <c r="J880" s="533">
        <v>23323.00604</v>
      </c>
      <c r="K880" s="220"/>
      <c r="CE880" s="525"/>
    </row>
    <row r="881">
      <c r="A881" s="509"/>
      <c r="B881" s="886" t="s">
        <v>394</v>
      </c>
      <c r="C881" s="887" t="s">
        <v>289</v>
      </c>
      <c r="D881" s="887" t="s">
        <v>463</v>
      </c>
      <c r="E881" s="888">
        <v>2019.0</v>
      </c>
      <c r="F881" s="887" t="s">
        <v>291</v>
      </c>
      <c r="G881" s="887" t="s">
        <v>89</v>
      </c>
      <c r="H881" s="547">
        <v>12781.99498</v>
      </c>
      <c r="I881" s="547">
        <v>13769.53916</v>
      </c>
      <c r="J881" s="548">
        <v>11763.54685</v>
      </c>
      <c r="K881" s="220"/>
      <c r="CE881" s="525"/>
    </row>
    <row r="882">
      <c r="A882" s="509"/>
      <c r="B882" s="889" t="s">
        <v>394</v>
      </c>
      <c r="C882" s="890" t="s">
        <v>289</v>
      </c>
      <c r="D882" s="890" t="s">
        <v>467</v>
      </c>
      <c r="E882" s="891">
        <v>2019.0</v>
      </c>
      <c r="F882" s="890" t="s">
        <v>291</v>
      </c>
      <c r="G882" s="890" t="s">
        <v>89</v>
      </c>
      <c r="H882" s="532">
        <v>7729.358293</v>
      </c>
      <c r="I882" s="532">
        <v>8326.306916</v>
      </c>
      <c r="J882" s="533">
        <v>7113.39988</v>
      </c>
      <c r="K882" s="220"/>
      <c r="CE882" s="525"/>
    </row>
    <row r="883">
      <c r="A883" s="509"/>
      <c r="B883" s="886" t="s">
        <v>394</v>
      </c>
      <c r="C883" s="887" t="s">
        <v>289</v>
      </c>
      <c r="D883" s="887" t="s">
        <v>473</v>
      </c>
      <c r="E883" s="888">
        <v>2019.0</v>
      </c>
      <c r="F883" s="887" t="s">
        <v>291</v>
      </c>
      <c r="G883" s="887" t="s">
        <v>89</v>
      </c>
      <c r="H883" s="547">
        <v>11261.68893</v>
      </c>
      <c r="I883" s="547">
        <v>12131.77341</v>
      </c>
      <c r="J883" s="548">
        <v>10364.37626</v>
      </c>
      <c r="K883" s="220"/>
      <c r="CE883" s="525"/>
    </row>
    <row r="884">
      <c r="A884" s="509"/>
      <c r="B884" s="889" t="s">
        <v>394</v>
      </c>
      <c r="C884" s="890" t="s">
        <v>289</v>
      </c>
      <c r="D884" s="890" t="s">
        <v>477</v>
      </c>
      <c r="E884" s="891">
        <v>2019.0</v>
      </c>
      <c r="F884" s="890" t="s">
        <v>291</v>
      </c>
      <c r="G884" s="890" t="s">
        <v>89</v>
      </c>
      <c r="H884" s="532">
        <v>5052.827529</v>
      </c>
      <c r="I884" s="532">
        <v>5443.064121</v>
      </c>
      <c r="J884" s="533">
        <v>4650.163878</v>
      </c>
      <c r="K884" s="220"/>
      <c r="CE884" s="525"/>
    </row>
    <row r="885">
      <c r="A885" s="509"/>
      <c r="B885" s="886" t="s">
        <v>394</v>
      </c>
      <c r="C885" s="887" t="s">
        <v>289</v>
      </c>
      <c r="D885" s="887" t="s">
        <v>483</v>
      </c>
      <c r="E885" s="888">
        <v>2019.0</v>
      </c>
      <c r="F885" s="887" t="s">
        <v>291</v>
      </c>
      <c r="G885" s="887" t="s">
        <v>89</v>
      </c>
      <c r="H885" s="547">
        <v>3532.498787</v>
      </c>
      <c r="I885" s="547">
        <v>3805.318368</v>
      </c>
      <c r="J885" s="548">
        <v>3250.991285</v>
      </c>
      <c r="K885" s="220"/>
      <c r="CE885" s="525"/>
    </row>
    <row r="886">
      <c r="A886" s="509"/>
      <c r="B886" s="889" t="s">
        <v>394</v>
      </c>
      <c r="C886" s="890" t="s">
        <v>289</v>
      </c>
      <c r="D886" s="890" t="s">
        <v>489</v>
      </c>
      <c r="E886" s="891">
        <v>2019.0</v>
      </c>
      <c r="F886" s="890" t="s">
        <v>291</v>
      </c>
      <c r="G886" s="890" t="s">
        <v>89</v>
      </c>
      <c r="H886" s="532">
        <v>1520.306042</v>
      </c>
      <c r="I886" s="532">
        <v>1637.765749</v>
      </c>
      <c r="J886" s="533">
        <v>1399.170582</v>
      </c>
      <c r="K886" s="220"/>
      <c r="CE886" s="525"/>
    </row>
    <row r="887">
      <c r="A887" s="509"/>
      <c r="B887" s="886" t="s">
        <v>394</v>
      </c>
      <c r="C887" s="887" t="s">
        <v>289</v>
      </c>
      <c r="D887" s="887" t="s">
        <v>493</v>
      </c>
      <c r="E887" s="888">
        <v>2019.0</v>
      </c>
      <c r="F887" s="887" t="s">
        <v>291</v>
      </c>
      <c r="G887" s="887" t="s">
        <v>89</v>
      </c>
      <c r="H887" s="547">
        <v>1172.659143</v>
      </c>
      <c r="I887" s="547">
        <v>1263.225168</v>
      </c>
      <c r="J887" s="548">
        <v>1079.209048</v>
      </c>
      <c r="K887" s="220"/>
      <c r="CE887" s="525"/>
    </row>
    <row r="888">
      <c r="A888" s="509"/>
      <c r="B888" s="889" t="s">
        <v>394</v>
      </c>
      <c r="C888" s="890" t="s">
        <v>289</v>
      </c>
      <c r="D888" s="890" t="s">
        <v>496</v>
      </c>
      <c r="E888" s="891">
        <v>2019.0</v>
      </c>
      <c r="F888" s="890" t="s">
        <v>291</v>
      </c>
      <c r="G888" s="890" t="s">
        <v>89</v>
      </c>
      <c r="H888" s="532">
        <v>292.6496206</v>
      </c>
      <c r="I888" s="532">
        <v>315.2513401</v>
      </c>
      <c r="J888" s="533">
        <v>269.3281508</v>
      </c>
      <c r="K888" s="220"/>
      <c r="CE888" s="525"/>
    </row>
    <row r="889">
      <c r="A889" s="509"/>
      <c r="B889" s="886" t="s">
        <v>394</v>
      </c>
      <c r="C889" s="887" t="s">
        <v>289</v>
      </c>
      <c r="D889" s="887" t="s">
        <v>502</v>
      </c>
      <c r="E889" s="888">
        <v>2019.0</v>
      </c>
      <c r="F889" s="887" t="s">
        <v>291</v>
      </c>
      <c r="G889" s="887" t="s">
        <v>89</v>
      </c>
      <c r="H889" s="547">
        <v>55.01997829</v>
      </c>
      <c r="I889" s="547">
        <v>59.26924441</v>
      </c>
      <c r="J889" s="548">
        <v>50.63539457</v>
      </c>
      <c r="K889" s="220"/>
      <c r="CE889" s="525"/>
    </row>
    <row r="890">
      <c r="A890" s="509"/>
      <c r="B890" s="889" t="s">
        <v>394</v>
      </c>
      <c r="C890" s="890" t="s">
        <v>289</v>
      </c>
      <c r="D890" s="890" t="s">
        <v>332</v>
      </c>
      <c r="E890" s="891">
        <v>2019.0</v>
      </c>
      <c r="F890" s="890" t="s">
        <v>291</v>
      </c>
      <c r="G890" s="890" t="s">
        <v>89</v>
      </c>
      <c r="H890" s="532">
        <v>1142108.626</v>
      </c>
      <c r="I890" s="532">
        <v>1230315.195</v>
      </c>
      <c r="J890" s="533">
        <v>1051093.125</v>
      </c>
      <c r="K890" s="220"/>
      <c r="CE890" s="525"/>
    </row>
    <row r="891">
      <c r="A891" s="509"/>
      <c r="B891" s="886" t="s">
        <v>394</v>
      </c>
      <c r="C891" s="887" t="s">
        <v>289</v>
      </c>
      <c r="D891" s="887" t="s">
        <v>510</v>
      </c>
      <c r="E891" s="888">
        <v>2019.0</v>
      </c>
      <c r="F891" s="887" t="s">
        <v>291</v>
      </c>
      <c r="G891" s="887" t="s">
        <v>89</v>
      </c>
      <c r="H891" s="547">
        <v>29951.47345</v>
      </c>
      <c r="I891" s="547">
        <v>34108.99368</v>
      </c>
      <c r="J891" s="548">
        <v>26435.55194</v>
      </c>
      <c r="K891" s="220"/>
      <c r="CE891" s="525"/>
    </row>
    <row r="892">
      <c r="A892" s="509"/>
      <c r="B892" s="889" t="s">
        <v>394</v>
      </c>
      <c r="C892" s="890" t="s">
        <v>289</v>
      </c>
      <c r="D892" s="890" t="s">
        <v>512</v>
      </c>
      <c r="E892" s="891">
        <v>2019.0</v>
      </c>
      <c r="F892" s="890" t="s">
        <v>291</v>
      </c>
      <c r="G892" s="890" t="s">
        <v>89</v>
      </c>
      <c r="H892" s="532">
        <v>558.4876156</v>
      </c>
      <c r="I892" s="532">
        <v>601.6203571</v>
      </c>
      <c r="J892" s="533">
        <v>513.9813147</v>
      </c>
      <c r="K892" s="220"/>
      <c r="CE892" s="525"/>
    </row>
    <row r="893">
      <c r="A893" s="509"/>
      <c r="B893" s="886" t="s">
        <v>394</v>
      </c>
      <c r="C893" s="887" t="s">
        <v>289</v>
      </c>
      <c r="D893" s="887" t="s">
        <v>515</v>
      </c>
      <c r="E893" s="888">
        <v>2019.0</v>
      </c>
      <c r="F893" s="887" t="s">
        <v>291</v>
      </c>
      <c r="G893" s="887" t="s">
        <v>89</v>
      </c>
      <c r="H893" s="547">
        <v>1661.35346</v>
      </c>
      <c r="I893" s="547">
        <v>1789.661997</v>
      </c>
      <c r="J893" s="548">
        <v>1528.958945</v>
      </c>
      <c r="K893" s="220"/>
      <c r="CE893" s="525"/>
    </row>
    <row r="894">
      <c r="A894" s="509"/>
      <c r="B894" s="889" t="s">
        <v>394</v>
      </c>
      <c r="C894" s="890" t="s">
        <v>289</v>
      </c>
      <c r="D894" s="890" t="s">
        <v>518</v>
      </c>
      <c r="E894" s="891">
        <v>2019.0</v>
      </c>
      <c r="F894" s="890" t="s">
        <v>291</v>
      </c>
      <c r="G894" s="890" t="s">
        <v>89</v>
      </c>
      <c r="H894" s="532">
        <v>2219.841075</v>
      </c>
      <c r="I894" s="532">
        <v>2391.282355</v>
      </c>
      <c r="J894" s="533">
        <v>2042.94026</v>
      </c>
      <c r="K894" s="220"/>
      <c r="CE894" s="525"/>
    </row>
    <row r="895">
      <c r="A895" s="509"/>
      <c r="B895" s="886" t="s">
        <v>394</v>
      </c>
      <c r="C895" s="887" t="s">
        <v>289</v>
      </c>
      <c r="D895" s="887" t="s">
        <v>522</v>
      </c>
      <c r="E895" s="888">
        <v>2019.0</v>
      </c>
      <c r="F895" s="887" t="s">
        <v>291</v>
      </c>
      <c r="G895" s="887" t="s">
        <v>89</v>
      </c>
      <c r="H895" s="547">
        <v>26350.24212</v>
      </c>
      <c r="I895" s="547">
        <v>28385.30637</v>
      </c>
      <c r="J895" s="548">
        <v>24250.37138</v>
      </c>
      <c r="K895" s="220"/>
      <c r="CE895" s="525"/>
    </row>
    <row r="896">
      <c r="A896" s="509"/>
      <c r="B896" s="889" t="s">
        <v>394</v>
      </c>
      <c r="C896" s="890" t="s">
        <v>289</v>
      </c>
      <c r="D896" s="890" t="s">
        <v>302</v>
      </c>
      <c r="E896" s="891">
        <v>2019.0</v>
      </c>
      <c r="F896" s="890" t="s">
        <v>291</v>
      </c>
      <c r="G896" s="890" t="s">
        <v>89</v>
      </c>
      <c r="H896" s="532">
        <v>140592.172</v>
      </c>
      <c r="I896" s="532">
        <v>151450.2924</v>
      </c>
      <c r="J896" s="533">
        <v>129388.2754</v>
      </c>
      <c r="K896" s="220"/>
      <c r="CE896" s="525"/>
    </row>
    <row r="897">
      <c r="A897" s="509"/>
      <c r="B897" s="886" t="s">
        <v>370</v>
      </c>
      <c r="C897" s="887" t="s">
        <v>289</v>
      </c>
      <c r="D897" s="887" t="s">
        <v>290</v>
      </c>
      <c r="E897" s="888">
        <v>2019.0</v>
      </c>
      <c r="F897" s="887" t="s">
        <v>291</v>
      </c>
      <c r="G897" s="887" t="s">
        <v>89</v>
      </c>
      <c r="H897" s="547">
        <v>3500058.49</v>
      </c>
      <c r="I897" s="547">
        <v>3994043.927</v>
      </c>
      <c r="J897" s="548">
        <v>2993650.875</v>
      </c>
      <c r="K897" s="220"/>
      <c r="CE897" s="525"/>
    </row>
    <row r="898">
      <c r="A898" s="509"/>
      <c r="B898" s="889" t="s">
        <v>370</v>
      </c>
      <c r="C898" s="890" t="s">
        <v>289</v>
      </c>
      <c r="D898" s="890" t="s">
        <v>310</v>
      </c>
      <c r="E898" s="891">
        <v>2019.0</v>
      </c>
      <c r="F898" s="890" t="s">
        <v>291</v>
      </c>
      <c r="G898" s="890" t="s">
        <v>89</v>
      </c>
      <c r="H898" s="532">
        <v>5.862041702E7</v>
      </c>
      <c r="I898" s="532">
        <v>6.689388799E7</v>
      </c>
      <c r="J898" s="533">
        <v>5.01388943E7</v>
      </c>
      <c r="K898" s="220"/>
      <c r="CE898" s="525"/>
    </row>
    <row r="899">
      <c r="A899" s="509"/>
      <c r="B899" s="886" t="s">
        <v>370</v>
      </c>
      <c r="C899" s="887" t="s">
        <v>289</v>
      </c>
      <c r="D899" s="887" t="s">
        <v>318</v>
      </c>
      <c r="E899" s="888">
        <v>2019.0</v>
      </c>
      <c r="F899" s="887" t="s">
        <v>291</v>
      </c>
      <c r="G899" s="887" t="s">
        <v>89</v>
      </c>
      <c r="H899" s="547">
        <v>4.60669655E7</v>
      </c>
      <c r="I899" s="547">
        <v>5.256868829E7</v>
      </c>
      <c r="J899" s="548">
        <v>3.940174484E7</v>
      </c>
      <c r="K899" s="220"/>
      <c r="CE899" s="525"/>
    </row>
    <row r="900">
      <c r="A900" s="509"/>
      <c r="B900" s="889" t="s">
        <v>370</v>
      </c>
      <c r="C900" s="890" t="s">
        <v>289</v>
      </c>
      <c r="D900" s="890" t="s">
        <v>309</v>
      </c>
      <c r="E900" s="891">
        <v>2019.0</v>
      </c>
      <c r="F900" s="890" t="s">
        <v>291</v>
      </c>
      <c r="G900" s="890" t="s">
        <v>89</v>
      </c>
      <c r="H900" s="532">
        <v>1.317961141E7</v>
      </c>
      <c r="I900" s="532">
        <v>1.50397335E7</v>
      </c>
      <c r="J900" s="533">
        <v>1.127271311E7</v>
      </c>
      <c r="K900" s="220"/>
      <c r="CE900" s="525"/>
    </row>
    <row r="901">
      <c r="A901" s="509"/>
      <c r="B901" s="886" t="s">
        <v>370</v>
      </c>
      <c r="C901" s="887" t="s">
        <v>289</v>
      </c>
      <c r="D901" s="887" t="s">
        <v>334</v>
      </c>
      <c r="E901" s="888">
        <v>2019.0</v>
      </c>
      <c r="F901" s="887" t="s">
        <v>291</v>
      </c>
      <c r="G901" s="887" t="s">
        <v>89</v>
      </c>
      <c r="H901" s="547">
        <v>1.411860374E7</v>
      </c>
      <c r="I901" s="547">
        <v>1.611125177E7</v>
      </c>
      <c r="J901" s="548">
        <v>1.207584689E7</v>
      </c>
      <c r="K901" s="220"/>
      <c r="CE901" s="525"/>
    </row>
    <row r="902">
      <c r="A902" s="509"/>
      <c r="B902" s="889" t="s">
        <v>370</v>
      </c>
      <c r="C902" s="890" t="s">
        <v>289</v>
      </c>
      <c r="D902" s="890" t="s">
        <v>339</v>
      </c>
      <c r="E902" s="891">
        <v>2019.0</v>
      </c>
      <c r="F902" s="890" t="s">
        <v>291</v>
      </c>
      <c r="G902" s="890" t="s">
        <v>89</v>
      </c>
      <c r="H902" s="532">
        <v>2.667205527E7</v>
      </c>
      <c r="I902" s="532">
        <v>3.043645146E7</v>
      </c>
      <c r="J902" s="533">
        <v>2.281299635E7</v>
      </c>
      <c r="K902" s="220"/>
      <c r="CE902" s="525"/>
    </row>
    <row r="903">
      <c r="A903" s="509"/>
      <c r="B903" s="886" t="s">
        <v>370</v>
      </c>
      <c r="C903" s="887" t="s">
        <v>289</v>
      </c>
      <c r="D903" s="887" t="s">
        <v>344</v>
      </c>
      <c r="E903" s="888">
        <v>2019.0</v>
      </c>
      <c r="F903" s="887" t="s">
        <v>291</v>
      </c>
      <c r="G903" s="887" t="s">
        <v>89</v>
      </c>
      <c r="H903" s="547">
        <v>3.728868157E7</v>
      </c>
      <c r="I903" s="547">
        <v>4.255146952E7</v>
      </c>
      <c r="J903" s="548">
        <v>3.189355106E7</v>
      </c>
      <c r="K903" s="220"/>
      <c r="CE903" s="525"/>
    </row>
    <row r="904">
      <c r="A904" s="509"/>
      <c r="B904" s="889" t="s">
        <v>370</v>
      </c>
      <c r="C904" s="890" t="s">
        <v>289</v>
      </c>
      <c r="D904" s="890" t="s">
        <v>349</v>
      </c>
      <c r="E904" s="891">
        <v>2019.0</v>
      </c>
      <c r="F904" s="890" t="s">
        <v>291</v>
      </c>
      <c r="G904" s="890" t="s">
        <v>89</v>
      </c>
      <c r="H904" s="532">
        <v>1.255345152E7</v>
      </c>
      <c r="I904" s="532">
        <v>1.43251997E7</v>
      </c>
      <c r="J904" s="533">
        <v>1.073714946E7</v>
      </c>
      <c r="K904" s="220"/>
      <c r="CE904" s="525"/>
    </row>
    <row r="905">
      <c r="A905" s="509"/>
      <c r="B905" s="886" t="s">
        <v>370</v>
      </c>
      <c r="C905" s="887" t="s">
        <v>289</v>
      </c>
      <c r="D905" s="887" t="s">
        <v>355</v>
      </c>
      <c r="E905" s="888">
        <v>2019.0</v>
      </c>
      <c r="F905" s="887" t="s">
        <v>291</v>
      </c>
      <c r="G905" s="887" t="s">
        <v>89</v>
      </c>
      <c r="H905" s="547">
        <v>4.438506708E7</v>
      </c>
      <c r="I905" s="547">
        <v>5.065185399E7</v>
      </c>
      <c r="J905" s="548">
        <v>3.796422177E7</v>
      </c>
      <c r="K905" s="220"/>
      <c r="CE905" s="525"/>
    </row>
    <row r="906">
      <c r="A906" s="509"/>
      <c r="B906" s="889" t="s">
        <v>370</v>
      </c>
      <c r="C906" s="890" t="s">
        <v>289</v>
      </c>
      <c r="D906" s="890" t="s">
        <v>358</v>
      </c>
      <c r="E906" s="891">
        <v>2019.0</v>
      </c>
      <c r="F906" s="890" t="s">
        <v>291</v>
      </c>
      <c r="G906" s="890" t="s">
        <v>89</v>
      </c>
      <c r="H906" s="532">
        <v>5.250246256E7</v>
      </c>
      <c r="I906" s="532">
        <v>5.991246785E7</v>
      </c>
      <c r="J906" s="533">
        <v>4.490611897E7</v>
      </c>
      <c r="K906" s="220"/>
      <c r="CE906" s="525"/>
    </row>
    <row r="907">
      <c r="A907" s="509"/>
      <c r="B907" s="886" t="s">
        <v>370</v>
      </c>
      <c r="C907" s="887" t="s">
        <v>289</v>
      </c>
      <c r="D907" s="887" t="s">
        <v>362</v>
      </c>
      <c r="E907" s="888">
        <v>2019.0</v>
      </c>
      <c r="F907" s="887" t="s">
        <v>291</v>
      </c>
      <c r="G907" s="887" t="s">
        <v>89</v>
      </c>
      <c r="H907" s="547">
        <v>4.896886055E7</v>
      </c>
      <c r="I907" s="547">
        <v>5.588283939E7</v>
      </c>
      <c r="J907" s="548">
        <v>4.18849132E7</v>
      </c>
      <c r="K907" s="220"/>
      <c r="CE907" s="525"/>
    </row>
    <row r="908">
      <c r="A908" s="509"/>
      <c r="B908" s="889" t="s">
        <v>370</v>
      </c>
      <c r="C908" s="890" t="s">
        <v>289</v>
      </c>
      <c r="D908" s="890" t="s">
        <v>366</v>
      </c>
      <c r="E908" s="891">
        <v>2019.0</v>
      </c>
      <c r="F908" s="890" t="s">
        <v>291</v>
      </c>
      <c r="G908" s="890" t="s">
        <v>89</v>
      </c>
      <c r="H908" s="532">
        <v>1.06166263E7</v>
      </c>
      <c r="I908" s="532">
        <v>1.211501806E7</v>
      </c>
      <c r="J908" s="533">
        <v>9080554.712</v>
      </c>
      <c r="K908" s="220"/>
      <c r="CE908" s="525"/>
    </row>
    <row r="909">
      <c r="A909" s="509"/>
      <c r="B909" s="886" t="s">
        <v>370</v>
      </c>
      <c r="C909" s="887" t="s">
        <v>289</v>
      </c>
      <c r="D909" s="887" t="s">
        <v>368</v>
      </c>
      <c r="E909" s="888">
        <v>2019.0</v>
      </c>
      <c r="F909" s="887" t="s">
        <v>291</v>
      </c>
      <c r="G909" s="887" t="s">
        <v>89</v>
      </c>
      <c r="H909" s="547">
        <v>3.835412036E7</v>
      </c>
      <c r="I909" s="547">
        <v>4.376728044E7</v>
      </c>
      <c r="J909" s="548">
        <v>3.280483634E7</v>
      </c>
      <c r="K909" s="220"/>
      <c r="CE909" s="525"/>
    </row>
    <row r="910">
      <c r="A910" s="509"/>
      <c r="B910" s="889" t="s">
        <v>370</v>
      </c>
      <c r="C910" s="890" t="s">
        <v>289</v>
      </c>
      <c r="D910" s="890" t="s">
        <v>373</v>
      </c>
      <c r="E910" s="891">
        <v>2019.0</v>
      </c>
      <c r="F910" s="890" t="s">
        <v>291</v>
      </c>
      <c r="G910" s="890" t="s">
        <v>89</v>
      </c>
      <c r="H910" s="532">
        <v>8508601.262</v>
      </c>
      <c r="I910" s="532">
        <v>9709474.083</v>
      </c>
      <c r="J910" s="533">
        <v>7277530.27</v>
      </c>
      <c r="K910" s="220"/>
      <c r="CE910" s="525"/>
    </row>
    <row r="911">
      <c r="A911" s="509"/>
      <c r="B911" s="886" t="s">
        <v>370</v>
      </c>
      <c r="C911" s="887" t="s">
        <v>289</v>
      </c>
      <c r="D911" s="887" t="s">
        <v>379</v>
      </c>
      <c r="E911" s="888">
        <v>2019.0</v>
      </c>
      <c r="F911" s="887" t="s">
        <v>291</v>
      </c>
      <c r="G911" s="887" t="s">
        <v>89</v>
      </c>
      <c r="H911" s="547">
        <v>2.9331255E7</v>
      </c>
      <c r="I911" s="547">
        <v>3.347257408E7</v>
      </c>
      <c r="J911" s="548">
        <v>2.508812858E7</v>
      </c>
      <c r="K911" s="220"/>
      <c r="CE911" s="525"/>
    </row>
    <row r="912">
      <c r="A912" s="509"/>
      <c r="B912" s="889" t="s">
        <v>370</v>
      </c>
      <c r="C912" s="890" t="s">
        <v>289</v>
      </c>
      <c r="D912" s="890" t="s">
        <v>382</v>
      </c>
      <c r="E912" s="891">
        <v>2019.0</v>
      </c>
      <c r="F912" s="890" t="s">
        <v>291</v>
      </c>
      <c r="G912" s="890" t="s">
        <v>89</v>
      </c>
      <c r="H912" s="532">
        <v>6875550.835</v>
      </c>
      <c r="I912" s="532">
        <v>7845940.899</v>
      </c>
      <c r="J912" s="533">
        <v>5880758.516</v>
      </c>
      <c r="K912" s="220"/>
      <c r="CE912" s="525"/>
    </row>
    <row r="913">
      <c r="A913" s="509"/>
      <c r="B913" s="886" t="s">
        <v>370</v>
      </c>
      <c r="C913" s="887" t="s">
        <v>289</v>
      </c>
      <c r="D913" s="887" t="s">
        <v>387</v>
      </c>
      <c r="E913" s="888">
        <v>2019.0</v>
      </c>
      <c r="F913" s="887" t="s">
        <v>291</v>
      </c>
      <c r="G913" s="887" t="s">
        <v>89</v>
      </c>
      <c r="H913" s="547">
        <v>5832546.711</v>
      </c>
      <c r="I913" s="547">
        <v>6655730.993</v>
      </c>
      <c r="J913" s="548">
        <v>4988661.936</v>
      </c>
      <c r="K913" s="220"/>
      <c r="CE913" s="525"/>
    </row>
    <row r="914">
      <c r="A914" s="509"/>
      <c r="B914" s="889" t="s">
        <v>370</v>
      </c>
      <c r="C914" s="890" t="s">
        <v>289</v>
      </c>
      <c r="D914" s="890" t="s">
        <v>392</v>
      </c>
      <c r="E914" s="891">
        <v>2019.0</v>
      </c>
      <c r="F914" s="890" t="s">
        <v>291</v>
      </c>
      <c r="G914" s="890" t="s">
        <v>89</v>
      </c>
      <c r="H914" s="532">
        <v>4688230.797</v>
      </c>
      <c r="I914" s="532">
        <v>5349910.521</v>
      </c>
      <c r="J914" s="533">
        <v>4009911.91</v>
      </c>
      <c r="K914" s="220"/>
      <c r="CE914" s="525"/>
    </row>
    <row r="915">
      <c r="A915" s="509"/>
      <c r="B915" s="886" t="s">
        <v>370</v>
      </c>
      <c r="C915" s="887" t="s">
        <v>289</v>
      </c>
      <c r="D915" s="887" t="s">
        <v>398</v>
      </c>
      <c r="E915" s="888">
        <v>2019.0</v>
      </c>
      <c r="F915" s="887" t="s">
        <v>291</v>
      </c>
      <c r="G915" s="887" t="s">
        <v>89</v>
      </c>
      <c r="H915" s="547">
        <v>3427455.131</v>
      </c>
      <c r="I915" s="547">
        <v>3911193.596</v>
      </c>
      <c r="J915" s="548">
        <v>2931552.167</v>
      </c>
      <c r="K915" s="220"/>
      <c r="CE915" s="525"/>
    </row>
    <row r="916">
      <c r="A916" s="509"/>
      <c r="B916" s="889" t="s">
        <v>370</v>
      </c>
      <c r="C916" s="890" t="s">
        <v>289</v>
      </c>
      <c r="D916" s="890" t="s">
        <v>402</v>
      </c>
      <c r="E916" s="891">
        <v>2019.0</v>
      </c>
      <c r="F916" s="890" t="s">
        <v>291</v>
      </c>
      <c r="G916" s="890" t="s">
        <v>89</v>
      </c>
      <c r="H916" s="532">
        <v>4.193913177E7</v>
      </c>
      <c r="I916" s="532">
        <v>4.786057381E7</v>
      </c>
      <c r="J916" s="533">
        <v>3.587212106E7</v>
      </c>
      <c r="K916" s="220"/>
      <c r="CE916" s="525"/>
    </row>
    <row r="917">
      <c r="A917" s="509"/>
      <c r="B917" s="886" t="s">
        <v>370</v>
      </c>
      <c r="C917" s="887" t="s">
        <v>289</v>
      </c>
      <c r="D917" s="887" t="s">
        <v>407</v>
      </c>
      <c r="E917" s="888">
        <v>2019.0</v>
      </c>
      <c r="F917" s="887" t="s">
        <v>291</v>
      </c>
      <c r="G917" s="887" t="s">
        <v>89</v>
      </c>
      <c r="H917" s="547">
        <v>1.526869185E7</v>
      </c>
      <c r="I917" s="547">
        <v>1.74236591E7</v>
      </c>
      <c r="J917" s="548">
        <v>1.305953396E7</v>
      </c>
      <c r="K917" s="220"/>
      <c r="CE917" s="525"/>
    </row>
    <row r="918">
      <c r="A918" s="509"/>
      <c r="B918" s="889" t="s">
        <v>370</v>
      </c>
      <c r="C918" s="890" t="s">
        <v>289</v>
      </c>
      <c r="D918" s="890" t="s">
        <v>414</v>
      </c>
      <c r="E918" s="891">
        <v>2019.0</v>
      </c>
      <c r="F918" s="890" t="s">
        <v>291</v>
      </c>
      <c r="G918" s="890" t="s">
        <v>89</v>
      </c>
      <c r="H918" s="532">
        <v>2543108.835</v>
      </c>
      <c r="I918" s="532">
        <v>2902033.902</v>
      </c>
      <c r="J918" s="533">
        <v>2175157.932</v>
      </c>
      <c r="K918" s="220"/>
      <c r="CE918" s="525"/>
    </row>
    <row r="919">
      <c r="A919" s="509"/>
      <c r="B919" s="886" t="s">
        <v>370</v>
      </c>
      <c r="C919" s="887" t="s">
        <v>289</v>
      </c>
      <c r="D919" s="887" t="s">
        <v>417</v>
      </c>
      <c r="E919" s="888">
        <v>2019.0</v>
      </c>
      <c r="F919" s="887" t="s">
        <v>291</v>
      </c>
      <c r="G919" s="887" t="s">
        <v>89</v>
      </c>
      <c r="H919" s="547">
        <v>7132729.097</v>
      </c>
      <c r="I919" s="547">
        <v>8139416.359</v>
      </c>
      <c r="J919" s="548">
        <v>6100726.819</v>
      </c>
      <c r="K919" s="220"/>
      <c r="CE919" s="525"/>
    </row>
    <row r="920">
      <c r="A920" s="509"/>
      <c r="B920" s="889" t="s">
        <v>370</v>
      </c>
      <c r="C920" s="890" t="s">
        <v>289</v>
      </c>
      <c r="D920" s="890" t="s">
        <v>300</v>
      </c>
      <c r="E920" s="891">
        <v>2019.0</v>
      </c>
      <c r="F920" s="890" t="s">
        <v>291</v>
      </c>
      <c r="G920" s="890" t="s">
        <v>89</v>
      </c>
      <c r="H920" s="532">
        <v>2.93872956E7</v>
      </c>
      <c r="I920" s="532">
        <v>3.353491087E7</v>
      </c>
      <c r="J920" s="533">
        <v>2.513538085E7</v>
      </c>
      <c r="K920" s="220"/>
      <c r="CE920" s="525"/>
    </row>
    <row r="921">
      <c r="A921" s="509"/>
      <c r="B921" s="886" t="s">
        <v>370</v>
      </c>
      <c r="C921" s="887" t="s">
        <v>289</v>
      </c>
      <c r="D921" s="887" t="s">
        <v>429</v>
      </c>
      <c r="E921" s="888">
        <v>2019.0</v>
      </c>
      <c r="F921" s="887" t="s">
        <v>291</v>
      </c>
      <c r="G921" s="887" t="s">
        <v>89</v>
      </c>
      <c r="H921" s="547">
        <v>6478377.265</v>
      </c>
      <c r="I921" s="547">
        <v>7393068.006</v>
      </c>
      <c r="J921" s="548">
        <v>5541200.395</v>
      </c>
      <c r="K921" s="220"/>
      <c r="CE921" s="525"/>
    </row>
    <row r="922">
      <c r="A922" s="509"/>
      <c r="B922" s="889" t="s">
        <v>370</v>
      </c>
      <c r="C922" s="890" t="s">
        <v>289</v>
      </c>
      <c r="D922" s="890" t="s">
        <v>432</v>
      </c>
      <c r="E922" s="891">
        <v>2019.0</v>
      </c>
      <c r="F922" s="890" t="s">
        <v>291</v>
      </c>
      <c r="G922" s="890" t="s">
        <v>89</v>
      </c>
      <c r="H922" s="532">
        <v>1928936.666</v>
      </c>
      <c r="I922" s="532">
        <v>2201179.722</v>
      </c>
      <c r="J922" s="533">
        <v>1649847.553</v>
      </c>
      <c r="K922" s="220"/>
      <c r="CE922" s="525"/>
    </row>
    <row r="923">
      <c r="A923" s="509"/>
      <c r="B923" s="886" t="s">
        <v>370</v>
      </c>
      <c r="C923" s="887" t="s">
        <v>289</v>
      </c>
      <c r="D923" s="887" t="s">
        <v>435</v>
      </c>
      <c r="E923" s="888">
        <v>2019.0</v>
      </c>
      <c r="F923" s="887" t="s">
        <v>291</v>
      </c>
      <c r="G923" s="887" t="s">
        <v>89</v>
      </c>
      <c r="H923" s="547">
        <v>1504592.064</v>
      </c>
      <c r="I923" s="547">
        <v>1716944.678</v>
      </c>
      <c r="J923" s="548">
        <v>1286899.451</v>
      </c>
      <c r="K923" s="220"/>
      <c r="CE923" s="525"/>
    </row>
    <row r="924">
      <c r="A924" s="509"/>
      <c r="B924" s="889" t="s">
        <v>370</v>
      </c>
      <c r="C924" s="890" t="s">
        <v>289</v>
      </c>
      <c r="D924" s="890" t="s">
        <v>442</v>
      </c>
      <c r="E924" s="891">
        <v>2019.0</v>
      </c>
      <c r="F924" s="890" t="s">
        <v>291</v>
      </c>
      <c r="G924" s="890" t="s">
        <v>89</v>
      </c>
      <c r="H924" s="532">
        <v>1156091.532</v>
      </c>
      <c r="I924" s="532">
        <v>1319258.057</v>
      </c>
      <c r="J924" s="533">
        <v>988821.8829</v>
      </c>
      <c r="K924" s="220"/>
      <c r="CE924" s="525"/>
    </row>
    <row r="925">
      <c r="A925" s="509"/>
      <c r="B925" s="886" t="s">
        <v>370</v>
      </c>
      <c r="C925" s="887" t="s">
        <v>289</v>
      </c>
      <c r="D925" s="887" t="s">
        <v>445</v>
      </c>
      <c r="E925" s="888">
        <v>2019.0</v>
      </c>
      <c r="F925" s="887" t="s">
        <v>291</v>
      </c>
      <c r="G925" s="887" t="s">
        <v>89</v>
      </c>
      <c r="H925" s="547">
        <v>1987354.227</v>
      </c>
      <c r="I925" s="547">
        <v>2267951.425</v>
      </c>
      <c r="J925" s="548">
        <v>1699859.02</v>
      </c>
      <c r="K925" s="220"/>
      <c r="CE925" s="525"/>
    </row>
    <row r="926">
      <c r="A926" s="509"/>
      <c r="B926" s="889" t="s">
        <v>370</v>
      </c>
      <c r="C926" s="890" t="s">
        <v>289</v>
      </c>
      <c r="D926" s="890" t="s">
        <v>450</v>
      </c>
      <c r="E926" s="891">
        <v>2019.0</v>
      </c>
      <c r="F926" s="890" t="s">
        <v>291</v>
      </c>
      <c r="G926" s="890" t="s">
        <v>89</v>
      </c>
      <c r="H926" s="532">
        <v>831339.2406</v>
      </c>
      <c r="I926" s="532">
        <v>948671.4163</v>
      </c>
      <c r="J926" s="533">
        <v>711056.53</v>
      </c>
      <c r="K926" s="220"/>
      <c r="CE926" s="525"/>
    </row>
    <row r="927">
      <c r="A927" s="509"/>
      <c r="B927" s="886" t="s">
        <v>370</v>
      </c>
      <c r="C927" s="887" t="s">
        <v>289</v>
      </c>
      <c r="D927" s="887" t="s">
        <v>457</v>
      </c>
      <c r="E927" s="888">
        <v>2019.0</v>
      </c>
      <c r="F927" s="887" t="s">
        <v>291</v>
      </c>
      <c r="G927" s="887" t="s">
        <v>89</v>
      </c>
      <c r="H927" s="547">
        <v>1889006.527</v>
      </c>
      <c r="I927" s="547">
        <v>2155613.99</v>
      </c>
      <c r="J927" s="548">
        <v>1615694.726</v>
      </c>
      <c r="K927" s="220"/>
      <c r="CE927" s="525"/>
    </row>
    <row r="928">
      <c r="A928" s="509"/>
      <c r="B928" s="889" t="s">
        <v>370</v>
      </c>
      <c r="C928" s="890" t="s">
        <v>289</v>
      </c>
      <c r="D928" s="890" t="s">
        <v>463</v>
      </c>
      <c r="E928" s="891">
        <v>2019.0</v>
      </c>
      <c r="F928" s="890" t="s">
        <v>291</v>
      </c>
      <c r="G928" s="890" t="s">
        <v>89</v>
      </c>
      <c r="H928" s="532">
        <v>1057626.55</v>
      </c>
      <c r="I928" s="532">
        <v>1206954.256</v>
      </c>
      <c r="J928" s="533">
        <v>904627.875</v>
      </c>
      <c r="K928" s="220"/>
      <c r="CE928" s="525"/>
    </row>
    <row r="929">
      <c r="A929" s="509"/>
      <c r="B929" s="886" t="s">
        <v>370</v>
      </c>
      <c r="C929" s="887" t="s">
        <v>289</v>
      </c>
      <c r="D929" s="887" t="s">
        <v>467</v>
      </c>
      <c r="E929" s="888">
        <v>2019.0</v>
      </c>
      <c r="F929" s="887" t="s">
        <v>291</v>
      </c>
      <c r="G929" s="887" t="s">
        <v>89</v>
      </c>
      <c r="H929" s="547">
        <v>564882.6111</v>
      </c>
      <c r="I929" s="547">
        <v>644608.074</v>
      </c>
      <c r="J929" s="548">
        <v>483152.3037</v>
      </c>
      <c r="K929" s="220"/>
      <c r="CE929" s="525"/>
    </row>
    <row r="930">
      <c r="A930" s="509"/>
      <c r="B930" s="889" t="s">
        <v>370</v>
      </c>
      <c r="C930" s="890" t="s">
        <v>289</v>
      </c>
      <c r="D930" s="890" t="s">
        <v>473</v>
      </c>
      <c r="E930" s="891">
        <v>2019.0</v>
      </c>
      <c r="F930" s="890" t="s">
        <v>291</v>
      </c>
      <c r="G930" s="890" t="s">
        <v>89</v>
      </c>
      <c r="H930" s="532">
        <v>876741.2575</v>
      </c>
      <c r="I930" s="532">
        <v>1000529.527</v>
      </c>
      <c r="J930" s="533">
        <v>749909.8622</v>
      </c>
      <c r="K930" s="220"/>
      <c r="CE930" s="525"/>
    </row>
    <row r="931">
      <c r="A931" s="509"/>
      <c r="B931" s="886" t="s">
        <v>370</v>
      </c>
      <c r="C931" s="887" t="s">
        <v>289</v>
      </c>
      <c r="D931" s="887" t="s">
        <v>477</v>
      </c>
      <c r="E931" s="888">
        <v>2019.0</v>
      </c>
      <c r="F931" s="887" t="s">
        <v>291</v>
      </c>
      <c r="G931" s="887" t="s">
        <v>89</v>
      </c>
      <c r="H931" s="547">
        <v>492784.6755</v>
      </c>
      <c r="I931" s="547">
        <v>562334.4998</v>
      </c>
      <c r="J931" s="548">
        <v>421485.892</v>
      </c>
      <c r="K931" s="220"/>
      <c r="CE931" s="525"/>
    </row>
    <row r="932">
      <c r="A932" s="509"/>
      <c r="B932" s="889" t="s">
        <v>370</v>
      </c>
      <c r="C932" s="890" t="s">
        <v>289</v>
      </c>
      <c r="D932" s="890" t="s">
        <v>483</v>
      </c>
      <c r="E932" s="891">
        <v>2019.0</v>
      </c>
      <c r="F932" s="890" t="s">
        <v>291</v>
      </c>
      <c r="G932" s="890" t="s">
        <v>89</v>
      </c>
      <c r="H932" s="532">
        <v>311892.4154</v>
      </c>
      <c r="I932" s="532">
        <v>355911.7687</v>
      </c>
      <c r="J932" s="533">
        <v>266766.114</v>
      </c>
      <c r="K932" s="220"/>
      <c r="CE932" s="525"/>
    </row>
    <row r="933">
      <c r="A933" s="509"/>
      <c r="B933" s="886" t="s">
        <v>370</v>
      </c>
      <c r="C933" s="887" t="s">
        <v>289</v>
      </c>
      <c r="D933" s="887" t="s">
        <v>489</v>
      </c>
      <c r="E933" s="888">
        <v>2019.0</v>
      </c>
      <c r="F933" s="887" t="s">
        <v>291</v>
      </c>
      <c r="G933" s="887" t="s">
        <v>89</v>
      </c>
      <c r="H933" s="547">
        <v>180885.293</v>
      </c>
      <c r="I933" s="547">
        <v>206424.7291</v>
      </c>
      <c r="J933" s="548">
        <v>154718.0128</v>
      </c>
      <c r="K933" s="220"/>
      <c r="CE933" s="525"/>
    </row>
    <row r="934">
      <c r="A934" s="509"/>
      <c r="B934" s="889" t="s">
        <v>370</v>
      </c>
      <c r="C934" s="890" t="s">
        <v>289</v>
      </c>
      <c r="D934" s="890" t="s">
        <v>493</v>
      </c>
      <c r="E934" s="891">
        <v>2019.0</v>
      </c>
      <c r="F934" s="890" t="s">
        <v>291</v>
      </c>
      <c r="G934" s="890" t="s">
        <v>89</v>
      </c>
      <c r="H934" s="532">
        <v>131163.1102</v>
      </c>
      <c r="I934" s="532">
        <v>149674.9912</v>
      </c>
      <c r="J934" s="533">
        <v>112185.7137</v>
      </c>
      <c r="K934" s="220"/>
      <c r="CE934" s="525"/>
    </row>
    <row r="935">
      <c r="A935" s="509"/>
      <c r="B935" s="886" t="s">
        <v>370</v>
      </c>
      <c r="C935" s="887" t="s">
        <v>289</v>
      </c>
      <c r="D935" s="887" t="s">
        <v>496</v>
      </c>
      <c r="E935" s="888">
        <v>2019.0</v>
      </c>
      <c r="F935" s="887" t="s">
        <v>291</v>
      </c>
      <c r="G935" s="887" t="s">
        <v>89</v>
      </c>
      <c r="H935" s="547">
        <v>40716.88687</v>
      </c>
      <c r="I935" s="547">
        <v>46463.51917</v>
      </c>
      <c r="J935" s="548">
        <v>34825.74487</v>
      </c>
      <c r="K935" s="220"/>
      <c r="CE935" s="525"/>
    </row>
    <row r="936">
      <c r="A936" s="509"/>
      <c r="B936" s="889" t="s">
        <v>370</v>
      </c>
      <c r="C936" s="890" t="s">
        <v>289</v>
      </c>
      <c r="D936" s="890" t="s">
        <v>502</v>
      </c>
      <c r="E936" s="891">
        <v>2019.0</v>
      </c>
      <c r="F936" s="890" t="s">
        <v>291</v>
      </c>
      <c r="G936" s="890" t="s">
        <v>89</v>
      </c>
      <c r="H936" s="532">
        <v>9012.262932</v>
      </c>
      <c r="I936" s="532">
        <v>10284.22072</v>
      </c>
      <c r="J936" s="533">
        <v>7708.319413</v>
      </c>
      <c r="K936" s="220"/>
      <c r="CE936" s="525"/>
    </row>
    <row r="937">
      <c r="A937" s="509"/>
      <c r="B937" s="886" t="s">
        <v>370</v>
      </c>
      <c r="C937" s="887" t="s">
        <v>289</v>
      </c>
      <c r="D937" s="887" t="s">
        <v>332</v>
      </c>
      <c r="E937" s="888">
        <v>2019.0</v>
      </c>
      <c r="F937" s="887" t="s">
        <v>291</v>
      </c>
      <c r="G937" s="887" t="s">
        <v>89</v>
      </c>
      <c r="H937" s="547">
        <v>1.075911637E8</v>
      </c>
      <c r="I937" s="547">
        <v>1.227761865E8</v>
      </c>
      <c r="J937" s="548">
        <v>9.202428535E7</v>
      </c>
      <c r="K937" s="220"/>
      <c r="CE937" s="525"/>
    </row>
    <row r="938">
      <c r="A938" s="509"/>
      <c r="B938" s="889" t="s">
        <v>370</v>
      </c>
      <c r="C938" s="890" t="s">
        <v>289</v>
      </c>
      <c r="D938" s="890" t="s">
        <v>510</v>
      </c>
      <c r="E938" s="891">
        <v>2019.0</v>
      </c>
      <c r="F938" s="890" t="s">
        <v>291</v>
      </c>
      <c r="G938" s="890" t="s">
        <v>89</v>
      </c>
      <c r="H938" s="532">
        <v>3674574.358</v>
      </c>
      <c r="I938" s="532">
        <v>4002554.836</v>
      </c>
      <c r="J938" s="533">
        <v>3394849.39</v>
      </c>
      <c r="K938" s="220"/>
      <c r="CE938" s="525"/>
    </row>
    <row r="939">
      <c r="A939" s="509"/>
      <c r="B939" s="886" t="s">
        <v>370</v>
      </c>
      <c r="C939" s="887" t="s">
        <v>289</v>
      </c>
      <c r="D939" s="887" t="s">
        <v>512</v>
      </c>
      <c r="E939" s="888">
        <v>2019.0</v>
      </c>
      <c r="F939" s="887" t="s">
        <v>291</v>
      </c>
      <c r="G939" s="887" t="s">
        <v>89</v>
      </c>
      <c r="H939" s="547">
        <v>69511.3598</v>
      </c>
      <c r="I939" s="547">
        <v>79321.93855</v>
      </c>
      <c r="J939" s="548">
        <v>59454.07588</v>
      </c>
      <c r="K939" s="220"/>
      <c r="CE939" s="525"/>
    </row>
    <row r="940">
      <c r="A940" s="509"/>
      <c r="B940" s="889" t="s">
        <v>370</v>
      </c>
      <c r="C940" s="890" t="s">
        <v>289</v>
      </c>
      <c r="D940" s="890" t="s">
        <v>515</v>
      </c>
      <c r="E940" s="891">
        <v>2019.0</v>
      </c>
      <c r="F940" s="890" t="s">
        <v>291</v>
      </c>
      <c r="G940" s="890" t="s">
        <v>89</v>
      </c>
      <c r="H940" s="532">
        <v>205514.6841</v>
      </c>
      <c r="I940" s="532">
        <v>234520.274</v>
      </c>
      <c r="J940" s="533">
        <v>175779.695</v>
      </c>
      <c r="K940" s="220"/>
      <c r="CE940" s="525"/>
    </row>
    <row r="941">
      <c r="A941" s="509"/>
      <c r="B941" s="886" t="s">
        <v>370</v>
      </c>
      <c r="C941" s="887" t="s">
        <v>289</v>
      </c>
      <c r="D941" s="887" t="s">
        <v>518</v>
      </c>
      <c r="E941" s="888">
        <v>2019.0</v>
      </c>
      <c r="F941" s="887" t="s">
        <v>291</v>
      </c>
      <c r="G941" s="887" t="s">
        <v>89</v>
      </c>
      <c r="H941" s="547">
        <v>275026.0439</v>
      </c>
      <c r="I941" s="547">
        <v>313842.2125</v>
      </c>
      <c r="J941" s="548">
        <v>235233.7709</v>
      </c>
      <c r="K941" s="220"/>
      <c r="CE941" s="525"/>
    </row>
    <row r="942">
      <c r="A942" s="509"/>
      <c r="B942" s="889" t="s">
        <v>370</v>
      </c>
      <c r="C942" s="890" t="s">
        <v>289</v>
      </c>
      <c r="D942" s="890" t="s">
        <v>522</v>
      </c>
      <c r="E942" s="891">
        <v>2019.0</v>
      </c>
      <c r="F942" s="890" t="s">
        <v>291</v>
      </c>
      <c r="G942" s="890" t="s">
        <v>89</v>
      </c>
      <c r="H942" s="532">
        <v>3225032.446</v>
      </c>
      <c r="I942" s="532">
        <v>3680201.715</v>
      </c>
      <c r="J942" s="533">
        <v>2758417.104</v>
      </c>
      <c r="K942" s="220"/>
      <c r="CE942" s="525"/>
    </row>
    <row r="943">
      <c r="A943" s="509"/>
      <c r="B943" s="886" t="s">
        <v>370</v>
      </c>
      <c r="C943" s="887" t="s">
        <v>289</v>
      </c>
      <c r="D943" s="887" t="s">
        <v>302</v>
      </c>
      <c r="E943" s="888">
        <v>2019.0</v>
      </c>
      <c r="F943" s="887" t="s">
        <v>291</v>
      </c>
      <c r="G943" s="887" t="s">
        <v>89</v>
      </c>
      <c r="H943" s="547">
        <v>1.66796699E7</v>
      </c>
      <c r="I943" s="547">
        <v>1.903377742E7</v>
      </c>
      <c r="J943" s="548">
        <v>1.426636398E7</v>
      </c>
      <c r="K943" s="220"/>
      <c r="CE943" s="525"/>
    </row>
    <row r="944">
      <c r="A944" s="509"/>
      <c r="B944" s="889" t="s">
        <v>409</v>
      </c>
      <c r="C944" s="890" t="s">
        <v>289</v>
      </c>
      <c r="D944" s="890" t="s">
        <v>290</v>
      </c>
      <c r="E944" s="891">
        <v>2019.0</v>
      </c>
      <c r="F944" s="890" t="s">
        <v>291</v>
      </c>
      <c r="G944" s="890" t="s">
        <v>89</v>
      </c>
      <c r="H944" s="532">
        <v>41461.27775</v>
      </c>
      <c r="I944" s="532">
        <v>45943.78841</v>
      </c>
      <c r="J944" s="533">
        <v>37107.31574</v>
      </c>
      <c r="K944" s="220"/>
      <c r="CE944" s="525"/>
    </row>
    <row r="945">
      <c r="A945" s="509"/>
      <c r="B945" s="886" t="s">
        <v>409</v>
      </c>
      <c r="C945" s="887" t="s">
        <v>289</v>
      </c>
      <c r="D945" s="887" t="s">
        <v>310</v>
      </c>
      <c r="E945" s="888">
        <v>2019.0</v>
      </c>
      <c r="F945" s="887" t="s">
        <v>291</v>
      </c>
      <c r="G945" s="887" t="s">
        <v>89</v>
      </c>
      <c r="H945" s="547">
        <v>760145.3484</v>
      </c>
      <c r="I945" s="547">
        <v>842327.0808</v>
      </c>
      <c r="J945" s="548">
        <v>680320.4095</v>
      </c>
      <c r="K945" s="220"/>
      <c r="CE945" s="525"/>
    </row>
    <row r="946">
      <c r="A946" s="509"/>
      <c r="B946" s="889" t="s">
        <v>409</v>
      </c>
      <c r="C946" s="890" t="s">
        <v>289</v>
      </c>
      <c r="D946" s="890" t="s">
        <v>318</v>
      </c>
      <c r="E946" s="891">
        <v>2019.0</v>
      </c>
      <c r="F946" s="890" t="s">
        <v>291</v>
      </c>
      <c r="G946" s="890" t="s">
        <v>89</v>
      </c>
      <c r="H946" s="532">
        <v>582580.5652</v>
      </c>
      <c r="I946" s="532">
        <v>645565.2039</v>
      </c>
      <c r="J946" s="533">
        <v>521402.1891</v>
      </c>
      <c r="K946" s="220"/>
      <c r="CE946" s="525"/>
    </row>
    <row r="947">
      <c r="A947" s="509"/>
      <c r="B947" s="886" t="s">
        <v>409</v>
      </c>
      <c r="C947" s="887" t="s">
        <v>289</v>
      </c>
      <c r="D947" s="887" t="s">
        <v>309</v>
      </c>
      <c r="E947" s="888">
        <v>2019.0</v>
      </c>
      <c r="F947" s="887" t="s">
        <v>291</v>
      </c>
      <c r="G947" s="887" t="s">
        <v>89</v>
      </c>
      <c r="H947" s="547">
        <v>160561.4235</v>
      </c>
      <c r="I947" s="547">
        <v>177920.2299</v>
      </c>
      <c r="J947" s="548">
        <v>143700.43</v>
      </c>
      <c r="K947" s="220"/>
      <c r="CE947" s="525"/>
    </row>
    <row r="948">
      <c r="A948" s="509"/>
      <c r="B948" s="889" t="s">
        <v>409</v>
      </c>
      <c r="C948" s="890" t="s">
        <v>289</v>
      </c>
      <c r="D948" s="890" t="s">
        <v>334</v>
      </c>
      <c r="E948" s="891">
        <v>2019.0</v>
      </c>
      <c r="F948" s="890" t="s">
        <v>291</v>
      </c>
      <c r="G948" s="890" t="s">
        <v>89</v>
      </c>
      <c r="H948" s="532">
        <v>186803.9614</v>
      </c>
      <c r="I948" s="532">
        <v>206999.932</v>
      </c>
      <c r="J948" s="533">
        <v>167187.1672</v>
      </c>
      <c r="K948" s="220"/>
      <c r="CE948" s="525"/>
    </row>
    <row r="949">
      <c r="A949" s="509"/>
      <c r="B949" s="886" t="s">
        <v>409</v>
      </c>
      <c r="C949" s="887" t="s">
        <v>289</v>
      </c>
      <c r="D949" s="887" t="s">
        <v>339</v>
      </c>
      <c r="E949" s="888">
        <v>2019.0</v>
      </c>
      <c r="F949" s="887" t="s">
        <v>291</v>
      </c>
      <c r="G949" s="887" t="s">
        <v>89</v>
      </c>
      <c r="H949" s="547">
        <v>364368.7446</v>
      </c>
      <c r="I949" s="547">
        <v>403761.8089</v>
      </c>
      <c r="J949" s="548">
        <v>326105.3876</v>
      </c>
      <c r="K949" s="220"/>
      <c r="CE949" s="525"/>
    </row>
    <row r="950">
      <c r="A950" s="509"/>
      <c r="B950" s="889" t="s">
        <v>409</v>
      </c>
      <c r="C950" s="890" t="s">
        <v>289</v>
      </c>
      <c r="D950" s="890" t="s">
        <v>344</v>
      </c>
      <c r="E950" s="891">
        <v>2019.0</v>
      </c>
      <c r="F950" s="890" t="s">
        <v>291</v>
      </c>
      <c r="G950" s="890" t="s">
        <v>89</v>
      </c>
      <c r="H950" s="532">
        <v>531664.7686</v>
      </c>
      <c r="I950" s="532">
        <v>589144.7384</v>
      </c>
      <c r="J950" s="533">
        <v>475833.1993</v>
      </c>
      <c r="K950" s="220"/>
      <c r="CE950" s="525"/>
    </row>
    <row r="951">
      <c r="A951" s="509"/>
      <c r="B951" s="886" t="s">
        <v>409</v>
      </c>
      <c r="C951" s="887" t="s">
        <v>289</v>
      </c>
      <c r="D951" s="887" t="s">
        <v>349</v>
      </c>
      <c r="E951" s="888">
        <v>2019.0</v>
      </c>
      <c r="F951" s="887" t="s">
        <v>291</v>
      </c>
      <c r="G951" s="887" t="s">
        <v>89</v>
      </c>
      <c r="H951" s="547">
        <v>177564.7832</v>
      </c>
      <c r="I951" s="547">
        <v>196761.8769</v>
      </c>
      <c r="J951" s="548">
        <v>158918.2204</v>
      </c>
      <c r="K951" s="220"/>
      <c r="CE951" s="525"/>
    </row>
    <row r="952">
      <c r="A952" s="509"/>
      <c r="B952" s="889" t="s">
        <v>409</v>
      </c>
      <c r="C952" s="890" t="s">
        <v>289</v>
      </c>
      <c r="D952" s="890" t="s">
        <v>355</v>
      </c>
      <c r="E952" s="891">
        <v>2019.0</v>
      </c>
      <c r="F952" s="890" t="s">
        <v>291</v>
      </c>
      <c r="G952" s="890" t="s">
        <v>89</v>
      </c>
      <c r="H952" s="532">
        <v>744192.1761</v>
      </c>
      <c r="I952" s="532">
        <v>824557.197</v>
      </c>
      <c r="J952" s="533">
        <v>666065.3712</v>
      </c>
      <c r="K952" s="220"/>
      <c r="CE952" s="525"/>
    </row>
    <row r="953">
      <c r="A953" s="509"/>
      <c r="B953" s="886" t="s">
        <v>409</v>
      </c>
      <c r="C953" s="887" t="s">
        <v>289</v>
      </c>
      <c r="D953" s="887" t="s">
        <v>358</v>
      </c>
      <c r="E953" s="888">
        <v>2019.0</v>
      </c>
      <c r="F953" s="887" t="s">
        <v>291</v>
      </c>
      <c r="G953" s="887" t="s">
        <v>89</v>
      </c>
      <c r="H953" s="547">
        <v>923700.8907</v>
      </c>
      <c r="I953" s="547">
        <v>1023565.133</v>
      </c>
      <c r="J953" s="548">
        <v>826700.5376</v>
      </c>
      <c r="K953" s="220"/>
      <c r="CE953" s="525"/>
    </row>
    <row r="954">
      <c r="A954" s="509"/>
      <c r="B954" s="889" t="s">
        <v>409</v>
      </c>
      <c r="C954" s="890" t="s">
        <v>289</v>
      </c>
      <c r="D954" s="890" t="s">
        <v>362</v>
      </c>
      <c r="E954" s="891">
        <v>2019.0</v>
      </c>
      <c r="F954" s="890" t="s">
        <v>291</v>
      </c>
      <c r="G954" s="890" t="s">
        <v>89</v>
      </c>
      <c r="H954" s="532">
        <v>990034.9464</v>
      </c>
      <c r="I954" s="532">
        <v>1096948.432</v>
      </c>
      <c r="J954" s="533">
        <v>886099.0686</v>
      </c>
      <c r="K954" s="220"/>
      <c r="CE954" s="525"/>
    </row>
    <row r="955">
      <c r="A955" s="509"/>
      <c r="B955" s="886" t="s">
        <v>409</v>
      </c>
      <c r="C955" s="887" t="s">
        <v>289</v>
      </c>
      <c r="D955" s="887" t="s">
        <v>366</v>
      </c>
      <c r="E955" s="888">
        <v>2019.0</v>
      </c>
      <c r="F955" s="887" t="s">
        <v>291</v>
      </c>
      <c r="G955" s="887" t="s">
        <v>89</v>
      </c>
      <c r="H955" s="547">
        <v>167296.024</v>
      </c>
      <c r="I955" s="547">
        <v>185382.9295</v>
      </c>
      <c r="J955" s="548">
        <v>149727.8117</v>
      </c>
      <c r="K955" s="220"/>
      <c r="CE955" s="525"/>
    </row>
    <row r="956">
      <c r="A956" s="509"/>
      <c r="B956" s="889" t="s">
        <v>409</v>
      </c>
      <c r="C956" s="890" t="s">
        <v>289</v>
      </c>
      <c r="D956" s="890" t="s">
        <v>368</v>
      </c>
      <c r="E956" s="891">
        <v>2019.0</v>
      </c>
      <c r="F956" s="890" t="s">
        <v>291</v>
      </c>
      <c r="G956" s="890" t="s">
        <v>89</v>
      </c>
      <c r="H956" s="532">
        <v>822596.6669</v>
      </c>
      <c r="I956" s="532">
        <v>911530.21</v>
      </c>
      <c r="J956" s="533">
        <v>736213.5444</v>
      </c>
      <c r="K956" s="220"/>
      <c r="CE956" s="525"/>
    </row>
    <row r="957">
      <c r="A957" s="509"/>
      <c r="B957" s="886" t="s">
        <v>409</v>
      </c>
      <c r="C957" s="887" t="s">
        <v>289</v>
      </c>
      <c r="D957" s="887" t="s">
        <v>373</v>
      </c>
      <c r="E957" s="888">
        <v>2019.0</v>
      </c>
      <c r="F957" s="887" t="s">
        <v>291</v>
      </c>
      <c r="G957" s="887" t="s">
        <v>89</v>
      </c>
      <c r="H957" s="547">
        <v>153082.8784</v>
      </c>
      <c r="I957" s="547">
        <v>169633.1555</v>
      </c>
      <c r="J957" s="548">
        <v>137007.2273</v>
      </c>
      <c r="K957" s="220"/>
      <c r="CE957" s="525"/>
    </row>
    <row r="958">
      <c r="A958" s="509"/>
      <c r="B958" s="889" t="s">
        <v>409</v>
      </c>
      <c r="C958" s="890" t="s">
        <v>289</v>
      </c>
      <c r="D958" s="890" t="s">
        <v>379</v>
      </c>
      <c r="E958" s="891">
        <v>2019.0</v>
      </c>
      <c r="F958" s="890" t="s">
        <v>291</v>
      </c>
      <c r="G958" s="890" t="s">
        <v>89</v>
      </c>
      <c r="H958" s="532">
        <v>578923.2674</v>
      </c>
      <c r="I958" s="532">
        <v>641440.9638</v>
      </c>
      <c r="J958" s="533">
        <v>518146.728</v>
      </c>
      <c r="K958" s="220"/>
      <c r="CE958" s="525"/>
    </row>
    <row r="959">
      <c r="A959" s="509"/>
      <c r="B959" s="886" t="s">
        <v>409</v>
      </c>
      <c r="C959" s="887" t="s">
        <v>289</v>
      </c>
      <c r="D959" s="887" t="s">
        <v>382</v>
      </c>
      <c r="E959" s="888">
        <v>2019.0</v>
      </c>
      <c r="F959" s="887" t="s">
        <v>291</v>
      </c>
      <c r="G959" s="887" t="s">
        <v>89</v>
      </c>
      <c r="H959" s="547">
        <v>132277.2367</v>
      </c>
      <c r="I959" s="547">
        <v>146578.1497</v>
      </c>
      <c r="J959" s="548">
        <v>118386.4428</v>
      </c>
      <c r="K959" s="220"/>
      <c r="CE959" s="525"/>
    </row>
    <row r="960">
      <c r="A960" s="509"/>
      <c r="B960" s="889" t="s">
        <v>409</v>
      </c>
      <c r="C960" s="890" t="s">
        <v>289</v>
      </c>
      <c r="D960" s="890" t="s">
        <v>387</v>
      </c>
      <c r="E960" s="891">
        <v>2019.0</v>
      </c>
      <c r="F960" s="890" t="s">
        <v>291</v>
      </c>
      <c r="G960" s="890" t="s">
        <v>89</v>
      </c>
      <c r="H960" s="532">
        <v>113864.3227</v>
      </c>
      <c r="I960" s="532">
        <v>126174.557</v>
      </c>
      <c r="J960" s="533">
        <v>101907.1192</v>
      </c>
      <c r="K960" s="220"/>
      <c r="CE960" s="525"/>
    </row>
    <row r="961">
      <c r="A961" s="509"/>
      <c r="B961" s="886" t="s">
        <v>409</v>
      </c>
      <c r="C961" s="887" t="s">
        <v>289</v>
      </c>
      <c r="D961" s="887" t="s">
        <v>392</v>
      </c>
      <c r="E961" s="888">
        <v>2019.0</v>
      </c>
      <c r="F961" s="887" t="s">
        <v>291</v>
      </c>
      <c r="G961" s="887" t="s">
        <v>89</v>
      </c>
      <c r="H961" s="547">
        <v>96643.6193</v>
      </c>
      <c r="I961" s="547">
        <v>107092.0685</v>
      </c>
      <c r="J961" s="548">
        <v>86494.80891</v>
      </c>
      <c r="K961" s="220"/>
      <c r="CE961" s="525"/>
    </row>
    <row r="962">
      <c r="A962" s="509"/>
      <c r="B962" s="889" t="s">
        <v>409</v>
      </c>
      <c r="C962" s="890" t="s">
        <v>289</v>
      </c>
      <c r="D962" s="890" t="s">
        <v>398</v>
      </c>
      <c r="E962" s="891">
        <v>2019.0</v>
      </c>
      <c r="F962" s="890" t="s">
        <v>291</v>
      </c>
      <c r="G962" s="890" t="s">
        <v>89</v>
      </c>
      <c r="H962" s="532">
        <v>82972.02632</v>
      </c>
      <c r="I962" s="532">
        <v>91942.39609</v>
      </c>
      <c r="J962" s="533">
        <v>74258.90724</v>
      </c>
      <c r="K962" s="220"/>
      <c r="CE962" s="525"/>
    </row>
    <row r="963">
      <c r="A963" s="509"/>
      <c r="B963" s="886" t="s">
        <v>409</v>
      </c>
      <c r="C963" s="887" t="s">
        <v>289</v>
      </c>
      <c r="D963" s="887" t="s">
        <v>402</v>
      </c>
      <c r="E963" s="888">
        <v>2019.0</v>
      </c>
      <c r="F963" s="887" t="s">
        <v>291</v>
      </c>
      <c r="G963" s="887" t="s">
        <v>89</v>
      </c>
      <c r="H963" s="547">
        <v>558202.8538</v>
      </c>
      <c r="I963" s="547">
        <v>618482.9608</v>
      </c>
      <c r="J963" s="548">
        <v>499601.5854</v>
      </c>
      <c r="K963" s="220"/>
      <c r="CE963" s="525"/>
    </row>
    <row r="964">
      <c r="A964" s="509"/>
      <c r="B964" s="889" t="s">
        <v>409</v>
      </c>
      <c r="C964" s="890" t="s">
        <v>289</v>
      </c>
      <c r="D964" s="890" t="s">
        <v>407</v>
      </c>
      <c r="E964" s="891">
        <v>2019.0</v>
      </c>
      <c r="F964" s="890" t="s">
        <v>291</v>
      </c>
      <c r="G964" s="890" t="s">
        <v>89</v>
      </c>
      <c r="H964" s="532">
        <v>193753.9026</v>
      </c>
      <c r="I964" s="532">
        <v>214701.2535</v>
      </c>
      <c r="J964" s="533">
        <v>173407.2761</v>
      </c>
      <c r="K964" s="220"/>
      <c r="CE964" s="525"/>
    </row>
    <row r="965">
      <c r="A965" s="509"/>
      <c r="B965" s="886" t="s">
        <v>409</v>
      </c>
      <c r="C965" s="887" t="s">
        <v>289</v>
      </c>
      <c r="D965" s="887" t="s">
        <v>414</v>
      </c>
      <c r="E965" s="888">
        <v>2019.0</v>
      </c>
      <c r="F965" s="887" t="s">
        <v>291</v>
      </c>
      <c r="G965" s="887" t="s">
        <v>89</v>
      </c>
      <c r="H965" s="547">
        <v>69715.34852</v>
      </c>
      <c r="I965" s="547">
        <v>77252.49668</v>
      </c>
      <c r="J965" s="548">
        <v>62394.34938</v>
      </c>
      <c r="K965" s="220"/>
      <c r="CE965" s="525"/>
    </row>
    <row r="966">
      <c r="A966" s="509"/>
      <c r="B966" s="889" t="s">
        <v>409</v>
      </c>
      <c r="C966" s="890" t="s">
        <v>289</v>
      </c>
      <c r="D966" s="890" t="s">
        <v>417</v>
      </c>
      <c r="E966" s="891">
        <v>2019.0</v>
      </c>
      <c r="F966" s="890" t="s">
        <v>291</v>
      </c>
      <c r="G966" s="890" t="s">
        <v>89</v>
      </c>
      <c r="H966" s="532">
        <v>200815.5433</v>
      </c>
      <c r="I966" s="532">
        <v>222526.3507</v>
      </c>
      <c r="J966" s="533">
        <v>179727.3547</v>
      </c>
      <c r="K966" s="220"/>
      <c r="CE966" s="525"/>
    </row>
    <row r="967">
      <c r="A967" s="509"/>
      <c r="B967" s="886" t="s">
        <v>409</v>
      </c>
      <c r="C967" s="887" t="s">
        <v>289</v>
      </c>
      <c r="D967" s="887" t="s">
        <v>300</v>
      </c>
      <c r="E967" s="888">
        <v>2019.0</v>
      </c>
      <c r="F967" s="887" t="s">
        <v>291</v>
      </c>
      <c r="G967" s="887" t="s">
        <v>89</v>
      </c>
      <c r="H967" s="547">
        <v>380557.864</v>
      </c>
      <c r="I967" s="547">
        <v>421701.1855</v>
      </c>
      <c r="J967" s="548">
        <v>340594.4434</v>
      </c>
      <c r="K967" s="220"/>
      <c r="CE967" s="525"/>
    </row>
    <row r="968">
      <c r="A968" s="509"/>
      <c r="B968" s="889" t="s">
        <v>409</v>
      </c>
      <c r="C968" s="890" t="s">
        <v>289</v>
      </c>
      <c r="D968" s="890" t="s">
        <v>429</v>
      </c>
      <c r="E968" s="891">
        <v>2019.0</v>
      </c>
      <c r="F968" s="890" t="s">
        <v>291</v>
      </c>
      <c r="G968" s="890" t="s">
        <v>89</v>
      </c>
      <c r="H968" s="532">
        <v>174066.246</v>
      </c>
      <c r="I968" s="532">
        <v>192863.5915</v>
      </c>
      <c r="J968" s="533">
        <v>155792.4182</v>
      </c>
      <c r="K968" s="220"/>
      <c r="CE968" s="525"/>
    </row>
    <row r="969">
      <c r="A969" s="509"/>
      <c r="B969" s="886" t="s">
        <v>409</v>
      </c>
      <c r="C969" s="887" t="s">
        <v>289</v>
      </c>
      <c r="D969" s="887" t="s">
        <v>432</v>
      </c>
      <c r="E969" s="888">
        <v>2019.0</v>
      </c>
      <c r="F969" s="887" t="s">
        <v>291</v>
      </c>
      <c r="G969" s="887" t="s">
        <v>89</v>
      </c>
      <c r="H969" s="547">
        <v>57196.74575</v>
      </c>
      <c r="I969" s="547">
        <v>63380.46793</v>
      </c>
      <c r="J969" s="548">
        <v>51190.35928</v>
      </c>
      <c r="K969" s="220"/>
      <c r="CE969" s="525"/>
    </row>
    <row r="970">
      <c r="A970" s="509"/>
      <c r="B970" s="889" t="s">
        <v>409</v>
      </c>
      <c r="C970" s="890" t="s">
        <v>289</v>
      </c>
      <c r="D970" s="890" t="s">
        <v>435</v>
      </c>
      <c r="E970" s="891">
        <v>2019.0</v>
      </c>
      <c r="F970" s="890" t="s">
        <v>291</v>
      </c>
      <c r="G970" s="890" t="s">
        <v>89</v>
      </c>
      <c r="H970" s="532">
        <v>42647.13708</v>
      </c>
      <c r="I970" s="532">
        <v>47257.85477</v>
      </c>
      <c r="J970" s="533">
        <v>38168.64475</v>
      </c>
      <c r="K970" s="220"/>
      <c r="CE970" s="525"/>
    </row>
    <row r="971">
      <c r="A971" s="509"/>
      <c r="B971" s="886" t="s">
        <v>409</v>
      </c>
      <c r="C971" s="887" t="s">
        <v>289</v>
      </c>
      <c r="D971" s="887" t="s">
        <v>442</v>
      </c>
      <c r="E971" s="888">
        <v>2019.0</v>
      </c>
      <c r="F971" s="887" t="s">
        <v>291</v>
      </c>
      <c r="G971" s="887" t="s">
        <v>89</v>
      </c>
      <c r="H971" s="547">
        <v>31256.31199</v>
      </c>
      <c r="I971" s="547">
        <v>34635.53133</v>
      </c>
      <c r="J971" s="548">
        <v>27974.0013</v>
      </c>
      <c r="K971" s="220"/>
      <c r="CE971" s="525"/>
    </row>
    <row r="972">
      <c r="A972" s="509"/>
      <c r="B972" s="889" t="s">
        <v>409</v>
      </c>
      <c r="C972" s="890" t="s">
        <v>289</v>
      </c>
      <c r="D972" s="890" t="s">
        <v>445</v>
      </c>
      <c r="E972" s="891">
        <v>2019.0</v>
      </c>
      <c r="F972" s="890" t="s">
        <v>291</v>
      </c>
      <c r="G972" s="890" t="s">
        <v>89</v>
      </c>
      <c r="H972" s="532">
        <v>48779.78219</v>
      </c>
      <c r="I972" s="532">
        <v>54047.49172</v>
      </c>
      <c r="J972" s="533">
        <v>43658.78167</v>
      </c>
      <c r="K972" s="220"/>
      <c r="CE972" s="525"/>
    </row>
    <row r="973">
      <c r="A973" s="509"/>
      <c r="B973" s="886" t="s">
        <v>409</v>
      </c>
      <c r="C973" s="887" t="s">
        <v>289</v>
      </c>
      <c r="D973" s="887" t="s">
        <v>450</v>
      </c>
      <c r="E973" s="888">
        <v>2019.0</v>
      </c>
      <c r="F973" s="887" t="s">
        <v>291</v>
      </c>
      <c r="G973" s="887" t="s">
        <v>89</v>
      </c>
      <c r="H973" s="547">
        <v>17516.46117</v>
      </c>
      <c r="I973" s="547">
        <v>19410.22153</v>
      </c>
      <c r="J973" s="548">
        <v>15677.00975</v>
      </c>
      <c r="K973" s="220"/>
      <c r="CE973" s="525"/>
    </row>
    <row r="974">
      <c r="A974" s="509"/>
      <c r="B974" s="889" t="s">
        <v>409</v>
      </c>
      <c r="C974" s="890" t="s">
        <v>289</v>
      </c>
      <c r="D974" s="890" t="s">
        <v>457</v>
      </c>
      <c r="E974" s="891">
        <v>2019.0</v>
      </c>
      <c r="F974" s="890" t="s">
        <v>291</v>
      </c>
      <c r="G974" s="890" t="s">
        <v>89</v>
      </c>
      <c r="H974" s="532">
        <v>42941.04006</v>
      </c>
      <c r="I974" s="532">
        <v>47583.53253</v>
      </c>
      <c r="J974" s="533">
        <v>38431.68417</v>
      </c>
      <c r="K974" s="220"/>
      <c r="CE974" s="525"/>
    </row>
    <row r="975">
      <c r="A975" s="509"/>
      <c r="B975" s="886" t="s">
        <v>409</v>
      </c>
      <c r="C975" s="887" t="s">
        <v>289</v>
      </c>
      <c r="D975" s="887" t="s">
        <v>463</v>
      </c>
      <c r="E975" s="888">
        <v>2019.0</v>
      </c>
      <c r="F975" s="887" t="s">
        <v>291</v>
      </c>
      <c r="G975" s="887" t="s">
        <v>89</v>
      </c>
      <c r="H975" s="547">
        <v>25428.2326</v>
      </c>
      <c r="I975" s="547">
        <v>28174.21745</v>
      </c>
      <c r="J975" s="548">
        <v>22758.72514</v>
      </c>
      <c r="K975" s="220"/>
      <c r="CE975" s="525"/>
    </row>
    <row r="976">
      <c r="A976" s="509"/>
      <c r="B976" s="889" t="s">
        <v>409</v>
      </c>
      <c r="C976" s="890" t="s">
        <v>289</v>
      </c>
      <c r="D976" s="890" t="s">
        <v>467</v>
      </c>
      <c r="E976" s="891">
        <v>2019.0</v>
      </c>
      <c r="F976" s="890" t="s">
        <v>291</v>
      </c>
      <c r="G976" s="890" t="s">
        <v>89</v>
      </c>
      <c r="H976" s="532">
        <v>12712.43916</v>
      </c>
      <c r="I976" s="532">
        <v>14086.82141</v>
      </c>
      <c r="J976" s="533">
        <v>11377.47121</v>
      </c>
      <c r="K976" s="220"/>
      <c r="CE976" s="525"/>
    </row>
    <row r="977">
      <c r="A977" s="509"/>
      <c r="B977" s="886" t="s">
        <v>409</v>
      </c>
      <c r="C977" s="887" t="s">
        <v>289</v>
      </c>
      <c r="D977" s="887" t="s">
        <v>473</v>
      </c>
      <c r="E977" s="888">
        <v>2019.0</v>
      </c>
      <c r="F977" s="887" t="s">
        <v>291</v>
      </c>
      <c r="G977" s="887" t="s">
        <v>89</v>
      </c>
      <c r="H977" s="547">
        <v>20533.51313</v>
      </c>
      <c r="I977" s="547">
        <v>22750.91915</v>
      </c>
      <c r="J977" s="548">
        <v>18377.86325</v>
      </c>
      <c r="K977" s="220"/>
      <c r="CE977" s="525"/>
    </row>
    <row r="978">
      <c r="A978" s="509"/>
      <c r="B978" s="889" t="s">
        <v>409</v>
      </c>
      <c r="C978" s="890" t="s">
        <v>289</v>
      </c>
      <c r="D978" s="890" t="s">
        <v>477</v>
      </c>
      <c r="E978" s="891">
        <v>2019.0</v>
      </c>
      <c r="F978" s="890" t="s">
        <v>291</v>
      </c>
      <c r="G978" s="890" t="s">
        <v>89</v>
      </c>
      <c r="H978" s="532">
        <v>12712.13972</v>
      </c>
      <c r="I978" s="532">
        <v>14086.4896</v>
      </c>
      <c r="J978" s="533">
        <v>11377.20322</v>
      </c>
      <c r="K978" s="220"/>
      <c r="CE978" s="525"/>
    </row>
    <row r="979">
      <c r="A979" s="509"/>
      <c r="B979" s="886" t="s">
        <v>409</v>
      </c>
      <c r="C979" s="887" t="s">
        <v>289</v>
      </c>
      <c r="D979" s="887" t="s">
        <v>483</v>
      </c>
      <c r="E979" s="888">
        <v>2019.0</v>
      </c>
      <c r="F979" s="887" t="s">
        <v>291</v>
      </c>
      <c r="G979" s="887" t="s">
        <v>89</v>
      </c>
      <c r="H979" s="547">
        <v>7818.123563</v>
      </c>
      <c r="I979" s="547">
        <v>8663.365778</v>
      </c>
      <c r="J979" s="548">
        <v>6997.121057</v>
      </c>
      <c r="K979" s="220"/>
      <c r="CE979" s="525"/>
    </row>
    <row r="980">
      <c r="A980" s="509"/>
      <c r="B980" s="889" t="s">
        <v>409</v>
      </c>
      <c r="C980" s="890" t="s">
        <v>289</v>
      </c>
      <c r="D980" s="890" t="s">
        <v>489</v>
      </c>
      <c r="E980" s="891">
        <v>2019.0</v>
      </c>
      <c r="F980" s="890" t="s">
        <v>291</v>
      </c>
      <c r="G980" s="890" t="s">
        <v>89</v>
      </c>
      <c r="H980" s="532">
        <v>4894.719471</v>
      </c>
      <c r="I980" s="532">
        <v>5423.298304</v>
      </c>
      <c r="J980" s="533">
        <v>4380.861887</v>
      </c>
      <c r="K980" s="220"/>
      <c r="CE980" s="525"/>
    </row>
    <row r="981">
      <c r="A981" s="509"/>
      <c r="B981" s="886" t="s">
        <v>409</v>
      </c>
      <c r="C981" s="887" t="s">
        <v>289</v>
      </c>
      <c r="D981" s="887" t="s">
        <v>493</v>
      </c>
      <c r="E981" s="888">
        <v>2019.0</v>
      </c>
      <c r="F981" s="887" t="s">
        <v>291</v>
      </c>
      <c r="G981" s="887" t="s">
        <v>89</v>
      </c>
      <c r="H981" s="547">
        <v>3555.442418</v>
      </c>
      <c r="I981" s="547">
        <v>3939.83261</v>
      </c>
      <c r="J981" s="548">
        <v>3182.0757</v>
      </c>
      <c r="K981" s="220"/>
      <c r="CE981" s="525"/>
    </row>
    <row r="982">
      <c r="A982" s="509"/>
      <c r="B982" s="889" t="s">
        <v>409</v>
      </c>
      <c r="C982" s="890" t="s">
        <v>289</v>
      </c>
      <c r="D982" s="890" t="s">
        <v>496</v>
      </c>
      <c r="E982" s="891">
        <v>2019.0</v>
      </c>
      <c r="F982" s="890" t="s">
        <v>291</v>
      </c>
      <c r="G982" s="890" t="s">
        <v>89</v>
      </c>
      <c r="H982" s="532">
        <v>1081.085322</v>
      </c>
      <c r="I982" s="532">
        <v>1197.964896</v>
      </c>
      <c r="J982" s="533">
        <v>967.5576</v>
      </c>
      <c r="K982" s="220"/>
      <c r="CE982" s="525"/>
    </row>
    <row r="983">
      <c r="A983" s="509"/>
      <c r="B983" s="886" t="s">
        <v>409</v>
      </c>
      <c r="C983" s="887" t="s">
        <v>289</v>
      </c>
      <c r="D983" s="887" t="s">
        <v>502</v>
      </c>
      <c r="E983" s="888">
        <v>2019.0</v>
      </c>
      <c r="F983" s="887" t="s">
        <v>291</v>
      </c>
      <c r="G983" s="887" t="s">
        <v>89</v>
      </c>
      <c r="H983" s="547">
        <v>257.4884219</v>
      </c>
      <c r="I983" s="547">
        <v>285.3263146</v>
      </c>
      <c r="J983" s="548">
        <v>230.4488596</v>
      </c>
      <c r="K983" s="220"/>
      <c r="CE983" s="525"/>
    </row>
    <row r="984">
      <c r="A984" s="509"/>
      <c r="B984" s="889" t="s">
        <v>409</v>
      </c>
      <c r="C984" s="890" t="s">
        <v>289</v>
      </c>
      <c r="D984" s="890" t="s">
        <v>332</v>
      </c>
      <c r="E984" s="891">
        <v>2019.0</v>
      </c>
      <c r="F984" s="890" t="s">
        <v>291</v>
      </c>
      <c r="G984" s="890" t="s">
        <v>89</v>
      </c>
      <c r="H984" s="532">
        <v>1750038.039</v>
      </c>
      <c r="I984" s="532">
        <v>1939240.22</v>
      </c>
      <c r="J984" s="533">
        <v>1566261.766</v>
      </c>
      <c r="K984" s="220"/>
      <c r="CE984" s="525"/>
    </row>
    <row r="985">
      <c r="A985" s="509"/>
      <c r="B985" s="886" t="s">
        <v>409</v>
      </c>
      <c r="C985" s="887" t="s">
        <v>289</v>
      </c>
      <c r="D985" s="887" t="s">
        <v>510</v>
      </c>
      <c r="E985" s="888">
        <v>2019.0</v>
      </c>
      <c r="F985" s="887" t="s">
        <v>291</v>
      </c>
      <c r="G985" s="887" t="s">
        <v>89</v>
      </c>
      <c r="H985" s="547">
        <v>42889.42363</v>
      </c>
      <c r="I985" s="547">
        <v>50118.88245</v>
      </c>
      <c r="J985" s="548">
        <v>36850.80862</v>
      </c>
      <c r="K985" s="220"/>
      <c r="CE985" s="525"/>
    </row>
    <row r="986">
      <c r="A986" s="509"/>
      <c r="B986" s="889" t="s">
        <v>409</v>
      </c>
      <c r="C986" s="890" t="s">
        <v>289</v>
      </c>
      <c r="D986" s="890" t="s">
        <v>512</v>
      </c>
      <c r="E986" s="891">
        <v>2019.0</v>
      </c>
      <c r="F986" s="890" t="s">
        <v>291</v>
      </c>
      <c r="G986" s="890" t="s">
        <v>89</v>
      </c>
      <c r="H986" s="532">
        <v>810.552737</v>
      </c>
      <c r="I986" s="532">
        <v>898.1841726</v>
      </c>
      <c r="J986" s="533">
        <v>725.4343805</v>
      </c>
      <c r="K986" s="220"/>
      <c r="CE986" s="525"/>
    </row>
    <row r="987">
      <c r="A987" s="509"/>
      <c r="B987" s="886" t="s">
        <v>409</v>
      </c>
      <c r="C987" s="887" t="s">
        <v>289</v>
      </c>
      <c r="D987" s="887" t="s">
        <v>515</v>
      </c>
      <c r="E987" s="888">
        <v>2019.0</v>
      </c>
      <c r="F987" s="887" t="s">
        <v>291</v>
      </c>
      <c r="G987" s="887" t="s">
        <v>89</v>
      </c>
      <c r="H987" s="547">
        <v>2411.005729</v>
      </c>
      <c r="I987" s="547">
        <v>2671.66723</v>
      </c>
      <c r="J987" s="548">
        <v>2157.819433</v>
      </c>
      <c r="K987" s="220"/>
      <c r="CE987" s="525"/>
    </row>
    <row r="988">
      <c r="A988" s="509"/>
      <c r="B988" s="889" t="s">
        <v>409</v>
      </c>
      <c r="C988" s="890" t="s">
        <v>289</v>
      </c>
      <c r="D988" s="890" t="s">
        <v>518</v>
      </c>
      <c r="E988" s="891">
        <v>2019.0</v>
      </c>
      <c r="F988" s="890" t="s">
        <v>291</v>
      </c>
      <c r="G988" s="890" t="s">
        <v>89</v>
      </c>
      <c r="H988" s="532">
        <v>3221.558466</v>
      </c>
      <c r="I988" s="532">
        <v>3569.851402</v>
      </c>
      <c r="J988" s="533">
        <v>2883.253813</v>
      </c>
      <c r="K988" s="220"/>
      <c r="CE988" s="525"/>
    </row>
    <row r="989">
      <c r="A989" s="509"/>
      <c r="B989" s="886" t="s">
        <v>409</v>
      </c>
      <c r="C989" s="887" t="s">
        <v>289</v>
      </c>
      <c r="D989" s="887" t="s">
        <v>522</v>
      </c>
      <c r="E989" s="888">
        <v>2019.0</v>
      </c>
      <c r="F989" s="887" t="s">
        <v>291</v>
      </c>
      <c r="G989" s="887" t="s">
        <v>89</v>
      </c>
      <c r="H989" s="547">
        <v>38239.71928</v>
      </c>
      <c r="I989" s="547">
        <v>42373.93701</v>
      </c>
      <c r="J989" s="548">
        <v>34224.06193</v>
      </c>
      <c r="K989" s="220"/>
      <c r="CE989" s="525"/>
    </row>
    <row r="990">
      <c r="A990" s="509"/>
      <c r="B990" s="889" t="s">
        <v>409</v>
      </c>
      <c r="C990" s="890" t="s">
        <v>289</v>
      </c>
      <c r="D990" s="890" t="s">
        <v>302</v>
      </c>
      <c r="E990" s="891">
        <v>2019.0</v>
      </c>
      <c r="F990" s="890" t="s">
        <v>291</v>
      </c>
      <c r="G990" s="890" t="s">
        <v>89</v>
      </c>
      <c r="H990" s="532">
        <v>202022.7013</v>
      </c>
      <c r="I990" s="532">
        <v>223864.0183</v>
      </c>
      <c r="J990" s="533">
        <v>180807.7457</v>
      </c>
      <c r="K990" s="220"/>
      <c r="CE990" s="525"/>
    </row>
    <row r="991">
      <c r="A991" s="509"/>
      <c r="B991" s="886" t="s">
        <v>293</v>
      </c>
      <c r="C991" s="887" t="s">
        <v>289</v>
      </c>
      <c r="D991" s="887" t="s">
        <v>290</v>
      </c>
      <c r="E991" s="888">
        <v>2019.0</v>
      </c>
      <c r="F991" s="887" t="s">
        <v>291</v>
      </c>
      <c r="G991" s="887" t="s">
        <v>89</v>
      </c>
      <c r="H991" s="547">
        <v>68758.83397</v>
      </c>
      <c r="I991" s="547">
        <v>75811.79414</v>
      </c>
      <c r="J991" s="548">
        <v>62088.7061</v>
      </c>
      <c r="K991" s="220"/>
      <c r="CE991" s="525"/>
    </row>
    <row r="992">
      <c r="A992" s="509"/>
      <c r="B992" s="889" t="s">
        <v>293</v>
      </c>
      <c r="C992" s="890" t="s">
        <v>289</v>
      </c>
      <c r="D992" s="890" t="s">
        <v>310</v>
      </c>
      <c r="E992" s="891">
        <v>2019.0</v>
      </c>
      <c r="F992" s="890" t="s">
        <v>291</v>
      </c>
      <c r="G992" s="890" t="s">
        <v>89</v>
      </c>
      <c r="H992" s="532">
        <v>1183960.307</v>
      </c>
      <c r="I992" s="532">
        <v>1305405.427</v>
      </c>
      <c r="J992" s="533">
        <v>1069107.186</v>
      </c>
      <c r="K992" s="220"/>
      <c r="CE992" s="525"/>
    </row>
    <row r="993">
      <c r="A993" s="509"/>
      <c r="B993" s="886" t="s">
        <v>293</v>
      </c>
      <c r="C993" s="887" t="s">
        <v>289</v>
      </c>
      <c r="D993" s="887" t="s">
        <v>318</v>
      </c>
      <c r="E993" s="888">
        <v>2019.0</v>
      </c>
      <c r="F993" s="887" t="s">
        <v>291</v>
      </c>
      <c r="G993" s="887" t="s">
        <v>89</v>
      </c>
      <c r="H993" s="547">
        <v>924884.2933</v>
      </c>
      <c r="I993" s="547">
        <v>1019754.606</v>
      </c>
      <c r="J993" s="548">
        <v>835163.5092</v>
      </c>
      <c r="K993" s="220"/>
      <c r="CE993" s="525"/>
    </row>
    <row r="994">
      <c r="A994" s="509"/>
      <c r="B994" s="889" t="s">
        <v>293</v>
      </c>
      <c r="C994" s="890" t="s">
        <v>289</v>
      </c>
      <c r="D994" s="890" t="s">
        <v>309</v>
      </c>
      <c r="E994" s="891">
        <v>2019.0</v>
      </c>
      <c r="F994" s="890" t="s">
        <v>291</v>
      </c>
      <c r="G994" s="890" t="s">
        <v>89</v>
      </c>
      <c r="H994" s="532">
        <v>260835.1012</v>
      </c>
      <c r="I994" s="532">
        <v>287590.3481</v>
      </c>
      <c r="J994" s="533">
        <v>235532.1201</v>
      </c>
      <c r="K994" s="220"/>
      <c r="CE994" s="525"/>
    </row>
    <row r="995">
      <c r="A995" s="509"/>
      <c r="B995" s="886" t="s">
        <v>293</v>
      </c>
      <c r="C995" s="887" t="s">
        <v>289</v>
      </c>
      <c r="D995" s="887" t="s">
        <v>334</v>
      </c>
      <c r="E995" s="888">
        <v>2019.0</v>
      </c>
      <c r="F995" s="887" t="s">
        <v>291</v>
      </c>
      <c r="G995" s="887" t="s">
        <v>89</v>
      </c>
      <c r="H995" s="547">
        <v>288446.8546</v>
      </c>
      <c r="I995" s="547">
        <v>318034.3862</v>
      </c>
      <c r="J995" s="548">
        <v>260465.3242</v>
      </c>
      <c r="K995" s="220"/>
      <c r="CE995" s="525"/>
    </row>
    <row r="996">
      <c r="A996" s="509"/>
      <c r="B996" s="889" t="s">
        <v>293</v>
      </c>
      <c r="C996" s="890" t="s">
        <v>289</v>
      </c>
      <c r="D996" s="890" t="s">
        <v>339</v>
      </c>
      <c r="E996" s="891">
        <v>2019.0</v>
      </c>
      <c r="F996" s="890" t="s">
        <v>291</v>
      </c>
      <c r="G996" s="890" t="s">
        <v>89</v>
      </c>
      <c r="H996" s="532">
        <v>547522.8681</v>
      </c>
      <c r="I996" s="532">
        <v>603685.2077</v>
      </c>
      <c r="J996" s="533">
        <v>494409.0015</v>
      </c>
      <c r="K996" s="220"/>
      <c r="CE996" s="525"/>
    </row>
    <row r="997">
      <c r="A997" s="509"/>
      <c r="B997" s="886" t="s">
        <v>293</v>
      </c>
      <c r="C997" s="887" t="s">
        <v>289</v>
      </c>
      <c r="D997" s="887" t="s">
        <v>344</v>
      </c>
      <c r="E997" s="888">
        <v>2019.0</v>
      </c>
      <c r="F997" s="887" t="s">
        <v>291</v>
      </c>
      <c r="G997" s="887" t="s">
        <v>89</v>
      </c>
      <c r="H997" s="547">
        <v>766832.2667</v>
      </c>
      <c r="I997" s="547">
        <v>845490.3405</v>
      </c>
      <c r="J997" s="548">
        <v>692443.7267</v>
      </c>
      <c r="K997" s="220"/>
      <c r="CE997" s="525"/>
    </row>
    <row r="998">
      <c r="A998" s="509"/>
      <c r="B998" s="889" t="s">
        <v>293</v>
      </c>
      <c r="C998" s="890" t="s">
        <v>289</v>
      </c>
      <c r="D998" s="890" t="s">
        <v>349</v>
      </c>
      <c r="E998" s="891">
        <v>2019.0</v>
      </c>
      <c r="F998" s="890" t="s">
        <v>291</v>
      </c>
      <c r="G998" s="890" t="s">
        <v>89</v>
      </c>
      <c r="H998" s="532">
        <v>259076.0135</v>
      </c>
      <c r="I998" s="532">
        <v>285650.8214</v>
      </c>
      <c r="J998" s="533">
        <v>233943.6773</v>
      </c>
      <c r="K998" s="220"/>
      <c r="CE998" s="525"/>
    </row>
    <row r="999">
      <c r="A999" s="509"/>
      <c r="B999" s="886" t="s">
        <v>293</v>
      </c>
      <c r="C999" s="887" t="s">
        <v>289</v>
      </c>
      <c r="D999" s="887" t="s">
        <v>355</v>
      </c>
      <c r="E999" s="888">
        <v>2019.0</v>
      </c>
      <c r="F999" s="887" t="s">
        <v>291</v>
      </c>
      <c r="G999" s="887" t="s">
        <v>89</v>
      </c>
      <c r="H999" s="547">
        <v>941883.4111</v>
      </c>
      <c r="I999" s="547">
        <v>1038638.805</v>
      </c>
      <c r="J999" s="548">
        <v>850555.5594</v>
      </c>
      <c r="K999" s="220"/>
      <c r="CE999" s="525"/>
    </row>
    <row r="1000">
      <c r="A1000" s="509"/>
      <c r="B1000" s="889" t="s">
        <v>293</v>
      </c>
      <c r="C1000" s="890" t="s">
        <v>289</v>
      </c>
      <c r="D1000" s="890" t="s">
        <v>358</v>
      </c>
      <c r="E1000" s="891">
        <v>2019.0</v>
      </c>
      <c r="F1000" s="890" t="s">
        <v>291</v>
      </c>
      <c r="G1000" s="890" t="s">
        <v>89</v>
      </c>
      <c r="H1000" s="532">
        <v>1114391.562</v>
      </c>
      <c r="I1000" s="532">
        <v>1228700.646</v>
      </c>
      <c r="J1000" s="533">
        <v>1006287.137</v>
      </c>
      <c r="K1000" s="220"/>
      <c r="CE1000" s="525"/>
    </row>
    <row r="1001">
      <c r="A1001" s="509"/>
      <c r="B1001" s="886" t="s">
        <v>293</v>
      </c>
      <c r="C1001" s="887" t="s">
        <v>289</v>
      </c>
      <c r="D1001" s="887" t="s">
        <v>362</v>
      </c>
      <c r="E1001" s="888">
        <v>2019.0</v>
      </c>
      <c r="F1001" s="887" t="s">
        <v>291</v>
      </c>
      <c r="G1001" s="887" t="s">
        <v>89</v>
      </c>
      <c r="H1001" s="547">
        <v>1061824.365</v>
      </c>
      <c r="I1001" s="547">
        <v>1170900.746</v>
      </c>
      <c r="J1001" s="548">
        <v>958866.677</v>
      </c>
      <c r="K1001" s="220"/>
      <c r="CE1001" s="525"/>
    </row>
    <row r="1002">
      <c r="A1002" s="509"/>
      <c r="B1002" s="889" t="s">
        <v>293</v>
      </c>
      <c r="C1002" s="890" t="s">
        <v>289</v>
      </c>
      <c r="D1002" s="890" t="s">
        <v>366</v>
      </c>
      <c r="E1002" s="891">
        <v>2019.0</v>
      </c>
      <c r="F1002" s="890" t="s">
        <v>291</v>
      </c>
      <c r="G1002" s="890" t="s">
        <v>89</v>
      </c>
      <c r="H1002" s="532">
        <v>219309.3986</v>
      </c>
      <c r="I1002" s="532">
        <v>241805.1328</v>
      </c>
      <c r="J1002" s="533">
        <v>198034.7253</v>
      </c>
      <c r="K1002" s="220"/>
      <c r="CE1002" s="525"/>
    </row>
    <row r="1003">
      <c r="A1003" s="509"/>
      <c r="B1003" s="886" t="s">
        <v>293</v>
      </c>
      <c r="C1003" s="887" t="s">
        <v>289</v>
      </c>
      <c r="D1003" s="887" t="s">
        <v>368</v>
      </c>
      <c r="E1003" s="888">
        <v>2019.0</v>
      </c>
      <c r="F1003" s="887" t="s">
        <v>291</v>
      </c>
      <c r="G1003" s="887" t="s">
        <v>89</v>
      </c>
      <c r="H1003" s="547">
        <v>842596.0016</v>
      </c>
      <c r="I1003" s="547">
        <v>929025.5656</v>
      </c>
      <c r="J1003" s="548">
        <v>760857.8053</v>
      </c>
      <c r="K1003" s="220"/>
      <c r="CE1003" s="525"/>
    </row>
    <row r="1004">
      <c r="A1004" s="509"/>
      <c r="B1004" s="889" t="s">
        <v>293</v>
      </c>
      <c r="C1004" s="890" t="s">
        <v>289</v>
      </c>
      <c r="D1004" s="890" t="s">
        <v>373</v>
      </c>
      <c r="E1004" s="891">
        <v>2019.0</v>
      </c>
      <c r="F1004" s="890" t="s">
        <v>291</v>
      </c>
      <c r="G1004" s="890" t="s">
        <v>89</v>
      </c>
      <c r="H1004" s="532">
        <v>184566.5259</v>
      </c>
      <c r="I1004" s="532">
        <v>203498.4985</v>
      </c>
      <c r="J1004" s="533">
        <v>166662.1745</v>
      </c>
      <c r="K1004" s="220"/>
      <c r="CE1004" s="525"/>
    </row>
    <row r="1005">
      <c r="A1005" s="509"/>
      <c r="B1005" s="886" t="s">
        <v>293</v>
      </c>
      <c r="C1005" s="887" t="s">
        <v>289</v>
      </c>
      <c r="D1005" s="887" t="s">
        <v>379</v>
      </c>
      <c r="E1005" s="888">
        <v>2019.0</v>
      </c>
      <c r="F1005" s="887" t="s">
        <v>291</v>
      </c>
      <c r="G1005" s="887" t="s">
        <v>89</v>
      </c>
      <c r="H1005" s="547">
        <v>635957.6155</v>
      </c>
      <c r="I1005" s="547">
        <v>701286.6452</v>
      </c>
      <c r="J1005" s="548">
        <v>574293.2502</v>
      </c>
      <c r="K1005" s="220"/>
      <c r="CE1005" s="525"/>
    </row>
    <row r="1006">
      <c r="A1006" s="509"/>
      <c r="B1006" s="889" t="s">
        <v>293</v>
      </c>
      <c r="C1006" s="890" t="s">
        <v>289</v>
      </c>
      <c r="D1006" s="890" t="s">
        <v>382</v>
      </c>
      <c r="E1006" s="891">
        <v>2019.0</v>
      </c>
      <c r="F1006" s="890" t="s">
        <v>291</v>
      </c>
      <c r="G1006" s="890" t="s">
        <v>89</v>
      </c>
      <c r="H1006" s="532">
        <v>153455.666</v>
      </c>
      <c r="I1006" s="532">
        <v>169196.4318</v>
      </c>
      <c r="J1006" s="533">
        <v>138569.3037</v>
      </c>
      <c r="K1006" s="220"/>
      <c r="CE1006" s="525"/>
    </row>
    <row r="1007">
      <c r="A1007" s="509"/>
      <c r="B1007" s="886" t="s">
        <v>293</v>
      </c>
      <c r="C1007" s="887" t="s">
        <v>289</v>
      </c>
      <c r="D1007" s="887" t="s">
        <v>387</v>
      </c>
      <c r="E1007" s="888">
        <v>2019.0</v>
      </c>
      <c r="F1007" s="887" t="s">
        <v>291</v>
      </c>
      <c r="G1007" s="887" t="s">
        <v>89</v>
      </c>
      <c r="H1007" s="547">
        <v>125547.689</v>
      </c>
      <c r="I1007" s="547">
        <v>138425.7848</v>
      </c>
      <c r="J1007" s="548">
        <v>113368.6119</v>
      </c>
      <c r="K1007" s="220"/>
      <c r="CE1007" s="525"/>
    </row>
    <row r="1008">
      <c r="A1008" s="509"/>
      <c r="B1008" s="889" t="s">
        <v>293</v>
      </c>
      <c r="C1008" s="890" t="s">
        <v>289</v>
      </c>
      <c r="D1008" s="890" t="s">
        <v>392</v>
      </c>
      <c r="E1008" s="891">
        <v>2019.0</v>
      </c>
      <c r="F1008" s="890" t="s">
        <v>291</v>
      </c>
      <c r="G1008" s="890" t="s">
        <v>89</v>
      </c>
      <c r="H1008" s="532">
        <v>98745.98778</v>
      </c>
      <c r="I1008" s="532">
        <v>108874.8902</v>
      </c>
      <c r="J1008" s="533">
        <v>89166.8788</v>
      </c>
      <c r="K1008" s="220"/>
      <c r="CE1008" s="525"/>
    </row>
    <row r="1009">
      <c r="A1009" s="509"/>
      <c r="B1009" s="886" t="s">
        <v>293</v>
      </c>
      <c r="C1009" s="887" t="s">
        <v>289</v>
      </c>
      <c r="D1009" s="887" t="s">
        <v>398</v>
      </c>
      <c r="E1009" s="888">
        <v>2019.0</v>
      </c>
      <c r="F1009" s="887" t="s">
        <v>291</v>
      </c>
      <c r="G1009" s="887" t="s">
        <v>89</v>
      </c>
      <c r="H1009" s="547">
        <v>73690.2813</v>
      </c>
      <c r="I1009" s="547">
        <v>81249.08631</v>
      </c>
      <c r="J1009" s="548">
        <v>66541.76568</v>
      </c>
      <c r="K1009" s="220"/>
      <c r="CE1009" s="525"/>
    </row>
    <row r="1010">
      <c r="A1010" s="509"/>
      <c r="B1010" s="889" t="s">
        <v>293</v>
      </c>
      <c r="C1010" s="890" t="s">
        <v>289</v>
      </c>
      <c r="D1010" s="890" t="s">
        <v>402</v>
      </c>
      <c r="E1010" s="891">
        <v>2019.0</v>
      </c>
      <c r="F1010" s="890" t="s">
        <v>291</v>
      </c>
      <c r="G1010" s="890" t="s">
        <v>89</v>
      </c>
      <c r="H1010" s="532">
        <v>854301.1737</v>
      </c>
      <c r="I1010" s="532">
        <v>942059.6429</v>
      </c>
      <c r="J1010" s="533">
        <v>771465.5596</v>
      </c>
      <c r="K1010" s="220"/>
      <c r="CE1010" s="525"/>
    </row>
    <row r="1011">
      <c r="A1011" s="509"/>
      <c r="B1011" s="886" t="s">
        <v>293</v>
      </c>
      <c r="C1011" s="887" t="s">
        <v>289</v>
      </c>
      <c r="D1011" s="887" t="s">
        <v>407</v>
      </c>
      <c r="E1011" s="888">
        <v>2019.0</v>
      </c>
      <c r="F1011" s="887" t="s">
        <v>291</v>
      </c>
      <c r="G1011" s="887" t="s">
        <v>89</v>
      </c>
      <c r="H1011" s="547">
        <v>306843.5036</v>
      </c>
      <c r="I1011" s="547">
        <v>338318.0776</v>
      </c>
      <c r="J1011" s="548">
        <v>277077.3589</v>
      </c>
      <c r="K1011" s="220"/>
      <c r="CE1011" s="525"/>
    </row>
    <row r="1012">
      <c r="A1012" s="509"/>
      <c r="B1012" s="889" t="s">
        <v>293</v>
      </c>
      <c r="C1012" s="890" t="s">
        <v>289</v>
      </c>
      <c r="D1012" s="890" t="s">
        <v>414</v>
      </c>
      <c r="E1012" s="891">
        <v>2019.0</v>
      </c>
      <c r="F1012" s="890" t="s">
        <v>291</v>
      </c>
      <c r="G1012" s="890" t="s">
        <v>89</v>
      </c>
      <c r="H1012" s="532">
        <v>56396.50835</v>
      </c>
      <c r="I1012" s="532">
        <v>62181.39887</v>
      </c>
      <c r="J1012" s="533">
        <v>50925.61973</v>
      </c>
      <c r="K1012" s="220"/>
      <c r="CE1012" s="525"/>
    </row>
    <row r="1013">
      <c r="A1013" s="509"/>
      <c r="B1013" s="886" t="s">
        <v>293</v>
      </c>
      <c r="C1013" s="887" t="s">
        <v>289</v>
      </c>
      <c r="D1013" s="887" t="s">
        <v>417</v>
      </c>
      <c r="E1013" s="888">
        <v>2019.0</v>
      </c>
      <c r="F1013" s="887" t="s">
        <v>291</v>
      </c>
      <c r="G1013" s="887" t="s">
        <v>89</v>
      </c>
      <c r="H1013" s="547">
        <v>159994.0817</v>
      </c>
      <c r="I1013" s="547">
        <v>176405.5277</v>
      </c>
      <c r="J1013" s="548">
        <v>144473.4436</v>
      </c>
      <c r="K1013" s="220"/>
      <c r="CE1013" s="525"/>
    </row>
    <row r="1014">
      <c r="A1014" s="509"/>
      <c r="B1014" s="889" t="s">
        <v>293</v>
      </c>
      <c r="C1014" s="890" t="s">
        <v>289</v>
      </c>
      <c r="D1014" s="890" t="s">
        <v>300</v>
      </c>
      <c r="E1014" s="891">
        <v>2019.0</v>
      </c>
      <c r="F1014" s="890" t="s">
        <v>291</v>
      </c>
      <c r="G1014" s="890" t="s">
        <v>89</v>
      </c>
      <c r="H1014" s="532">
        <v>595290.3582</v>
      </c>
      <c r="I1014" s="532">
        <v>656352.4639</v>
      </c>
      <c r="J1014" s="533">
        <v>537542.6831</v>
      </c>
      <c r="K1014" s="220"/>
      <c r="CE1014" s="525"/>
    </row>
    <row r="1015">
      <c r="A1015" s="509"/>
      <c r="B1015" s="886" t="s">
        <v>293</v>
      </c>
      <c r="C1015" s="887" t="s">
        <v>289</v>
      </c>
      <c r="D1015" s="887" t="s">
        <v>429</v>
      </c>
      <c r="E1015" s="888">
        <v>2019.0</v>
      </c>
      <c r="F1015" s="887" t="s">
        <v>291</v>
      </c>
      <c r="G1015" s="887" t="s">
        <v>89</v>
      </c>
      <c r="H1015" s="547">
        <v>150181.8818</v>
      </c>
      <c r="I1015" s="547">
        <v>165609.3826</v>
      </c>
      <c r="J1015" s="548">
        <v>135619.7943</v>
      </c>
      <c r="K1015" s="220"/>
      <c r="CE1015" s="525"/>
    </row>
    <row r="1016">
      <c r="A1016" s="509"/>
      <c r="B1016" s="889" t="s">
        <v>293</v>
      </c>
      <c r="C1016" s="890" t="s">
        <v>289</v>
      </c>
      <c r="D1016" s="890" t="s">
        <v>432</v>
      </c>
      <c r="E1016" s="891">
        <v>2019.0</v>
      </c>
      <c r="F1016" s="890" t="s">
        <v>291</v>
      </c>
      <c r="G1016" s="890" t="s">
        <v>89</v>
      </c>
      <c r="H1016" s="532">
        <v>43140.1043</v>
      </c>
      <c r="I1016" s="532">
        <v>47565.21479</v>
      </c>
      <c r="J1016" s="533">
        <v>38955.18732</v>
      </c>
      <c r="K1016" s="220"/>
      <c r="CE1016" s="525"/>
    </row>
    <row r="1017">
      <c r="A1017" s="509"/>
      <c r="B1017" s="886" t="s">
        <v>293</v>
      </c>
      <c r="C1017" s="887" t="s">
        <v>289</v>
      </c>
      <c r="D1017" s="887" t="s">
        <v>435</v>
      </c>
      <c r="E1017" s="888">
        <v>2019.0</v>
      </c>
      <c r="F1017" s="887" t="s">
        <v>291</v>
      </c>
      <c r="G1017" s="887" t="s">
        <v>89</v>
      </c>
      <c r="H1017" s="547">
        <v>34501.68156</v>
      </c>
      <c r="I1017" s="547">
        <v>38040.70298</v>
      </c>
      <c r="J1017" s="548">
        <v>31154.75704</v>
      </c>
      <c r="K1017" s="220"/>
      <c r="CE1017" s="525"/>
    </row>
    <row r="1018">
      <c r="A1018" s="509"/>
      <c r="B1018" s="889" t="s">
        <v>293</v>
      </c>
      <c r="C1018" s="890" t="s">
        <v>289</v>
      </c>
      <c r="D1018" s="890" t="s">
        <v>442</v>
      </c>
      <c r="E1018" s="891">
        <v>2019.0</v>
      </c>
      <c r="F1018" s="890" t="s">
        <v>291</v>
      </c>
      <c r="G1018" s="890" t="s">
        <v>89</v>
      </c>
      <c r="H1018" s="532">
        <v>25955.78754</v>
      </c>
      <c r="I1018" s="532">
        <v>28618.21104</v>
      </c>
      <c r="J1018" s="533">
        <v>23437.87948</v>
      </c>
      <c r="K1018" s="220"/>
      <c r="CE1018" s="525"/>
    </row>
    <row r="1019">
      <c r="A1019" s="509"/>
      <c r="B1019" s="886" t="s">
        <v>293</v>
      </c>
      <c r="C1019" s="887" t="s">
        <v>289</v>
      </c>
      <c r="D1019" s="887" t="s">
        <v>445</v>
      </c>
      <c r="E1019" s="888">
        <v>2019.0</v>
      </c>
      <c r="F1019" s="887" t="s">
        <v>291</v>
      </c>
      <c r="G1019" s="887" t="s">
        <v>89</v>
      </c>
      <c r="H1019" s="547">
        <v>44638.97902</v>
      </c>
      <c r="I1019" s="547">
        <v>49224.53805</v>
      </c>
      <c r="J1019" s="548">
        <v>40310.6492</v>
      </c>
      <c r="K1019" s="220"/>
      <c r="CE1019" s="525"/>
    </row>
    <row r="1020">
      <c r="A1020" s="509"/>
      <c r="B1020" s="889" t="s">
        <v>293</v>
      </c>
      <c r="C1020" s="890" t="s">
        <v>289</v>
      </c>
      <c r="D1020" s="890" t="s">
        <v>450</v>
      </c>
      <c r="E1020" s="891">
        <v>2019.0</v>
      </c>
      <c r="F1020" s="890" t="s">
        <v>291</v>
      </c>
      <c r="G1020" s="890" t="s">
        <v>89</v>
      </c>
      <c r="H1020" s="532">
        <v>18686.59821</v>
      </c>
      <c r="I1020" s="532">
        <v>20603.38221</v>
      </c>
      <c r="J1020" s="533">
        <v>16873.8566</v>
      </c>
      <c r="K1020" s="220"/>
      <c r="CE1020" s="525"/>
    </row>
    <row r="1021">
      <c r="A1021" s="509"/>
      <c r="B1021" s="886" t="s">
        <v>293</v>
      </c>
      <c r="C1021" s="887" t="s">
        <v>289</v>
      </c>
      <c r="D1021" s="887" t="s">
        <v>457</v>
      </c>
      <c r="E1021" s="888">
        <v>2019.0</v>
      </c>
      <c r="F1021" s="887" t="s">
        <v>291</v>
      </c>
      <c r="G1021" s="887" t="s">
        <v>89</v>
      </c>
      <c r="H1021" s="547">
        <v>46595.76986</v>
      </c>
      <c r="I1021" s="547">
        <v>51375.34639</v>
      </c>
      <c r="J1021" s="548">
        <v>42075.62714</v>
      </c>
      <c r="K1021" s="220"/>
      <c r="CE1021" s="525"/>
    </row>
    <row r="1022">
      <c r="A1022" s="509"/>
      <c r="B1022" s="889" t="s">
        <v>293</v>
      </c>
      <c r="C1022" s="890" t="s">
        <v>289</v>
      </c>
      <c r="D1022" s="890" t="s">
        <v>463</v>
      </c>
      <c r="E1022" s="891">
        <v>2019.0</v>
      </c>
      <c r="F1022" s="890" t="s">
        <v>291</v>
      </c>
      <c r="G1022" s="890" t="s">
        <v>89</v>
      </c>
      <c r="H1022" s="532">
        <v>27907.04186</v>
      </c>
      <c r="I1022" s="532">
        <v>30773.80519</v>
      </c>
      <c r="J1022" s="533">
        <v>25201.09106</v>
      </c>
      <c r="K1022" s="220"/>
      <c r="CE1022" s="525"/>
    </row>
    <row r="1023">
      <c r="A1023" s="509"/>
      <c r="B1023" s="886" t="s">
        <v>293</v>
      </c>
      <c r="C1023" s="887" t="s">
        <v>289</v>
      </c>
      <c r="D1023" s="887" t="s">
        <v>467</v>
      </c>
      <c r="E1023" s="888">
        <v>2019.0</v>
      </c>
      <c r="F1023" s="887" t="s">
        <v>291</v>
      </c>
      <c r="G1023" s="887" t="s">
        <v>89</v>
      </c>
      <c r="H1023" s="547">
        <v>14554.49554</v>
      </c>
      <c r="I1023" s="547">
        <v>16047.42774</v>
      </c>
      <c r="J1023" s="548">
        <v>13142.5992</v>
      </c>
      <c r="K1023" s="220"/>
      <c r="CE1023" s="525"/>
    </row>
    <row r="1024">
      <c r="A1024" s="509"/>
      <c r="B1024" s="889" t="s">
        <v>293</v>
      </c>
      <c r="C1024" s="890" t="s">
        <v>289</v>
      </c>
      <c r="D1024" s="890" t="s">
        <v>473</v>
      </c>
      <c r="E1024" s="891">
        <v>2019.0</v>
      </c>
      <c r="F1024" s="890" t="s">
        <v>291</v>
      </c>
      <c r="G1024" s="890" t="s">
        <v>89</v>
      </c>
      <c r="H1024" s="532">
        <v>23393.38624</v>
      </c>
      <c r="I1024" s="532">
        <v>25796.48228</v>
      </c>
      <c r="J1024" s="533">
        <v>21125.09308</v>
      </c>
      <c r="K1024" s="220"/>
      <c r="CE1024" s="525"/>
    </row>
    <row r="1025">
      <c r="A1025" s="509"/>
      <c r="B1025" s="886" t="s">
        <v>293</v>
      </c>
      <c r="C1025" s="887" t="s">
        <v>289</v>
      </c>
      <c r="D1025" s="887" t="s">
        <v>477</v>
      </c>
      <c r="E1025" s="888">
        <v>2019.0</v>
      </c>
      <c r="F1025" s="887" t="s">
        <v>291</v>
      </c>
      <c r="G1025" s="887" t="s">
        <v>89</v>
      </c>
      <c r="H1025" s="547">
        <v>13354.67611</v>
      </c>
      <c r="I1025" s="547">
        <v>14724.53644</v>
      </c>
      <c r="J1025" s="548">
        <v>12059.17135</v>
      </c>
      <c r="K1025" s="220"/>
      <c r="CE1025" s="525"/>
    </row>
    <row r="1026">
      <c r="A1026" s="509"/>
      <c r="B1026" s="889" t="s">
        <v>293</v>
      </c>
      <c r="C1026" s="890" t="s">
        <v>289</v>
      </c>
      <c r="D1026" s="890" t="s">
        <v>483</v>
      </c>
      <c r="E1026" s="891">
        <v>2019.0</v>
      </c>
      <c r="F1026" s="890" t="s">
        <v>291</v>
      </c>
      <c r="G1026" s="890" t="s">
        <v>89</v>
      </c>
      <c r="H1026" s="532">
        <v>8840.676023</v>
      </c>
      <c r="I1026" s="532">
        <v>9747.511295</v>
      </c>
      <c r="J1026" s="533">
        <v>7983.063466</v>
      </c>
      <c r="K1026" s="220"/>
      <c r="CE1026" s="525"/>
    </row>
    <row r="1027">
      <c r="A1027" s="509"/>
      <c r="B1027" s="886" t="s">
        <v>293</v>
      </c>
      <c r="C1027" s="887" t="s">
        <v>289</v>
      </c>
      <c r="D1027" s="887" t="s">
        <v>489</v>
      </c>
      <c r="E1027" s="888">
        <v>2019.0</v>
      </c>
      <c r="F1027" s="887" t="s">
        <v>291</v>
      </c>
      <c r="G1027" s="887" t="s">
        <v>89</v>
      </c>
      <c r="H1027" s="547">
        <v>4513.65562</v>
      </c>
      <c r="I1027" s="547">
        <v>4977.322907</v>
      </c>
      <c r="J1027" s="548">
        <v>4075.99798</v>
      </c>
      <c r="K1027" s="220"/>
      <c r="CE1027" s="525"/>
    </row>
    <row r="1028">
      <c r="A1028" s="509"/>
      <c r="B1028" s="889" t="s">
        <v>293</v>
      </c>
      <c r="C1028" s="890" t="s">
        <v>289</v>
      </c>
      <c r="D1028" s="890" t="s">
        <v>493</v>
      </c>
      <c r="E1028" s="891">
        <v>2019.0</v>
      </c>
      <c r="F1028" s="890" t="s">
        <v>291</v>
      </c>
      <c r="G1028" s="890" t="s">
        <v>89</v>
      </c>
      <c r="H1028" s="532">
        <v>3435.543936</v>
      </c>
      <c r="I1028" s="532">
        <v>3787.945994</v>
      </c>
      <c r="J1028" s="533">
        <v>3102.270144</v>
      </c>
      <c r="K1028" s="220"/>
      <c r="CE1028" s="525"/>
    </row>
    <row r="1029">
      <c r="A1029" s="509"/>
      <c r="B1029" s="886" t="s">
        <v>293</v>
      </c>
      <c r="C1029" s="887" t="s">
        <v>289</v>
      </c>
      <c r="D1029" s="887" t="s">
        <v>496</v>
      </c>
      <c r="E1029" s="888">
        <v>2019.0</v>
      </c>
      <c r="F1029" s="887" t="s">
        <v>291</v>
      </c>
      <c r="G1029" s="887" t="s">
        <v>89</v>
      </c>
      <c r="H1029" s="547">
        <v>890.4600144</v>
      </c>
      <c r="I1029" s="547">
        <v>981.7992453</v>
      </c>
      <c r="J1029" s="548">
        <v>804.0786462</v>
      </c>
      <c r="K1029" s="220"/>
      <c r="CE1029" s="525"/>
    </row>
    <row r="1030">
      <c r="A1030" s="509"/>
      <c r="B1030" s="889" t="s">
        <v>293</v>
      </c>
      <c r="C1030" s="890" t="s">
        <v>289</v>
      </c>
      <c r="D1030" s="890" t="s">
        <v>502</v>
      </c>
      <c r="E1030" s="891">
        <v>2019.0</v>
      </c>
      <c r="F1030" s="890" t="s">
        <v>291</v>
      </c>
      <c r="G1030" s="890" t="s">
        <v>89</v>
      </c>
      <c r="H1030" s="532">
        <v>187.9961388</v>
      </c>
      <c r="I1030" s="532">
        <v>207.279905</v>
      </c>
      <c r="J1030" s="533">
        <v>169.7590889</v>
      </c>
      <c r="K1030" s="220"/>
      <c r="CE1030" s="525"/>
    </row>
    <row r="1031">
      <c r="A1031" s="509"/>
      <c r="B1031" s="886" t="s">
        <v>293</v>
      </c>
      <c r="C1031" s="887" t="s">
        <v>289</v>
      </c>
      <c r="D1031" s="887" t="s">
        <v>332</v>
      </c>
      <c r="E1031" s="888">
        <v>2019.0</v>
      </c>
      <c r="F1031" s="887" t="s">
        <v>291</v>
      </c>
      <c r="G1031" s="887" t="s">
        <v>89</v>
      </c>
      <c r="H1031" s="547">
        <v>2245865.707</v>
      </c>
      <c r="I1031" s="547">
        <v>2476236.126</v>
      </c>
      <c r="J1031" s="548">
        <v>2027999.717</v>
      </c>
      <c r="K1031" s="220"/>
      <c r="CE1031" s="525"/>
    </row>
    <row r="1032">
      <c r="A1032" s="509"/>
      <c r="B1032" s="889" t="s">
        <v>293</v>
      </c>
      <c r="C1032" s="890" t="s">
        <v>289</v>
      </c>
      <c r="D1032" s="890" t="s">
        <v>510</v>
      </c>
      <c r="E1032" s="891">
        <v>2019.0</v>
      </c>
      <c r="F1032" s="890" t="s">
        <v>291</v>
      </c>
      <c r="G1032" s="890" t="s">
        <v>89</v>
      </c>
      <c r="H1032" s="532">
        <v>71977.818</v>
      </c>
      <c r="I1032" s="532">
        <v>82258.09538</v>
      </c>
      <c r="J1032" s="533">
        <v>63018.06042</v>
      </c>
      <c r="K1032" s="220"/>
      <c r="CE1032" s="525"/>
    </row>
    <row r="1033">
      <c r="A1033" s="509"/>
      <c r="B1033" s="886" t="s">
        <v>293</v>
      </c>
      <c r="C1033" s="887" t="s">
        <v>289</v>
      </c>
      <c r="D1033" s="887" t="s">
        <v>512</v>
      </c>
      <c r="E1033" s="888">
        <v>2019.0</v>
      </c>
      <c r="F1033" s="887" t="s">
        <v>291</v>
      </c>
      <c r="G1033" s="887" t="s">
        <v>89</v>
      </c>
      <c r="H1033" s="547">
        <v>1352.244774</v>
      </c>
      <c r="I1033" s="547">
        <v>1490.95173</v>
      </c>
      <c r="J1033" s="548">
        <v>1221.066786</v>
      </c>
      <c r="K1033" s="220"/>
      <c r="CE1033" s="525"/>
    </row>
    <row r="1034">
      <c r="A1034" s="509"/>
      <c r="B1034" s="889" t="s">
        <v>293</v>
      </c>
      <c r="C1034" s="890" t="s">
        <v>289</v>
      </c>
      <c r="D1034" s="890" t="s">
        <v>515</v>
      </c>
      <c r="E1034" s="891">
        <v>2019.0</v>
      </c>
      <c r="F1034" s="890" t="s">
        <v>291</v>
      </c>
      <c r="G1034" s="890" t="s">
        <v>89</v>
      </c>
      <c r="H1034" s="532">
        <v>4013.343438</v>
      </c>
      <c r="I1034" s="532">
        <v>4425.013471</v>
      </c>
      <c r="J1034" s="533">
        <v>3624.018717</v>
      </c>
      <c r="K1034" s="220"/>
      <c r="CE1034" s="525"/>
    </row>
    <row r="1035">
      <c r="A1035" s="509"/>
      <c r="B1035" s="886" t="s">
        <v>293</v>
      </c>
      <c r="C1035" s="887" t="s">
        <v>289</v>
      </c>
      <c r="D1035" s="887" t="s">
        <v>518</v>
      </c>
      <c r="E1035" s="888">
        <v>2019.0</v>
      </c>
      <c r="F1035" s="887" t="s">
        <v>291</v>
      </c>
      <c r="G1035" s="887" t="s">
        <v>89</v>
      </c>
      <c r="H1035" s="547">
        <v>5365.588212</v>
      </c>
      <c r="I1035" s="547">
        <v>5915.965201</v>
      </c>
      <c r="J1035" s="548">
        <v>4845.085502</v>
      </c>
      <c r="K1035" s="220"/>
      <c r="CE1035" s="525"/>
    </row>
    <row r="1036">
      <c r="A1036" s="509"/>
      <c r="B1036" s="889" t="s">
        <v>293</v>
      </c>
      <c r="C1036" s="890" t="s">
        <v>289</v>
      </c>
      <c r="D1036" s="890" t="s">
        <v>522</v>
      </c>
      <c r="E1036" s="891">
        <v>2019.0</v>
      </c>
      <c r="F1036" s="890" t="s">
        <v>291</v>
      </c>
      <c r="G1036" s="890" t="s">
        <v>89</v>
      </c>
      <c r="H1036" s="532">
        <v>63393.24575</v>
      </c>
      <c r="I1036" s="532">
        <v>69895.82894</v>
      </c>
      <c r="J1036" s="533">
        <v>57243.6206</v>
      </c>
      <c r="K1036" s="220"/>
      <c r="CE1036" s="525"/>
    </row>
    <row r="1037">
      <c r="A1037" s="509"/>
      <c r="B1037" s="886" t="s">
        <v>293</v>
      </c>
      <c r="C1037" s="887" t="s">
        <v>289</v>
      </c>
      <c r="D1037" s="887" t="s">
        <v>302</v>
      </c>
      <c r="E1037" s="888">
        <v>2019.0</v>
      </c>
      <c r="F1037" s="887" t="s">
        <v>291</v>
      </c>
      <c r="G1037" s="887" t="s">
        <v>89</v>
      </c>
      <c r="H1037" s="547">
        <v>329593.9351</v>
      </c>
      <c r="I1037" s="547">
        <v>363402.1422</v>
      </c>
      <c r="J1037" s="548">
        <v>297620.8262</v>
      </c>
      <c r="K1037" s="220"/>
      <c r="CE1037" s="525"/>
    </row>
    <row r="1038">
      <c r="A1038" s="509"/>
      <c r="B1038" s="889" t="s">
        <v>419</v>
      </c>
      <c r="C1038" s="890" t="s">
        <v>289</v>
      </c>
      <c r="D1038" s="890" t="s">
        <v>290</v>
      </c>
      <c r="E1038" s="891">
        <v>2019.0</v>
      </c>
      <c r="F1038" s="890" t="s">
        <v>291</v>
      </c>
      <c r="G1038" s="890" t="s">
        <v>89</v>
      </c>
      <c r="H1038" s="532">
        <v>821175.0817</v>
      </c>
      <c r="I1038" s="532">
        <v>916205.4587</v>
      </c>
      <c r="J1038" s="533">
        <v>714650.1465</v>
      </c>
      <c r="K1038" s="220"/>
      <c r="CE1038" s="525"/>
    </row>
    <row r="1039">
      <c r="A1039" s="509"/>
      <c r="B1039" s="886" t="s">
        <v>419</v>
      </c>
      <c r="C1039" s="887" t="s">
        <v>289</v>
      </c>
      <c r="D1039" s="887" t="s">
        <v>310</v>
      </c>
      <c r="E1039" s="888">
        <v>2019.0</v>
      </c>
      <c r="F1039" s="887" t="s">
        <v>291</v>
      </c>
      <c r="G1039" s="887" t="s">
        <v>89</v>
      </c>
      <c r="H1039" s="547">
        <v>1.459451287E7</v>
      </c>
      <c r="I1039" s="547">
        <v>1.628346093E7</v>
      </c>
      <c r="J1039" s="548">
        <v>1.270127527E7</v>
      </c>
      <c r="K1039" s="220"/>
      <c r="CE1039" s="525"/>
    </row>
    <row r="1040">
      <c r="A1040" s="509"/>
      <c r="B1040" s="889" t="s">
        <v>419</v>
      </c>
      <c r="C1040" s="890" t="s">
        <v>289</v>
      </c>
      <c r="D1040" s="890" t="s">
        <v>318</v>
      </c>
      <c r="E1040" s="891">
        <v>2019.0</v>
      </c>
      <c r="F1040" s="890" t="s">
        <v>291</v>
      </c>
      <c r="G1040" s="890" t="s">
        <v>89</v>
      </c>
      <c r="H1040" s="532">
        <v>1.130668058E7</v>
      </c>
      <c r="I1040" s="532">
        <v>1.261514469E7</v>
      </c>
      <c r="J1040" s="533">
        <v>9839949.013</v>
      </c>
      <c r="K1040" s="220"/>
      <c r="CE1040" s="525"/>
    </row>
    <row r="1041">
      <c r="A1041" s="509"/>
      <c r="B1041" s="886" t="s">
        <v>419</v>
      </c>
      <c r="C1041" s="887" t="s">
        <v>289</v>
      </c>
      <c r="D1041" s="887" t="s">
        <v>309</v>
      </c>
      <c r="E1041" s="888">
        <v>2019.0</v>
      </c>
      <c r="F1041" s="887" t="s">
        <v>291</v>
      </c>
      <c r="G1041" s="887" t="s">
        <v>89</v>
      </c>
      <c r="H1041" s="547">
        <v>3149459.738</v>
      </c>
      <c r="I1041" s="547">
        <v>3513930.547</v>
      </c>
      <c r="J1041" s="548">
        <v>2740903.753</v>
      </c>
      <c r="K1041" s="220"/>
      <c r="CE1041" s="525"/>
    </row>
    <row r="1042">
      <c r="A1042" s="509"/>
      <c r="B1042" s="889" t="s">
        <v>419</v>
      </c>
      <c r="C1042" s="890" t="s">
        <v>289</v>
      </c>
      <c r="D1042" s="890" t="s">
        <v>334</v>
      </c>
      <c r="E1042" s="891">
        <v>2019.0</v>
      </c>
      <c r="F1042" s="890" t="s">
        <v>291</v>
      </c>
      <c r="G1042" s="890" t="s">
        <v>89</v>
      </c>
      <c r="H1042" s="532">
        <v>3564931.325</v>
      </c>
      <c r="I1042" s="532">
        <v>3977482.528</v>
      </c>
      <c r="J1042" s="533">
        <v>3102479.301</v>
      </c>
      <c r="K1042" s="220"/>
      <c r="CE1042" s="525"/>
    </row>
    <row r="1043">
      <c r="A1043" s="509"/>
      <c r="B1043" s="886" t="s">
        <v>419</v>
      </c>
      <c r="C1043" s="887" t="s">
        <v>289</v>
      </c>
      <c r="D1043" s="887" t="s">
        <v>339</v>
      </c>
      <c r="E1043" s="888">
        <v>2019.0</v>
      </c>
      <c r="F1043" s="887" t="s">
        <v>291</v>
      </c>
      <c r="G1043" s="887" t="s">
        <v>89</v>
      </c>
      <c r="H1043" s="547">
        <v>6852763.613</v>
      </c>
      <c r="I1043" s="547">
        <v>7645798.769</v>
      </c>
      <c r="J1043" s="548">
        <v>5963805.562</v>
      </c>
      <c r="K1043" s="220"/>
      <c r="CE1043" s="525"/>
    </row>
    <row r="1044">
      <c r="A1044" s="509"/>
      <c r="B1044" s="889" t="s">
        <v>419</v>
      </c>
      <c r="C1044" s="890" t="s">
        <v>289</v>
      </c>
      <c r="D1044" s="890" t="s">
        <v>344</v>
      </c>
      <c r="E1044" s="891">
        <v>2019.0</v>
      </c>
      <c r="F1044" s="890" t="s">
        <v>291</v>
      </c>
      <c r="G1044" s="890" t="s">
        <v>89</v>
      </c>
      <c r="H1044" s="532">
        <v>9931881.807</v>
      </c>
      <c r="I1044" s="532">
        <v>1.108124751E7</v>
      </c>
      <c r="J1044" s="533">
        <v>8643492.656</v>
      </c>
      <c r="K1044" s="220"/>
      <c r="CE1044" s="525"/>
    </row>
    <row r="1045">
      <c r="A1045" s="509"/>
      <c r="B1045" s="886" t="s">
        <v>419</v>
      </c>
      <c r="C1045" s="887" t="s">
        <v>289</v>
      </c>
      <c r="D1045" s="887" t="s">
        <v>349</v>
      </c>
      <c r="E1045" s="888">
        <v>2019.0</v>
      </c>
      <c r="F1045" s="887" t="s">
        <v>291</v>
      </c>
      <c r="G1045" s="887" t="s">
        <v>89</v>
      </c>
      <c r="H1045" s="547">
        <v>3287832.288</v>
      </c>
      <c r="I1045" s="547">
        <v>3668316.241</v>
      </c>
      <c r="J1045" s="548">
        <v>2861326.261</v>
      </c>
      <c r="K1045" s="220"/>
      <c r="CE1045" s="525"/>
    </row>
    <row r="1046">
      <c r="A1046" s="509"/>
      <c r="B1046" s="889" t="s">
        <v>419</v>
      </c>
      <c r="C1046" s="890" t="s">
        <v>289</v>
      </c>
      <c r="D1046" s="890" t="s">
        <v>355</v>
      </c>
      <c r="E1046" s="891">
        <v>2019.0</v>
      </c>
      <c r="F1046" s="890" t="s">
        <v>291</v>
      </c>
      <c r="G1046" s="890" t="s">
        <v>89</v>
      </c>
      <c r="H1046" s="532">
        <v>1.36132264E7</v>
      </c>
      <c r="I1046" s="532">
        <v>1.518912763E7</v>
      </c>
      <c r="J1046" s="533">
        <v>1.184743275E7</v>
      </c>
      <c r="K1046" s="220"/>
      <c r="CE1046" s="525"/>
    </row>
    <row r="1047">
      <c r="A1047" s="509"/>
      <c r="B1047" s="886" t="s">
        <v>419</v>
      </c>
      <c r="C1047" s="887" t="s">
        <v>289</v>
      </c>
      <c r="D1047" s="887" t="s">
        <v>358</v>
      </c>
      <c r="E1047" s="888">
        <v>2019.0</v>
      </c>
      <c r="F1047" s="887" t="s">
        <v>291</v>
      </c>
      <c r="G1047" s="887" t="s">
        <v>89</v>
      </c>
      <c r="H1047" s="547">
        <v>1.660888603E7</v>
      </c>
      <c r="I1047" s="547">
        <v>1.853094715E7</v>
      </c>
      <c r="J1047" s="548">
        <v>1.445433878E7</v>
      </c>
      <c r="K1047" s="220"/>
      <c r="CE1047" s="525"/>
    </row>
    <row r="1048">
      <c r="A1048" s="509"/>
      <c r="B1048" s="889" t="s">
        <v>419</v>
      </c>
      <c r="C1048" s="890" t="s">
        <v>289</v>
      </c>
      <c r="D1048" s="890" t="s">
        <v>362</v>
      </c>
      <c r="E1048" s="891">
        <v>2019.0</v>
      </c>
      <c r="F1048" s="890" t="s">
        <v>291</v>
      </c>
      <c r="G1048" s="890" t="s">
        <v>89</v>
      </c>
      <c r="H1048" s="532">
        <v>1.694149115E7</v>
      </c>
      <c r="I1048" s="532">
        <v>1.890268065E7</v>
      </c>
      <c r="J1048" s="533">
        <v>1.474398288E7</v>
      </c>
      <c r="K1048" s="220"/>
      <c r="CE1048" s="525"/>
    </row>
    <row r="1049">
      <c r="A1049" s="509"/>
      <c r="B1049" s="886" t="s">
        <v>419</v>
      </c>
      <c r="C1049" s="887" t="s">
        <v>289</v>
      </c>
      <c r="D1049" s="887" t="s">
        <v>366</v>
      </c>
      <c r="E1049" s="888">
        <v>2019.0</v>
      </c>
      <c r="F1049" s="887" t="s">
        <v>291</v>
      </c>
      <c r="G1049" s="887" t="s">
        <v>89</v>
      </c>
      <c r="H1049" s="547">
        <v>3079118.194</v>
      </c>
      <c r="I1049" s="547">
        <v>3435448.737</v>
      </c>
      <c r="J1049" s="548">
        <v>2679687.094</v>
      </c>
      <c r="K1049" s="220"/>
      <c r="CE1049" s="525"/>
    </row>
    <row r="1050">
      <c r="A1050" s="509"/>
      <c r="B1050" s="889" t="s">
        <v>419</v>
      </c>
      <c r="C1050" s="890" t="s">
        <v>289</v>
      </c>
      <c r="D1050" s="890" t="s">
        <v>368</v>
      </c>
      <c r="E1050" s="891">
        <v>2019.0</v>
      </c>
      <c r="F1050" s="890" t="s">
        <v>291</v>
      </c>
      <c r="G1050" s="890" t="s">
        <v>89</v>
      </c>
      <c r="H1050" s="532">
        <v>1.386260088E7</v>
      </c>
      <c r="I1050" s="532">
        <v>1.546684852E7</v>
      </c>
      <c r="J1050" s="533">
        <v>1.206430878E7</v>
      </c>
      <c r="K1050" s="220"/>
      <c r="CE1050" s="525"/>
    </row>
    <row r="1051">
      <c r="A1051" s="509"/>
      <c r="B1051" s="886" t="s">
        <v>419</v>
      </c>
      <c r="C1051" s="887" t="s">
        <v>289</v>
      </c>
      <c r="D1051" s="887" t="s">
        <v>373</v>
      </c>
      <c r="E1051" s="888">
        <v>2019.0</v>
      </c>
      <c r="F1051" s="887" t="s">
        <v>291</v>
      </c>
      <c r="G1051" s="887" t="s">
        <v>89</v>
      </c>
      <c r="H1051" s="547">
        <v>2781059.652</v>
      </c>
      <c r="I1051" s="547">
        <v>3102897.409</v>
      </c>
      <c r="J1051" s="548">
        <v>2420293.469</v>
      </c>
      <c r="K1051" s="220"/>
      <c r="CE1051" s="525"/>
    </row>
    <row r="1052">
      <c r="A1052" s="509"/>
      <c r="B1052" s="889" t="s">
        <v>419</v>
      </c>
      <c r="C1052" s="890" t="s">
        <v>289</v>
      </c>
      <c r="D1052" s="890" t="s">
        <v>379</v>
      </c>
      <c r="E1052" s="891">
        <v>2019.0</v>
      </c>
      <c r="F1052" s="890" t="s">
        <v>291</v>
      </c>
      <c r="G1052" s="890" t="s">
        <v>89</v>
      </c>
      <c r="H1052" s="532">
        <v>1.024179776E7</v>
      </c>
      <c r="I1052" s="532">
        <v>1.142741395E7</v>
      </c>
      <c r="J1052" s="533">
        <v>8913317.575</v>
      </c>
      <c r="K1052" s="220"/>
      <c r="CE1052" s="525"/>
    </row>
    <row r="1053">
      <c r="A1053" s="509"/>
      <c r="B1053" s="886" t="s">
        <v>419</v>
      </c>
      <c r="C1053" s="887" t="s">
        <v>289</v>
      </c>
      <c r="D1053" s="887" t="s">
        <v>382</v>
      </c>
      <c r="E1053" s="888">
        <v>2019.0</v>
      </c>
      <c r="F1053" s="887" t="s">
        <v>291</v>
      </c>
      <c r="G1053" s="887" t="s">
        <v>89</v>
      </c>
      <c r="H1053" s="547">
        <v>2418646.051</v>
      </c>
      <c r="I1053" s="547">
        <v>2698543.544</v>
      </c>
      <c r="J1053" s="548">
        <v>2104893.09</v>
      </c>
      <c r="K1053" s="220"/>
      <c r="CE1053" s="525"/>
    </row>
    <row r="1054">
      <c r="A1054" s="509"/>
      <c r="B1054" s="889" t="s">
        <v>419</v>
      </c>
      <c r="C1054" s="890" t="s">
        <v>289</v>
      </c>
      <c r="D1054" s="890" t="s">
        <v>387</v>
      </c>
      <c r="E1054" s="891">
        <v>2019.0</v>
      </c>
      <c r="F1054" s="890" t="s">
        <v>291</v>
      </c>
      <c r="G1054" s="890" t="s">
        <v>89</v>
      </c>
      <c r="H1054" s="532">
        <v>2046753.361</v>
      </c>
      <c r="I1054" s="532">
        <v>2283613.621</v>
      </c>
      <c r="J1054" s="533">
        <v>1781243.272</v>
      </c>
      <c r="K1054" s="220"/>
      <c r="CE1054" s="525"/>
    </row>
    <row r="1055">
      <c r="A1055" s="509"/>
      <c r="B1055" s="886" t="s">
        <v>419</v>
      </c>
      <c r="C1055" s="887" t="s">
        <v>289</v>
      </c>
      <c r="D1055" s="887" t="s">
        <v>392</v>
      </c>
      <c r="E1055" s="888">
        <v>2019.0</v>
      </c>
      <c r="F1055" s="887" t="s">
        <v>291</v>
      </c>
      <c r="G1055" s="887" t="s">
        <v>89</v>
      </c>
      <c r="H1055" s="547">
        <v>1666359.95</v>
      </c>
      <c r="I1055" s="547">
        <v>1859199.233</v>
      </c>
      <c r="J1055" s="548">
        <v>1450195.468</v>
      </c>
      <c r="K1055" s="220"/>
      <c r="CE1055" s="525"/>
    </row>
    <row r="1056">
      <c r="A1056" s="509"/>
      <c r="B1056" s="889" t="s">
        <v>419</v>
      </c>
      <c r="C1056" s="890" t="s">
        <v>289</v>
      </c>
      <c r="D1056" s="890" t="s">
        <v>398</v>
      </c>
      <c r="E1056" s="891">
        <v>2019.0</v>
      </c>
      <c r="F1056" s="890" t="s">
        <v>291</v>
      </c>
      <c r="G1056" s="890" t="s">
        <v>89</v>
      </c>
      <c r="H1056" s="532">
        <v>1329116.531</v>
      </c>
      <c r="I1056" s="532">
        <v>1482928.365</v>
      </c>
      <c r="J1056" s="533">
        <v>1156700.13</v>
      </c>
      <c r="K1056" s="220"/>
      <c r="CE1056" s="525"/>
    </row>
    <row r="1057">
      <c r="A1057" s="509"/>
      <c r="B1057" s="886" t="s">
        <v>419</v>
      </c>
      <c r="C1057" s="887" t="s">
        <v>289</v>
      </c>
      <c r="D1057" s="887" t="s">
        <v>402</v>
      </c>
      <c r="E1057" s="888">
        <v>2019.0</v>
      </c>
      <c r="F1057" s="887" t="s">
        <v>291</v>
      </c>
      <c r="G1057" s="887" t="s">
        <v>89</v>
      </c>
      <c r="H1057" s="547">
        <v>1.062373513E7</v>
      </c>
      <c r="I1057" s="547">
        <v>1.185356534E7</v>
      </c>
      <c r="J1057" s="548">
        <v>9245713.229</v>
      </c>
      <c r="K1057" s="220"/>
      <c r="CE1057" s="525"/>
    </row>
    <row r="1058">
      <c r="A1058" s="509"/>
      <c r="B1058" s="889" t="s">
        <v>419</v>
      </c>
      <c r="C1058" s="890" t="s">
        <v>289</v>
      </c>
      <c r="D1058" s="890" t="s">
        <v>407</v>
      </c>
      <c r="E1058" s="891">
        <v>2019.0</v>
      </c>
      <c r="F1058" s="890" t="s">
        <v>291</v>
      </c>
      <c r="G1058" s="890" t="s">
        <v>89</v>
      </c>
      <c r="H1058" s="532">
        <v>3771114.439</v>
      </c>
      <c r="I1058" s="532">
        <v>4207526.155</v>
      </c>
      <c r="J1058" s="533">
        <v>3281915.813</v>
      </c>
      <c r="K1058" s="220"/>
      <c r="CE1058" s="525"/>
    </row>
    <row r="1059">
      <c r="A1059" s="509"/>
      <c r="B1059" s="886" t="s">
        <v>419</v>
      </c>
      <c r="C1059" s="887" t="s">
        <v>289</v>
      </c>
      <c r="D1059" s="887" t="s">
        <v>414</v>
      </c>
      <c r="E1059" s="888">
        <v>2019.0</v>
      </c>
      <c r="F1059" s="887" t="s">
        <v>291</v>
      </c>
      <c r="G1059" s="887" t="s">
        <v>89</v>
      </c>
      <c r="H1059" s="547">
        <v>1027090.594</v>
      </c>
      <c r="I1059" s="547">
        <v>1145950.516</v>
      </c>
      <c r="J1059" s="548">
        <v>893853.7706</v>
      </c>
      <c r="K1059" s="220"/>
      <c r="CE1059" s="525"/>
    </row>
    <row r="1060">
      <c r="A1060" s="509"/>
      <c r="B1060" s="889" t="s">
        <v>419</v>
      </c>
      <c r="C1060" s="890" t="s">
        <v>289</v>
      </c>
      <c r="D1060" s="890" t="s">
        <v>417</v>
      </c>
      <c r="E1060" s="891">
        <v>2019.0</v>
      </c>
      <c r="F1060" s="890" t="s">
        <v>291</v>
      </c>
      <c r="G1060" s="890" t="s">
        <v>89</v>
      </c>
      <c r="H1060" s="532">
        <v>2938945.574</v>
      </c>
      <c r="I1060" s="532">
        <v>3279054.659</v>
      </c>
      <c r="J1060" s="533">
        <v>2557698.025</v>
      </c>
      <c r="K1060" s="220"/>
      <c r="CE1060" s="525"/>
    </row>
    <row r="1061">
      <c r="A1061" s="509"/>
      <c r="B1061" s="886" t="s">
        <v>419</v>
      </c>
      <c r="C1061" s="887" t="s">
        <v>289</v>
      </c>
      <c r="D1061" s="887" t="s">
        <v>300</v>
      </c>
      <c r="E1061" s="888">
        <v>2019.0</v>
      </c>
      <c r="F1061" s="887" t="s">
        <v>291</v>
      </c>
      <c r="G1061" s="887" t="s">
        <v>89</v>
      </c>
      <c r="H1061" s="547">
        <v>7336045.764</v>
      </c>
      <c r="I1061" s="547">
        <v>8185008.683</v>
      </c>
      <c r="J1061" s="548">
        <v>6384395.114</v>
      </c>
      <c r="K1061" s="220"/>
      <c r="CE1061" s="525"/>
    </row>
    <row r="1062">
      <c r="A1062" s="509"/>
      <c r="B1062" s="889" t="s">
        <v>419</v>
      </c>
      <c r="C1062" s="890" t="s">
        <v>289</v>
      </c>
      <c r="D1062" s="890" t="s">
        <v>429</v>
      </c>
      <c r="E1062" s="891">
        <v>2019.0</v>
      </c>
      <c r="F1062" s="890" t="s">
        <v>291</v>
      </c>
      <c r="G1062" s="890" t="s">
        <v>89</v>
      </c>
      <c r="H1062" s="532">
        <v>2593539.85</v>
      </c>
      <c r="I1062" s="532">
        <v>2893774.526</v>
      </c>
      <c r="J1062" s="533">
        <v>2257127.593</v>
      </c>
      <c r="K1062" s="220"/>
      <c r="CE1062" s="525"/>
    </row>
    <row r="1063">
      <c r="A1063" s="509"/>
      <c r="B1063" s="886" t="s">
        <v>419</v>
      </c>
      <c r="C1063" s="887" t="s">
        <v>289</v>
      </c>
      <c r="D1063" s="887" t="s">
        <v>432</v>
      </c>
      <c r="E1063" s="888">
        <v>2019.0</v>
      </c>
      <c r="F1063" s="887" t="s">
        <v>291</v>
      </c>
      <c r="G1063" s="887" t="s">
        <v>89</v>
      </c>
      <c r="H1063" s="547">
        <v>798341.816</v>
      </c>
      <c r="I1063" s="547">
        <v>890729.8163</v>
      </c>
      <c r="J1063" s="548">
        <v>694778.8704</v>
      </c>
      <c r="K1063" s="220"/>
      <c r="CE1063" s="525"/>
    </row>
    <row r="1064">
      <c r="A1064" s="509"/>
      <c r="B1064" s="889" t="s">
        <v>419</v>
      </c>
      <c r="C1064" s="890" t="s">
        <v>289</v>
      </c>
      <c r="D1064" s="890" t="s">
        <v>435</v>
      </c>
      <c r="E1064" s="891">
        <v>2019.0</v>
      </c>
      <c r="F1064" s="890" t="s">
        <v>291</v>
      </c>
      <c r="G1064" s="890" t="s">
        <v>89</v>
      </c>
      <c r="H1064" s="532">
        <v>640292.2603</v>
      </c>
      <c r="I1064" s="532">
        <v>714389.9969</v>
      </c>
      <c r="J1064" s="533">
        <v>557231.908</v>
      </c>
      <c r="K1064" s="220"/>
      <c r="CE1064" s="525"/>
    </row>
    <row r="1065">
      <c r="A1065" s="509"/>
      <c r="B1065" s="886" t="s">
        <v>419</v>
      </c>
      <c r="C1065" s="887" t="s">
        <v>289</v>
      </c>
      <c r="D1065" s="887" t="s">
        <v>442</v>
      </c>
      <c r="E1065" s="888">
        <v>2019.0</v>
      </c>
      <c r="F1065" s="887" t="s">
        <v>291</v>
      </c>
      <c r="G1065" s="887" t="s">
        <v>89</v>
      </c>
      <c r="H1065" s="547">
        <v>473220.904</v>
      </c>
      <c r="I1065" s="547">
        <v>527984.3301</v>
      </c>
      <c r="J1065" s="548">
        <v>411833.4761</v>
      </c>
      <c r="K1065" s="220"/>
      <c r="CE1065" s="525"/>
    </row>
    <row r="1066">
      <c r="A1066" s="509"/>
      <c r="B1066" s="889" t="s">
        <v>419</v>
      </c>
      <c r="C1066" s="890" t="s">
        <v>289</v>
      </c>
      <c r="D1066" s="890" t="s">
        <v>445</v>
      </c>
      <c r="E1066" s="891">
        <v>2019.0</v>
      </c>
      <c r="F1066" s="890" t="s">
        <v>291</v>
      </c>
      <c r="G1066" s="890" t="s">
        <v>89</v>
      </c>
      <c r="H1066" s="532">
        <v>784433.6529</v>
      </c>
      <c r="I1066" s="532">
        <v>875241.6595</v>
      </c>
      <c r="J1066" s="533">
        <v>682683.4927</v>
      </c>
      <c r="K1066" s="220"/>
      <c r="CE1066" s="525"/>
    </row>
    <row r="1067">
      <c r="A1067" s="509"/>
      <c r="B1067" s="886" t="s">
        <v>419</v>
      </c>
      <c r="C1067" s="887" t="s">
        <v>289</v>
      </c>
      <c r="D1067" s="887" t="s">
        <v>450</v>
      </c>
      <c r="E1067" s="888">
        <v>2019.0</v>
      </c>
      <c r="F1067" s="887" t="s">
        <v>291</v>
      </c>
      <c r="G1067" s="887" t="s">
        <v>89</v>
      </c>
      <c r="H1067" s="547">
        <v>311223.3022</v>
      </c>
      <c r="I1067" s="547">
        <v>347239.5774</v>
      </c>
      <c r="J1067" s="548">
        <v>270850.6182</v>
      </c>
      <c r="K1067" s="220"/>
      <c r="CE1067" s="525"/>
    </row>
    <row r="1068">
      <c r="A1068" s="509"/>
      <c r="B1068" s="889" t="s">
        <v>419</v>
      </c>
      <c r="C1068" s="890" t="s">
        <v>289</v>
      </c>
      <c r="D1068" s="890" t="s">
        <v>457</v>
      </c>
      <c r="E1068" s="891">
        <v>2019.0</v>
      </c>
      <c r="F1068" s="890" t="s">
        <v>291</v>
      </c>
      <c r="G1068" s="890" t="s">
        <v>89</v>
      </c>
      <c r="H1068" s="532">
        <v>681719.7616</v>
      </c>
      <c r="I1068" s="532">
        <v>760611.6902</v>
      </c>
      <c r="J1068" s="533">
        <v>593285.3277</v>
      </c>
      <c r="K1068" s="220"/>
      <c r="CE1068" s="525"/>
    </row>
    <row r="1069">
      <c r="A1069" s="509"/>
      <c r="B1069" s="886" t="s">
        <v>419</v>
      </c>
      <c r="C1069" s="887" t="s">
        <v>289</v>
      </c>
      <c r="D1069" s="887" t="s">
        <v>463</v>
      </c>
      <c r="E1069" s="888">
        <v>2019.0</v>
      </c>
      <c r="F1069" s="887" t="s">
        <v>291</v>
      </c>
      <c r="G1069" s="887" t="s">
        <v>89</v>
      </c>
      <c r="H1069" s="547">
        <v>370491.475</v>
      </c>
      <c r="I1069" s="547">
        <v>413380.4972</v>
      </c>
      <c r="J1069" s="548">
        <v>322434.4255</v>
      </c>
      <c r="K1069" s="220"/>
      <c r="CE1069" s="525"/>
    </row>
    <row r="1070">
      <c r="A1070" s="509"/>
      <c r="B1070" s="889" t="s">
        <v>419</v>
      </c>
      <c r="C1070" s="890" t="s">
        <v>289</v>
      </c>
      <c r="D1070" s="890" t="s">
        <v>467</v>
      </c>
      <c r="E1070" s="891">
        <v>2019.0</v>
      </c>
      <c r="F1070" s="890" t="s">
        <v>291</v>
      </c>
      <c r="G1070" s="890" t="s">
        <v>89</v>
      </c>
      <c r="H1070" s="532">
        <v>198335.3112</v>
      </c>
      <c r="I1070" s="532">
        <v>221287.6387</v>
      </c>
      <c r="J1070" s="533">
        <v>172606.7466</v>
      </c>
      <c r="K1070" s="220"/>
      <c r="CE1070" s="525"/>
    </row>
    <row r="1071">
      <c r="A1071" s="509"/>
      <c r="B1071" s="886" t="s">
        <v>419</v>
      </c>
      <c r="C1071" s="887" t="s">
        <v>289</v>
      </c>
      <c r="D1071" s="887" t="s">
        <v>473</v>
      </c>
      <c r="E1071" s="888">
        <v>2019.0</v>
      </c>
      <c r="F1071" s="887" t="s">
        <v>291</v>
      </c>
      <c r="G1071" s="887" t="s">
        <v>89</v>
      </c>
      <c r="H1071" s="547">
        <v>307807.0917</v>
      </c>
      <c r="I1071" s="547">
        <v>343439.6125</v>
      </c>
      <c r="J1071" s="548">
        <v>267880.9351</v>
      </c>
      <c r="K1071" s="220"/>
      <c r="CE1071" s="525"/>
    </row>
    <row r="1072">
      <c r="A1072" s="509"/>
      <c r="B1072" s="889" t="s">
        <v>419</v>
      </c>
      <c r="C1072" s="890" t="s">
        <v>289</v>
      </c>
      <c r="D1072" s="890" t="s">
        <v>477</v>
      </c>
      <c r="E1072" s="891">
        <v>2019.0</v>
      </c>
      <c r="F1072" s="890" t="s">
        <v>291</v>
      </c>
      <c r="G1072" s="890" t="s">
        <v>89</v>
      </c>
      <c r="H1072" s="532">
        <v>172161.1482</v>
      </c>
      <c r="I1072" s="532">
        <v>192084.4741</v>
      </c>
      <c r="J1072" s="533">
        <v>149827.963</v>
      </c>
      <c r="K1072" s="220"/>
      <c r="CE1072" s="525"/>
    </row>
    <row r="1073">
      <c r="A1073" s="509"/>
      <c r="B1073" s="886" t="s">
        <v>419</v>
      </c>
      <c r="C1073" s="887" t="s">
        <v>289</v>
      </c>
      <c r="D1073" s="887" t="s">
        <v>483</v>
      </c>
      <c r="E1073" s="888">
        <v>2019.0</v>
      </c>
      <c r="F1073" s="887" t="s">
        <v>291</v>
      </c>
      <c r="G1073" s="887" t="s">
        <v>89</v>
      </c>
      <c r="H1073" s="547">
        <v>109475.9216</v>
      </c>
      <c r="I1073" s="547">
        <v>122145.008</v>
      </c>
      <c r="J1073" s="548">
        <v>95274.42458</v>
      </c>
      <c r="K1073" s="220"/>
      <c r="CE1073" s="525"/>
    </row>
    <row r="1074">
      <c r="A1074" s="509"/>
      <c r="B1074" s="889" t="s">
        <v>419</v>
      </c>
      <c r="C1074" s="890" t="s">
        <v>289</v>
      </c>
      <c r="D1074" s="890" t="s">
        <v>489</v>
      </c>
      <c r="E1074" s="891">
        <v>2019.0</v>
      </c>
      <c r="F1074" s="890" t="s">
        <v>291</v>
      </c>
      <c r="G1074" s="890" t="s">
        <v>89</v>
      </c>
      <c r="H1074" s="532">
        <v>62684.38326</v>
      </c>
      <c r="I1074" s="532">
        <v>69940.88465</v>
      </c>
      <c r="J1074" s="533">
        <v>54553.49034</v>
      </c>
      <c r="K1074" s="220"/>
      <c r="CE1074" s="525"/>
    </row>
    <row r="1075">
      <c r="A1075" s="509"/>
      <c r="B1075" s="886" t="s">
        <v>419</v>
      </c>
      <c r="C1075" s="887" t="s">
        <v>289</v>
      </c>
      <c r="D1075" s="887" t="s">
        <v>493</v>
      </c>
      <c r="E1075" s="888">
        <v>2019.0</v>
      </c>
      <c r="F1075" s="887" t="s">
        <v>291</v>
      </c>
      <c r="G1075" s="887" t="s">
        <v>89</v>
      </c>
      <c r="H1075" s="547">
        <v>46176.74128</v>
      </c>
      <c r="I1075" s="547">
        <v>51520.53851</v>
      </c>
      <c r="J1075" s="548">
        <v>40186.57611</v>
      </c>
      <c r="K1075" s="220"/>
      <c r="CE1075" s="525"/>
    </row>
    <row r="1076">
      <c r="A1076" s="509"/>
      <c r="B1076" s="889" t="s">
        <v>419</v>
      </c>
      <c r="C1076" s="890" t="s">
        <v>289</v>
      </c>
      <c r="D1076" s="890" t="s">
        <v>496</v>
      </c>
      <c r="E1076" s="891">
        <v>2019.0</v>
      </c>
      <c r="F1076" s="890" t="s">
        <v>291</v>
      </c>
      <c r="G1076" s="890" t="s">
        <v>89</v>
      </c>
      <c r="H1076" s="532">
        <v>13471.20992</v>
      </c>
      <c r="I1076" s="532">
        <v>15030.1639</v>
      </c>
      <c r="J1076" s="533">
        <v>11723.69006</v>
      </c>
      <c r="K1076" s="220"/>
      <c r="CE1076" s="525"/>
    </row>
    <row r="1077">
      <c r="A1077" s="509"/>
      <c r="B1077" s="886" t="s">
        <v>419</v>
      </c>
      <c r="C1077" s="887" t="s">
        <v>289</v>
      </c>
      <c r="D1077" s="887" t="s">
        <v>502</v>
      </c>
      <c r="E1077" s="888">
        <v>2019.0</v>
      </c>
      <c r="F1077" s="887" t="s">
        <v>291</v>
      </c>
      <c r="G1077" s="887" t="s">
        <v>89</v>
      </c>
      <c r="H1077" s="547">
        <v>3037.275381</v>
      </c>
      <c r="I1077" s="547">
        <v>3388.76367</v>
      </c>
      <c r="J1077" s="548">
        <v>2643.272238</v>
      </c>
      <c r="K1077" s="220"/>
      <c r="CE1077" s="525"/>
    </row>
    <row r="1078">
      <c r="A1078" s="509"/>
      <c r="B1078" s="889" t="s">
        <v>419</v>
      </c>
      <c r="C1078" s="890" t="s">
        <v>289</v>
      </c>
      <c r="D1078" s="890" t="s">
        <v>332</v>
      </c>
      <c r="E1078" s="891">
        <v>2019.0</v>
      </c>
      <c r="F1078" s="890" t="s">
        <v>291</v>
      </c>
      <c r="G1078" s="890" t="s">
        <v>89</v>
      </c>
      <c r="H1078" s="532">
        <v>3.153623195E7</v>
      </c>
      <c r="I1078" s="532">
        <v>3.518575819E7</v>
      </c>
      <c r="J1078" s="533">
        <v>2.744527115E7</v>
      </c>
      <c r="K1078" s="220"/>
      <c r="CE1078" s="525"/>
    </row>
    <row r="1079">
      <c r="A1079" s="509"/>
      <c r="B1079" s="886" t="s">
        <v>419</v>
      </c>
      <c r="C1079" s="887" t="s">
        <v>289</v>
      </c>
      <c r="D1079" s="887" t="s">
        <v>510</v>
      </c>
      <c r="E1079" s="888">
        <v>2019.0</v>
      </c>
      <c r="F1079" s="887" t="s">
        <v>291</v>
      </c>
      <c r="G1079" s="887" t="s">
        <v>89</v>
      </c>
      <c r="H1079" s="547">
        <v>854891.6104</v>
      </c>
      <c r="I1079" s="547">
        <v>987679.0871</v>
      </c>
      <c r="J1079" s="548">
        <v>734882.7419</v>
      </c>
      <c r="K1079" s="220"/>
      <c r="CE1079" s="525"/>
    </row>
    <row r="1080">
      <c r="A1080" s="509"/>
      <c r="B1080" s="889" t="s">
        <v>419</v>
      </c>
      <c r="C1080" s="890" t="s">
        <v>289</v>
      </c>
      <c r="D1080" s="890" t="s">
        <v>512</v>
      </c>
      <c r="E1080" s="891">
        <v>2019.0</v>
      </c>
      <c r="F1080" s="890" t="s">
        <v>291</v>
      </c>
      <c r="G1080" s="890" t="s">
        <v>89</v>
      </c>
      <c r="H1080" s="532">
        <v>16210.80778</v>
      </c>
      <c r="I1080" s="532">
        <v>18086.80135</v>
      </c>
      <c r="J1080" s="533">
        <v>14107.90026</v>
      </c>
      <c r="K1080" s="220"/>
      <c r="CE1080" s="525"/>
    </row>
    <row r="1081">
      <c r="A1081" s="509"/>
      <c r="B1081" s="886" t="s">
        <v>419</v>
      </c>
      <c r="C1081" s="887" t="s">
        <v>289</v>
      </c>
      <c r="D1081" s="887" t="s">
        <v>515</v>
      </c>
      <c r="E1081" s="888">
        <v>2019.0</v>
      </c>
      <c r="F1081" s="887" t="s">
        <v>291</v>
      </c>
      <c r="G1081" s="887" t="s">
        <v>89</v>
      </c>
      <c r="H1081" s="547">
        <v>48026.47384</v>
      </c>
      <c r="I1081" s="547">
        <v>53584.33112</v>
      </c>
      <c r="J1081" s="548">
        <v>41796.35662</v>
      </c>
      <c r="K1081" s="220"/>
      <c r="CE1081" s="525"/>
    </row>
    <row r="1082">
      <c r="A1082" s="509"/>
      <c r="B1082" s="889" t="s">
        <v>419</v>
      </c>
      <c r="C1082" s="890" t="s">
        <v>289</v>
      </c>
      <c r="D1082" s="890" t="s">
        <v>518</v>
      </c>
      <c r="E1082" s="891">
        <v>2019.0</v>
      </c>
      <c r="F1082" s="890" t="s">
        <v>291</v>
      </c>
      <c r="G1082" s="890" t="s">
        <v>89</v>
      </c>
      <c r="H1082" s="532">
        <v>64237.28161</v>
      </c>
      <c r="I1082" s="532">
        <v>71671.13247</v>
      </c>
      <c r="J1082" s="533">
        <v>55904.25688</v>
      </c>
      <c r="K1082" s="220"/>
      <c r="CE1082" s="525"/>
    </row>
    <row r="1083">
      <c r="A1083" s="509"/>
      <c r="B1083" s="886" t="s">
        <v>419</v>
      </c>
      <c r="C1083" s="887" t="s">
        <v>289</v>
      </c>
      <c r="D1083" s="887" t="s">
        <v>522</v>
      </c>
      <c r="E1083" s="888">
        <v>2019.0</v>
      </c>
      <c r="F1083" s="887" t="s">
        <v>291</v>
      </c>
      <c r="G1083" s="887" t="s">
        <v>89</v>
      </c>
      <c r="H1083" s="547">
        <v>756937.8001</v>
      </c>
      <c r="I1083" s="547">
        <v>844534.3262</v>
      </c>
      <c r="J1083" s="548">
        <v>658745.8896</v>
      </c>
      <c r="K1083" s="220"/>
      <c r="CE1083" s="525"/>
    </row>
    <row r="1084">
      <c r="A1084" s="509"/>
      <c r="B1084" s="889" t="s">
        <v>419</v>
      </c>
      <c r="C1084" s="890" t="s">
        <v>289</v>
      </c>
      <c r="D1084" s="890" t="s">
        <v>302</v>
      </c>
      <c r="E1084" s="891">
        <v>2019.0</v>
      </c>
      <c r="F1084" s="890" t="s">
        <v>291</v>
      </c>
      <c r="G1084" s="890" t="s">
        <v>89</v>
      </c>
      <c r="H1084" s="532">
        <v>3970634.82</v>
      </c>
      <c r="I1084" s="532">
        <v>4430136.005</v>
      </c>
      <c r="J1084" s="533">
        <v>3455553.899</v>
      </c>
      <c r="K1084" s="220"/>
      <c r="CE1084" s="525"/>
    </row>
    <row r="1085">
      <c r="A1085" s="509"/>
      <c r="B1085" s="886" t="s">
        <v>426</v>
      </c>
      <c r="C1085" s="887" t="s">
        <v>289</v>
      </c>
      <c r="D1085" s="887" t="s">
        <v>290</v>
      </c>
      <c r="E1085" s="888">
        <v>2019.0</v>
      </c>
      <c r="F1085" s="887" t="s">
        <v>291</v>
      </c>
      <c r="G1085" s="887" t="s">
        <v>89</v>
      </c>
      <c r="H1085" s="547">
        <v>454343.5847</v>
      </c>
      <c r="I1085" s="547">
        <v>501374.4215</v>
      </c>
      <c r="J1085" s="548">
        <v>408445.723</v>
      </c>
      <c r="K1085" s="220"/>
      <c r="CE1085" s="525"/>
    </row>
    <row r="1086">
      <c r="A1086" s="509"/>
      <c r="B1086" s="889" t="s">
        <v>426</v>
      </c>
      <c r="C1086" s="890" t="s">
        <v>289</v>
      </c>
      <c r="D1086" s="890" t="s">
        <v>310</v>
      </c>
      <c r="E1086" s="891">
        <v>2019.0</v>
      </c>
      <c r="F1086" s="890" t="s">
        <v>291</v>
      </c>
      <c r="G1086" s="890" t="s">
        <v>89</v>
      </c>
      <c r="H1086" s="532">
        <v>7038856.577</v>
      </c>
      <c r="I1086" s="532">
        <v>7767475.46</v>
      </c>
      <c r="J1086" s="533">
        <v>6327790.158</v>
      </c>
      <c r="K1086" s="220"/>
      <c r="CE1086" s="525"/>
    </row>
    <row r="1087">
      <c r="A1087" s="509"/>
      <c r="B1087" s="886" t="s">
        <v>426</v>
      </c>
      <c r="C1087" s="887" t="s">
        <v>289</v>
      </c>
      <c r="D1087" s="887" t="s">
        <v>318</v>
      </c>
      <c r="E1087" s="888">
        <v>2019.0</v>
      </c>
      <c r="F1087" s="887" t="s">
        <v>291</v>
      </c>
      <c r="G1087" s="887" t="s">
        <v>89</v>
      </c>
      <c r="H1087" s="547">
        <v>5713189.377</v>
      </c>
      <c r="I1087" s="547">
        <v>6304583.393</v>
      </c>
      <c r="J1087" s="548">
        <v>5136042.071</v>
      </c>
      <c r="K1087" s="220"/>
      <c r="CE1087" s="525"/>
    </row>
    <row r="1088">
      <c r="A1088" s="509"/>
      <c r="B1088" s="889" t="s">
        <v>426</v>
      </c>
      <c r="C1088" s="890" t="s">
        <v>289</v>
      </c>
      <c r="D1088" s="890" t="s">
        <v>309</v>
      </c>
      <c r="E1088" s="891">
        <v>2019.0</v>
      </c>
      <c r="F1088" s="890" t="s">
        <v>291</v>
      </c>
      <c r="G1088" s="890" t="s">
        <v>89</v>
      </c>
      <c r="H1088" s="532">
        <v>1689051.292</v>
      </c>
      <c r="I1088" s="532">
        <v>1863891.432</v>
      </c>
      <c r="J1088" s="533">
        <v>1518423.06</v>
      </c>
      <c r="K1088" s="220"/>
      <c r="CE1088" s="525"/>
    </row>
    <row r="1089">
      <c r="A1089" s="509"/>
      <c r="B1089" s="886" t="s">
        <v>426</v>
      </c>
      <c r="C1089" s="887" t="s">
        <v>289</v>
      </c>
      <c r="D1089" s="887" t="s">
        <v>334</v>
      </c>
      <c r="E1089" s="888">
        <v>2019.0</v>
      </c>
      <c r="F1089" s="887" t="s">
        <v>291</v>
      </c>
      <c r="G1089" s="887" t="s">
        <v>89</v>
      </c>
      <c r="H1089" s="547">
        <v>1636389.589</v>
      </c>
      <c r="I1089" s="547">
        <v>1805778.515</v>
      </c>
      <c r="J1089" s="548">
        <v>1471081.251</v>
      </c>
      <c r="K1089" s="220"/>
      <c r="CE1089" s="525"/>
    </row>
    <row r="1090">
      <c r="A1090" s="509"/>
      <c r="B1090" s="889" t="s">
        <v>426</v>
      </c>
      <c r="C1090" s="890" t="s">
        <v>289</v>
      </c>
      <c r="D1090" s="890" t="s">
        <v>339</v>
      </c>
      <c r="E1090" s="891">
        <v>2019.0</v>
      </c>
      <c r="F1090" s="890" t="s">
        <v>291</v>
      </c>
      <c r="G1090" s="890" t="s">
        <v>89</v>
      </c>
      <c r="H1090" s="532">
        <v>2962056.789</v>
      </c>
      <c r="I1090" s="532">
        <v>3268670.581</v>
      </c>
      <c r="J1090" s="533">
        <v>2662829.338</v>
      </c>
      <c r="K1090" s="220"/>
      <c r="CE1090" s="525"/>
    </row>
    <row r="1091">
      <c r="A1091" s="509"/>
      <c r="B1091" s="886" t="s">
        <v>426</v>
      </c>
      <c r="C1091" s="887" t="s">
        <v>289</v>
      </c>
      <c r="D1091" s="887" t="s">
        <v>344</v>
      </c>
      <c r="E1091" s="888">
        <v>2019.0</v>
      </c>
      <c r="F1091" s="887" t="s">
        <v>291</v>
      </c>
      <c r="G1091" s="887" t="s">
        <v>89</v>
      </c>
      <c r="H1091" s="547">
        <v>4060545.387</v>
      </c>
      <c r="I1091" s="547">
        <v>4480867.922</v>
      </c>
      <c r="J1091" s="548">
        <v>3650348.441</v>
      </c>
      <c r="K1091" s="220"/>
      <c r="CE1091" s="525"/>
    </row>
    <row r="1092">
      <c r="A1092" s="509"/>
      <c r="B1092" s="889" t="s">
        <v>426</v>
      </c>
      <c r="C1092" s="890" t="s">
        <v>289</v>
      </c>
      <c r="D1092" s="890" t="s">
        <v>349</v>
      </c>
      <c r="E1092" s="891">
        <v>2019.0</v>
      </c>
      <c r="F1092" s="890" t="s">
        <v>291</v>
      </c>
      <c r="G1092" s="890" t="s">
        <v>89</v>
      </c>
      <c r="H1092" s="532">
        <v>1325667.2</v>
      </c>
      <c r="I1092" s="532">
        <v>1462892.067</v>
      </c>
      <c r="J1092" s="533">
        <v>1191748.087</v>
      </c>
      <c r="K1092" s="220"/>
      <c r="CE1092" s="525"/>
    </row>
    <row r="1093">
      <c r="A1093" s="509"/>
      <c r="B1093" s="886" t="s">
        <v>426</v>
      </c>
      <c r="C1093" s="887" t="s">
        <v>289</v>
      </c>
      <c r="D1093" s="887" t="s">
        <v>355</v>
      </c>
      <c r="E1093" s="888">
        <v>2019.0</v>
      </c>
      <c r="F1093" s="887" t="s">
        <v>291</v>
      </c>
      <c r="G1093" s="887" t="s">
        <v>89</v>
      </c>
      <c r="H1093" s="547">
        <v>4823431.092</v>
      </c>
      <c r="I1093" s="547">
        <v>5322474.996</v>
      </c>
      <c r="J1093" s="548">
        <v>4335915.675</v>
      </c>
      <c r="K1093" s="220"/>
      <c r="CE1093" s="525"/>
    </row>
    <row r="1094">
      <c r="A1094" s="509"/>
      <c r="B1094" s="889" t="s">
        <v>426</v>
      </c>
      <c r="C1094" s="890" t="s">
        <v>289</v>
      </c>
      <c r="D1094" s="890" t="s">
        <v>358</v>
      </c>
      <c r="E1094" s="891">
        <v>2019.0</v>
      </c>
      <c r="F1094" s="890" t="s">
        <v>291</v>
      </c>
      <c r="G1094" s="890" t="s">
        <v>89</v>
      </c>
      <c r="H1094" s="532">
        <v>5721977.427</v>
      </c>
      <c r="I1094" s="532">
        <v>6314281.128</v>
      </c>
      <c r="J1094" s="533">
        <v>5143942.351</v>
      </c>
      <c r="K1094" s="220"/>
      <c r="CE1094" s="525"/>
    </row>
    <row r="1095">
      <c r="A1095" s="509"/>
      <c r="B1095" s="886" t="s">
        <v>426</v>
      </c>
      <c r="C1095" s="887" t="s">
        <v>289</v>
      </c>
      <c r="D1095" s="887" t="s">
        <v>362</v>
      </c>
      <c r="E1095" s="888">
        <v>2019.0</v>
      </c>
      <c r="F1095" s="887" t="s">
        <v>291</v>
      </c>
      <c r="G1095" s="887" t="s">
        <v>89</v>
      </c>
      <c r="H1095" s="547">
        <v>5604602.618</v>
      </c>
      <c r="I1095" s="547">
        <v>6184468.427</v>
      </c>
      <c r="J1095" s="548">
        <v>5038132.376</v>
      </c>
      <c r="K1095" s="220"/>
      <c r="CE1095" s="525"/>
    </row>
    <row r="1096">
      <c r="A1096" s="509"/>
      <c r="B1096" s="889" t="s">
        <v>426</v>
      </c>
      <c r="C1096" s="890" t="s">
        <v>289</v>
      </c>
      <c r="D1096" s="890" t="s">
        <v>366</v>
      </c>
      <c r="E1096" s="891">
        <v>2019.0</v>
      </c>
      <c r="F1096" s="890" t="s">
        <v>291</v>
      </c>
      <c r="G1096" s="890" t="s">
        <v>89</v>
      </c>
      <c r="H1096" s="532">
        <v>1098488.598</v>
      </c>
      <c r="I1096" s="532">
        <v>1212197.341</v>
      </c>
      <c r="J1096" s="533">
        <v>987519.1037</v>
      </c>
      <c r="K1096" s="220"/>
      <c r="CE1096" s="525"/>
    </row>
    <row r="1097">
      <c r="A1097" s="509"/>
      <c r="B1097" s="886" t="s">
        <v>426</v>
      </c>
      <c r="C1097" s="887" t="s">
        <v>289</v>
      </c>
      <c r="D1097" s="887" t="s">
        <v>368</v>
      </c>
      <c r="E1097" s="888">
        <v>2019.0</v>
      </c>
      <c r="F1097" s="887" t="s">
        <v>291</v>
      </c>
      <c r="G1097" s="887" t="s">
        <v>89</v>
      </c>
      <c r="H1097" s="547">
        <v>4505803.758</v>
      </c>
      <c r="I1097" s="547">
        <v>4972216.685</v>
      </c>
      <c r="J1097" s="548">
        <v>4050626.741</v>
      </c>
      <c r="K1097" s="220"/>
      <c r="CE1097" s="525"/>
    </row>
    <row r="1098">
      <c r="A1098" s="509"/>
      <c r="B1098" s="889" t="s">
        <v>426</v>
      </c>
      <c r="C1098" s="890" t="s">
        <v>289</v>
      </c>
      <c r="D1098" s="890" t="s">
        <v>373</v>
      </c>
      <c r="E1098" s="891">
        <v>2019.0</v>
      </c>
      <c r="F1098" s="890" t="s">
        <v>291</v>
      </c>
      <c r="G1098" s="890" t="s">
        <v>89</v>
      </c>
      <c r="H1098" s="532">
        <v>950738.9684</v>
      </c>
      <c r="I1098" s="532">
        <v>1049153.584</v>
      </c>
      <c r="J1098" s="533">
        <v>854695.1655</v>
      </c>
      <c r="K1098" s="220"/>
      <c r="CE1098" s="525"/>
    </row>
    <row r="1099">
      <c r="A1099" s="509"/>
      <c r="B1099" s="886" t="s">
        <v>426</v>
      </c>
      <c r="C1099" s="887" t="s">
        <v>289</v>
      </c>
      <c r="D1099" s="887" t="s">
        <v>379</v>
      </c>
      <c r="E1099" s="888">
        <v>2019.0</v>
      </c>
      <c r="F1099" s="887" t="s">
        <v>291</v>
      </c>
      <c r="G1099" s="887" t="s">
        <v>89</v>
      </c>
      <c r="H1099" s="547">
        <v>3298004.201</v>
      </c>
      <c r="I1099" s="547">
        <v>3639223.732</v>
      </c>
      <c r="J1099" s="548">
        <v>2964667.234</v>
      </c>
      <c r="K1099" s="220"/>
      <c r="CE1099" s="525"/>
    </row>
    <row r="1100">
      <c r="A1100" s="509"/>
      <c r="B1100" s="889" t="s">
        <v>426</v>
      </c>
      <c r="C1100" s="890" t="s">
        <v>289</v>
      </c>
      <c r="D1100" s="890" t="s">
        <v>382</v>
      </c>
      <c r="E1100" s="891">
        <v>2019.0</v>
      </c>
      <c r="F1100" s="890" t="s">
        <v>291</v>
      </c>
      <c r="G1100" s="890" t="s">
        <v>89</v>
      </c>
      <c r="H1100" s="532">
        <v>807730.4985</v>
      </c>
      <c r="I1100" s="532">
        <v>891341.7621</v>
      </c>
      <c r="J1100" s="533">
        <v>726133.4341</v>
      </c>
      <c r="K1100" s="220"/>
      <c r="CE1100" s="525"/>
    </row>
    <row r="1101">
      <c r="A1101" s="509"/>
      <c r="B1101" s="886" t="s">
        <v>426</v>
      </c>
      <c r="C1101" s="887" t="s">
        <v>289</v>
      </c>
      <c r="D1101" s="887" t="s">
        <v>387</v>
      </c>
      <c r="E1101" s="888">
        <v>2019.0</v>
      </c>
      <c r="F1101" s="887" t="s">
        <v>291</v>
      </c>
      <c r="G1101" s="887" t="s">
        <v>89</v>
      </c>
      <c r="H1101" s="547">
        <v>640538.8096</v>
      </c>
      <c r="I1101" s="547">
        <v>706843.4241</v>
      </c>
      <c r="J1101" s="548">
        <v>575831.4764</v>
      </c>
      <c r="K1101" s="220"/>
      <c r="CE1101" s="525"/>
    </row>
    <row r="1102">
      <c r="A1102" s="509"/>
      <c r="B1102" s="889" t="s">
        <v>426</v>
      </c>
      <c r="C1102" s="890" t="s">
        <v>289</v>
      </c>
      <c r="D1102" s="890" t="s">
        <v>392</v>
      </c>
      <c r="E1102" s="891">
        <v>2019.0</v>
      </c>
      <c r="F1102" s="890" t="s">
        <v>291</v>
      </c>
      <c r="G1102" s="890" t="s">
        <v>89</v>
      </c>
      <c r="H1102" s="532">
        <v>497046.3119</v>
      </c>
      <c r="I1102" s="532">
        <v>548497.4708</v>
      </c>
      <c r="J1102" s="533">
        <v>446834.6138</v>
      </c>
      <c r="K1102" s="220"/>
      <c r="CE1102" s="525"/>
    </row>
    <row r="1103">
      <c r="A1103" s="509"/>
      <c r="B1103" s="886" t="s">
        <v>426</v>
      </c>
      <c r="C1103" s="887" t="s">
        <v>289</v>
      </c>
      <c r="D1103" s="887" t="s">
        <v>398</v>
      </c>
      <c r="E1103" s="888">
        <v>2019.0</v>
      </c>
      <c r="F1103" s="887" t="s">
        <v>291</v>
      </c>
      <c r="G1103" s="887" t="s">
        <v>89</v>
      </c>
      <c r="H1103" s="547">
        <v>401767.0408</v>
      </c>
      <c r="I1103" s="547">
        <v>443355.4791</v>
      </c>
      <c r="J1103" s="548">
        <v>361180.4699</v>
      </c>
      <c r="K1103" s="220"/>
      <c r="CE1103" s="525"/>
    </row>
    <row r="1104">
      <c r="A1104" s="509"/>
      <c r="B1104" s="889" t="s">
        <v>426</v>
      </c>
      <c r="C1104" s="890" t="s">
        <v>289</v>
      </c>
      <c r="D1104" s="890" t="s">
        <v>402</v>
      </c>
      <c r="E1104" s="891">
        <v>2019.0</v>
      </c>
      <c r="F1104" s="890" t="s">
        <v>291</v>
      </c>
      <c r="G1104" s="890" t="s">
        <v>89</v>
      </c>
      <c r="H1104" s="532">
        <v>4895732.721</v>
      </c>
      <c r="I1104" s="532">
        <v>5402257.127</v>
      </c>
      <c r="J1104" s="533">
        <v>4400909.61</v>
      </c>
      <c r="K1104" s="220"/>
      <c r="CE1104" s="525"/>
    </row>
    <row r="1105">
      <c r="A1105" s="509"/>
      <c r="B1105" s="886" t="s">
        <v>426</v>
      </c>
      <c r="C1105" s="887" t="s">
        <v>289</v>
      </c>
      <c r="D1105" s="887" t="s">
        <v>407</v>
      </c>
      <c r="E1105" s="888">
        <v>2019.0</v>
      </c>
      <c r="F1105" s="887" t="s">
        <v>291</v>
      </c>
      <c r="G1105" s="887" t="s">
        <v>89</v>
      </c>
      <c r="H1105" s="547">
        <v>1933404.911</v>
      </c>
      <c r="I1105" s="547">
        <v>2133539.026</v>
      </c>
      <c r="J1105" s="548">
        <v>1738092.037</v>
      </c>
      <c r="K1105" s="220"/>
      <c r="CE1105" s="525"/>
    </row>
    <row r="1106">
      <c r="A1106" s="509"/>
      <c r="B1106" s="889" t="s">
        <v>426</v>
      </c>
      <c r="C1106" s="890" t="s">
        <v>289</v>
      </c>
      <c r="D1106" s="890" t="s">
        <v>414</v>
      </c>
      <c r="E1106" s="891">
        <v>2019.0</v>
      </c>
      <c r="F1106" s="890" t="s">
        <v>291</v>
      </c>
      <c r="G1106" s="890" t="s">
        <v>89</v>
      </c>
      <c r="H1106" s="532">
        <v>317770.4788</v>
      </c>
      <c r="I1106" s="532">
        <v>350664.1127</v>
      </c>
      <c r="J1106" s="533">
        <v>285669.2541</v>
      </c>
      <c r="K1106" s="220"/>
      <c r="CE1106" s="525"/>
    </row>
    <row r="1107">
      <c r="A1107" s="509"/>
      <c r="B1107" s="886" t="s">
        <v>426</v>
      </c>
      <c r="C1107" s="887" t="s">
        <v>289</v>
      </c>
      <c r="D1107" s="887" t="s">
        <v>417</v>
      </c>
      <c r="E1107" s="888">
        <v>2019.0</v>
      </c>
      <c r="F1107" s="887" t="s">
        <v>291</v>
      </c>
      <c r="G1107" s="887" t="s">
        <v>89</v>
      </c>
      <c r="H1107" s="547">
        <v>948130.8024</v>
      </c>
      <c r="I1107" s="547">
        <v>1046275.437</v>
      </c>
      <c r="J1107" s="548">
        <v>852350.4768</v>
      </c>
      <c r="K1107" s="220"/>
      <c r="CE1107" s="525"/>
    </row>
    <row r="1108">
      <c r="A1108" s="509"/>
      <c r="B1108" s="889" t="s">
        <v>426</v>
      </c>
      <c r="C1108" s="890" t="s">
        <v>289</v>
      </c>
      <c r="D1108" s="890" t="s">
        <v>300</v>
      </c>
      <c r="E1108" s="891">
        <v>2019.0</v>
      </c>
      <c r="F1108" s="890" t="s">
        <v>291</v>
      </c>
      <c r="G1108" s="890" t="s">
        <v>89</v>
      </c>
      <c r="H1108" s="532">
        <v>3569794.5</v>
      </c>
      <c r="I1108" s="532">
        <v>3939317.54</v>
      </c>
      <c r="J1108" s="533">
        <v>3209173.288</v>
      </c>
      <c r="K1108" s="220"/>
      <c r="CE1108" s="525"/>
    </row>
    <row r="1109">
      <c r="A1109" s="509"/>
      <c r="B1109" s="886" t="s">
        <v>426</v>
      </c>
      <c r="C1109" s="887" t="s">
        <v>289</v>
      </c>
      <c r="D1109" s="887" t="s">
        <v>429</v>
      </c>
      <c r="E1109" s="888">
        <v>2019.0</v>
      </c>
      <c r="F1109" s="887" t="s">
        <v>291</v>
      </c>
      <c r="G1109" s="887" t="s">
        <v>89</v>
      </c>
      <c r="H1109" s="547">
        <v>890260.9338</v>
      </c>
      <c r="I1109" s="547">
        <v>982369.4938</v>
      </c>
      <c r="J1109" s="548">
        <v>800280.1873</v>
      </c>
      <c r="K1109" s="220"/>
      <c r="CE1109" s="525"/>
    </row>
    <row r="1110">
      <c r="A1110" s="509"/>
      <c r="B1110" s="889" t="s">
        <v>426</v>
      </c>
      <c r="C1110" s="890" t="s">
        <v>289</v>
      </c>
      <c r="D1110" s="890" t="s">
        <v>432</v>
      </c>
      <c r="E1110" s="891">
        <v>2019.0</v>
      </c>
      <c r="F1110" s="890" t="s">
        <v>291</v>
      </c>
      <c r="G1110" s="890" t="s">
        <v>89</v>
      </c>
      <c r="H1110" s="532">
        <v>257609.8869</v>
      </c>
      <c r="I1110" s="532">
        <v>284276.0685</v>
      </c>
      <c r="J1110" s="533">
        <v>231586.0949</v>
      </c>
      <c r="K1110" s="220"/>
      <c r="CE1110" s="525"/>
    </row>
    <row r="1111">
      <c r="A1111" s="509"/>
      <c r="B1111" s="886" t="s">
        <v>426</v>
      </c>
      <c r="C1111" s="887" t="s">
        <v>289</v>
      </c>
      <c r="D1111" s="887" t="s">
        <v>435</v>
      </c>
      <c r="E1111" s="888">
        <v>2019.0</v>
      </c>
      <c r="F1111" s="887" t="s">
        <v>291</v>
      </c>
      <c r="G1111" s="887" t="s">
        <v>89</v>
      </c>
      <c r="H1111" s="547">
        <v>210656.5324</v>
      </c>
      <c r="I1111" s="547">
        <v>232462.3932</v>
      </c>
      <c r="J1111" s="548">
        <v>189375.9757</v>
      </c>
      <c r="K1111" s="220"/>
      <c r="CE1111" s="525"/>
    </row>
    <row r="1112">
      <c r="A1112" s="509"/>
      <c r="B1112" s="889" t="s">
        <v>426</v>
      </c>
      <c r="C1112" s="890" t="s">
        <v>289</v>
      </c>
      <c r="D1112" s="890" t="s">
        <v>442</v>
      </c>
      <c r="E1112" s="891">
        <v>2019.0</v>
      </c>
      <c r="F1112" s="890" t="s">
        <v>291</v>
      </c>
      <c r="G1112" s="890" t="s">
        <v>89</v>
      </c>
      <c r="H1112" s="532">
        <v>162093.9043</v>
      </c>
      <c r="I1112" s="532">
        <v>178872.8624</v>
      </c>
      <c r="J1112" s="533">
        <v>145719.1521</v>
      </c>
      <c r="K1112" s="220"/>
      <c r="CE1112" s="525"/>
    </row>
    <row r="1113">
      <c r="A1113" s="509"/>
      <c r="B1113" s="886" t="s">
        <v>426</v>
      </c>
      <c r="C1113" s="887" t="s">
        <v>289</v>
      </c>
      <c r="D1113" s="887" t="s">
        <v>445</v>
      </c>
      <c r="E1113" s="888">
        <v>2019.0</v>
      </c>
      <c r="F1113" s="887" t="s">
        <v>291</v>
      </c>
      <c r="G1113" s="887" t="s">
        <v>89</v>
      </c>
      <c r="H1113" s="547">
        <v>274624.1687</v>
      </c>
      <c r="I1113" s="547">
        <v>303037.4527</v>
      </c>
      <c r="J1113" s="548">
        <v>246867.2643</v>
      </c>
      <c r="K1113" s="220"/>
      <c r="CE1113" s="525"/>
    </row>
    <row r="1114">
      <c r="A1114" s="509"/>
      <c r="B1114" s="889" t="s">
        <v>426</v>
      </c>
      <c r="C1114" s="890" t="s">
        <v>289</v>
      </c>
      <c r="D1114" s="890" t="s">
        <v>450</v>
      </c>
      <c r="E1114" s="891">
        <v>2019.0</v>
      </c>
      <c r="F1114" s="890" t="s">
        <v>291</v>
      </c>
      <c r="G1114" s="890" t="s">
        <v>89</v>
      </c>
      <c r="H1114" s="532">
        <v>112515.0617</v>
      </c>
      <c r="I1114" s="532">
        <v>124161.9247</v>
      </c>
      <c r="J1114" s="533">
        <v>101148.7721</v>
      </c>
      <c r="K1114" s="220"/>
      <c r="CE1114" s="525"/>
    </row>
    <row r="1115">
      <c r="A1115" s="509"/>
      <c r="B1115" s="886" t="s">
        <v>426</v>
      </c>
      <c r="C1115" s="887" t="s">
        <v>289</v>
      </c>
      <c r="D1115" s="887" t="s">
        <v>457</v>
      </c>
      <c r="E1115" s="888">
        <v>2019.0</v>
      </c>
      <c r="F1115" s="887" t="s">
        <v>291</v>
      </c>
      <c r="G1115" s="887" t="s">
        <v>89</v>
      </c>
      <c r="H1115" s="547">
        <v>259851.3267</v>
      </c>
      <c r="I1115" s="547">
        <v>286749.5283</v>
      </c>
      <c r="J1115" s="548">
        <v>233601.104</v>
      </c>
      <c r="K1115" s="220"/>
      <c r="CE1115" s="525"/>
    </row>
    <row r="1116">
      <c r="A1116" s="509"/>
      <c r="B1116" s="889" t="s">
        <v>426</v>
      </c>
      <c r="C1116" s="890" t="s">
        <v>289</v>
      </c>
      <c r="D1116" s="890" t="s">
        <v>463</v>
      </c>
      <c r="E1116" s="891">
        <v>2019.0</v>
      </c>
      <c r="F1116" s="890" t="s">
        <v>291</v>
      </c>
      <c r="G1116" s="890" t="s">
        <v>89</v>
      </c>
      <c r="H1116" s="532">
        <v>147344.4218</v>
      </c>
      <c r="I1116" s="532">
        <v>162589.0338</v>
      </c>
      <c r="J1116" s="533">
        <v>132451.9779</v>
      </c>
      <c r="K1116" s="220"/>
      <c r="CE1116" s="525"/>
    </row>
    <row r="1117">
      <c r="A1117" s="509"/>
      <c r="B1117" s="886" t="s">
        <v>426</v>
      </c>
      <c r="C1117" s="887" t="s">
        <v>289</v>
      </c>
      <c r="D1117" s="887" t="s">
        <v>467</v>
      </c>
      <c r="E1117" s="888">
        <v>2019.0</v>
      </c>
      <c r="F1117" s="887" t="s">
        <v>291</v>
      </c>
      <c r="G1117" s="887" t="s">
        <v>89</v>
      </c>
      <c r="H1117" s="547">
        <v>72655.22793</v>
      </c>
      <c r="I1117" s="547">
        <v>80176.0476</v>
      </c>
      <c r="J1117" s="548">
        <v>65315.58516</v>
      </c>
      <c r="K1117" s="220"/>
      <c r="CE1117" s="525"/>
    </row>
    <row r="1118">
      <c r="A1118" s="509"/>
      <c r="B1118" s="889" t="s">
        <v>426</v>
      </c>
      <c r="C1118" s="890" t="s">
        <v>289</v>
      </c>
      <c r="D1118" s="890" t="s">
        <v>473</v>
      </c>
      <c r="E1118" s="891">
        <v>2019.0</v>
      </c>
      <c r="F1118" s="890" t="s">
        <v>291</v>
      </c>
      <c r="G1118" s="890" t="s">
        <v>89</v>
      </c>
      <c r="H1118" s="532">
        <v>114924.8563</v>
      </c>
      <c r="I1118" s="532">
        <v>126815.2613</v>
      </c>
      <c r="J1118" s="533">
        <v>103309.1334</v>
      </c>
      <c r="K1118" s="220"/>
      <c r="CE1118" s="525"/>
    </row>
    <row r="1119">
      <c r="A1119" s="509"/>
      <c r="B1119" s="886" t="s">
        <v>426</v>
      </c>
      <c r="C1119" s="887" t="s">
        <v>289</v>
      </c>
      <c r="D1119" s="887" t="s">
        <v>477</v>
      </c>
      <c r="E1119" s="888">
        <v>2019.0</v>
      </c>
      <c r="F1119" s="887" t="s">
        <v>291</v>
      </c>
      <c r="G1119" s="887" t="s">
        <v>89</v>
      </c>
      <c r="H1119" s="547">
        <v>74681.03712</v>
      </c>
      <c r="I1119" s="547">
        <v>82411.55602</v>
      </c>
      <c r="J1119" s="548">
        <v>67136.74679</v>
      </c>
      <c r="K1119" s="220"/>
      <c r="CE1119" s="525"/>
    </row>
    <row r="1120">
      <c r="A1120" s="509"/>
      <c r="B1120" s="889" t="s">
        <v>426</v>
      </c>
      <c r="C1120" s="890" t="s">
        <v>289</v>
      </c>
      <c r="D1120" s="890" t="s">
        <v>483</v>
      </c>
      <c r="E1120" s="891">
        <v>2019.0</v>
      </c>
      <c r="F1120" s="890" t="s">
        <v>291</v>
      </c>
      <c r="G1120" s="890" t="s">
        <v>89</v>
      </c>
      <c r="H1120" s="532">
        <v>42263.26633</v>
      </c>
      <c r="I1120" s="532">
        <v>46638.09817</v>
      </c>
      <c r="J1120" s="533">
        <v>37993.82439</v>
      </c>
      <c r="K1120" s="220"/>
      <c r="CE1120" s="525"/>
    </row>
    <row r="1121">
      <c r="A1121" s="509"/>
      <c r="B1121" s="886" t="s">
        <v>426</v>
      </c>
      <c r="C1121" s="887" t="s">
        <v>289</v>
      </c>
      <c r="D1121" s="887" t="s">
        <v>489</v>
      </c>
      <c r="E1121" s="888">
        <v>2019.0</v>
      </c>
      <c r="F1121" s="887" t="s">
        <v>291</v>
      </c>
      <c r="G1121" s="887" t="s">
        <v>89</v>
      </c>
      <c r="H1121" s="547">
        <v>32419.56549</v>
      </c>
      <c r="I1121" s="547">
        <v>35773.77253</v>
      </c>
      <c r="J1121" s="548">
        <v>29142.84448</v>
      </c>
      <c r="K1121" s="220"/>
      <c r="CE1121" s="525"/>
    </row>
    <row r="1122">
      <c r="A1122" s="509"/>
      <c r="B1122" s="889" t="s">
        <v>426</v>
      </c>
      <c r="C1122" s="890" t="s">
        <v>289</v>
      </c>
      <c r="D1122" s="890" t="s">
        <v>493</v>
      </c>
      <c r="E1122" s="891">
        <v>2019.0</v>
      </c>
      <c r="F1122" s="890" t="s">
        <v>291</v>
      </c>
      <c r="G1122" s="890" t="s">
        <v>89</v>
      </c>
      <c r="H1122" s="532">
        <v>22177.83738</v>
      </c>
      <c r="I1122" s="532">
        <v>24473.54989</v>
      </c>
      <c r="J1122" s="533">
        <v>19937.4287</v>
      </c>
      <c r="K1122" s="220"/>
      <c r="CE1122" s="525"/>
    </row>
    <row r="1123">
      <c r="A1123" s="509"/>
      <c r="B1123" s="886" t="s">
        <v>426</v>
      </c>
      <c r="C1123" s="887" t="s">
        <v>289</v>
      </c>
      <c r="D1123" s="887" t="s">
        <v>496</v>
      </c>
      <c r="E1123" s="888">
        <v>2019.0</v>
      </c>
      <c r="F1123" s="887" t="s">
        <v>291</v>
      </c>
      <c r="G1123" s="887" t="s">
        <v>89</v>
      </c>
      <c r="H1123" s="547">
        <v>8337.754649</v>
      </c>
      <c r="I1123" s="547">
        <v>9200.827424</v>
      </c>
      <c r="J1123" s="548">
        <v>7495.473339</v>
      </c>
      <c r="K1123" s="220"/>
      <c r="CE1123" s="525"/>
    </row>
    <row r="1124">
      <c r="A1124" s="509"/>
      <c r="B1124" s="889" t="s">
        <v>426</v>
      </c>
      <c r="C1124" s="890" t="s">
        <v>289</v>
      </c>
      <c r="D1124" s="890" t="s">
        <v>502</v>
      </c>
      <c r="E1124" s="891">
        <v>2019.0</v>
      </c>
      <c r="F1124" s="890" t="s">
        <v>291</v>
      </c>
      <c r="G1124" s="890" t="s">
        <v>89</v>
      </c>
      <c r="H1124" s="532">
        <v>1902.178762</v>
      </c>
      <c r="I1124" s="532">
        <v>2099.080539</v>
      </c>
      <c r="J1124" s="533">
        <v>1710.020359</v>
      </c>
      <c r="K1124" s="220"/>
      <c r="CE1124" s="525"/>
    </row>
    <row r="1125">
      <c r="A1125" s="509"/>
      <c r="B1125" s="886" t="s">
        <v>426</v>
      </c>
      <c r="C1125" s="887" t="s">
        <v>289</v>
      </c>
      <c r="D1125" s="887" t="s">
        <v>332</v>
      </c>
      <c r="E1125" s="888">
        <v>2019.0</v>
      </c>
      <c r="F1125" s="887" t="s">
        <v>291</v>
      </c>
      <c r="G1125" s="887" t="s">
        <v>89</v>
      </c>
      <c r="H1125" s="547">
        <v>1.264314893E7</v>
      </c>
      <c r="I1125" s="547">
        <v>1.395188949E7</v>
      </c>
      <c r="J1125" s="548">
        <v>1.1365936E7</v>
      </c>
      <c r="K1125" s="220"/>
      <c r="CE1125" s="525"/>
    </row>
    <row r="1126">
      <c r="A1126" s="509"/>
      <c r="B1126" s="889" t="s">
        <v>426</v>
      </c>
      <c r="C1126" s="890" t="s">
        <v>289</v>
      </c>
      <c r="D1126" s="890" t="s">
        <v>510</v>
      </c>
      <c r="E1126" s="891">
        <v>2019.0</v>
      </c>
      <c r="F1126" s="890" t="s">
        <v>291</v>
      </c>
      <c r="G1126" s="890" t="s">
        <v>89</v>
      </c>
      <c r="H1126" s="532">
        <v>477261.0768</v>
      </c>
      <c r="I1126" s="532">
        <v>512470.0897</v>
      </c>
      <c r="J1126" s="533">
        <v>440864.2207</v>
      </c>
      <c r="K1126" s="220"/>
      <c r="CE1126" s="525"/>
    </row>
    <row r="1127">
      <c r="A1127" s="509"/>
      <c r="B1127" s="886" t="s">
        <v>426</v>
      </c>
      <c r="C1127" s="887" t="s">
        <v>289</v>
      </c>
      <c r="D1127" s="887" t="s">
        <v>512</v>
      </c>
      <c r="E1127" s="888">
        <v>2019.0</v>
      </c>
      <c r="F1127" s="887" t="s">
        <v>291</v>
      </c>
      <c r="G1127" s="887" t="s">
        <v>89</v>
      </c>
      <c r="H1127" s="547">
        <v>9102.907757</v>
      </c>
      <c r="I1127" s="547">
        <v>10045.18445</v>
      </c>
      <c r="J1127" s="548">
        <v>8183.330556</v>
      </c>
      <c r="K1127" s="220"/>
      <c r="CE1127" s="525"/>
    </row>
    <row r="1128">
      <c r="A1128" s="509"/>
      <c r="B1128" s="889" t="s">
        <v>426</v>
      </c>
      <c r="C1128" s="890" t="s">
        <v>289</v>
      </c>
      <c r="D1128" s="890" t="s">
        <v>515</v>
      </c>
      <c r="E1128" s="891">
        <v>2019.0</v>
      </c>
      <c r="F1128" s="890" t="s">
        <v>291</v>
      </c>
      <c r="G1128" s="890" t="s">
        <v>89</v>
      </c>
      <c r="H1128" s="532">
        <v>26858.9216</v>
      </c>
      <c r="I1128" s="532">
        <v>29639.19099</v>
      </c>
      <c r="J1128" s="533">
        <v>24145.62904</v>
      </c>
      <c r="K1128" s="220"/>
      <c r="CE1128" s="525"/>
    </row>
    <row r="1129">
      <c r="A1129" s="509"/>
      <c r="B1129" s="886" t="s">
        <v>426</v>
      </c>
      <c r="C1129" s="887" t="s">
        <v>289</v>
      </c>
      <c r="D1129" s="887" t="s">
        <v>518</v>
      </c>
      <c r="E1129" s="888">
        <v>2019.0</v>
      </c>
      <c r="F1129" s="887" t="s">
        <v>291</v>
      </c>
      <c r="G1129" s="887" t="s">
        <v>89</v>
      </c>
      <c r="H1129" s="547">
        <v>35961.82936</v>
      </c>
      <c r="I1129" s="547">
        <v>39684.37543</v>
      </c>
      <c r="J1129" s="548">
        <v>32328.9596</v>
      </c>
      <c r="K1129" s="220"/>
      <c r="CE1129" s="525"/>
    </row>
    <row r="1130">
      <c r="A1130" s="509"/>
      <c r="B1130" s="889" t="s">
        <v>426</v>
      </c>
      <c r="C1130" s="890" t="s">
        <v>289</v>
      </c>
      <c r="D1130" s="890" t="s">
        <v>522</v>
      </c>
      <c r="E1130" s="891">
        <v>2019.0</v>
      </c>
      <c r="F1130" s="890" t="s">
        <v>291</v>
      </c>
      <c r="G1130" s="890" t="s">
        <v>89</v>
      </c>
      <c r="H1130" s="532">
        <v>418381.7553</v>
      </c>
      <c r="I1130" s="532">
        <v>461690.0461</v>
      </c>
      <c r="J1130" s="533">
        <v>376116.7634</v>
      </c>
      <c r="K1130" s="220"/>
      <c r="CE1130" s="525"/>
    </row>
    <row r="1131">
      <c r="A1131" s="509"/>
      <c r="B1131" s="886" t="s">
        <v>426</v>
      </c>
      <c r="C1131" s="887" t="s">
        <v>289</v>
      </c>
      <c r="D1131" s="887" t="s">
        <v>302</v>
      </c>
      <c r="E1131" s="888">
        <v>2019.0</v>
      </c>
      <c r="F1131" s="887" t="s">
        <v>291</v>
      </c>
      <c r="G1131" s="887" t="s">
        <v>89</v>
      </c>
      <c r="H1131" s="547">
        <v>2143394.877</v>
      </c>
      <c r="I1131" s="547">
        <v>2365265.853</v>
      </c>
      <c r="J1131" s="548">
        <v>1926868.783</v>
      </c>
      <c r="K1131" s="220"/>
      <c r="CE1131" s="525"/>
    </row>
    <row r="1132">
      <c r="A1132" s="509"/>
      <c r="B1132" s="889" t="s">
        <v>399</v>
      </c>
      <c r="C1132" s="890" t="s">
        <v>289</v>
      </c>
      <c r="D1132" s="890" t="s">
        <v>290</v>
      </c>
      <c r="E1132" s="891">
        <v>2019.0</v>
      </c>
      <c r="F1132" s="890" t="s">
        <v>291</v>
      </c>
      <c r="G1132" s="890" t="s">
        <v>89</v>
      </c>
      <c r="H1132" s="532">
        <v>59695.02792</v>
      </c>
      <c r="I1132" s="532">
        <v>67386.85288</v>
      </c>
      <c r="J1132" s="533">
        <v>52320.95024</v>
      </c>
      <c r="K1132" s="220"/>
      <c r="CE1132" s="525"/>
    </row>
    <row r="1133">
      <c r="A1133" s="509"/>
      <c r="B1133" s="886" t="s">
        <v>399</v>
      </c>
      <c r="C1133" s="887" t="s">
        <v>289</v>
      </c>
      <c r="D1133" s="887" t="s">
        <v>310</v>
      </c>
      <c r="E1133" s="888">
        <v>2019.0</v>
      </c>
      <c r="F1133" s="887" t="s">
        <v>291</v>
      </c>
      <c r="G1133" s="887" t="s">
        <v>89</v>
      </c>
      <c r="H1133" s="547">
        <v>1001223.896</v>
      </c>
      <c r="I1133" s="547">
        <v>1130233.618</v>
      </c>
      <c r="J1133" s="548">
        <v>877543.5319</v>
      </c>
      <c r="K1133" s="220"/>
      <c r="CE1133" s="525"/>
    </row>
    <row r="1134">
      <c r="A1134" s="509"/>
      <c r="B1134" s="889" t="s">
        <v>399</v>
      </c>
      <c r="C1134" s="890" t="s">
        <v>289</v>
      </c>
      <c r="D1134" s="890" t="s">
        <v>318</v>
      </c>
      <c r="E1134" s="891">
        <v>2019.0</v>
      </c>
      <c r="F1134" s="890" t="s">
        <v>291</v>
      </c>
      <c r="G1134" s="890" t="s">
        <v>89</v>
      </c>
      <c r="H1134" s="532">
        <v>794677.776</v>
      </c>
      <c r="I1134" s="532">
        <v>897073.613</v>
      </c>
      <c r="J1134" s="533">
        <v>696511.8841</v>
      </c>
      <c r="K1134" s="220"/>
      <c r="CE1134" s="525"/>
    </row>
    <row r="1135">
      <c r="A1135" s="509"/>
      <c r="B1135" s="886" t="s">
        <v>399</v>
      </c>
      <c r="C1135" s="887" t="s">
        <v>289</v>
      </c>
      <c r="D1135" s="887" t="s">
        <v>309</v>
      </c>
      <c r="E1135" s="888">
        <v>2019.0</v>
      </c>
      <c r="F1135" s="887" t="s">
        <v>291</v>
      </c>
      <c r="G1135" s="887" t="s">
        <v>89</v>
      </c>
      <c r="H1135" s="547">
        <v>227753.8705</v>
      </c>
      <c r="I1135" s="547">
        <v>257100.4169</v>
      </c>
      <c r="J1135" s="548">
        <v>199619.6223</v>
      </c>
      <c r="K1135" s="220"/>
      <c r="CE1135" s="525"/>
    </row>
    <row r="1136">
      <c r="A1136" s="509"/>
      <c r="B1136" s="889" t="s">
        <v>399</v>
      </c>
      <c r="C1136" s="890" t="s">
        <v>289</v>
      </c>
      <c r="D1136" s="890" t="s">
        <v>334</v>
      </c>
      <c r="E1136" s="891">
        <v>2019.0</v>
      </c>
      <c r="F1136" s="890" t="s">
        <v>291</v>
      </c>
      <c r="G1136" s="890" t="s">
        <v>89</v>
      </c>
      <c r="H1136" s="532">
        <v>238123.8488</v>
      </c>
      <c r="I1136" s="532">
        <v>268806.5879</v>
      </c>
      <c r="J1136" s="533">
        <v>208708.6057</v>
      </c>
      <c r="K1136" s="220"/>
      <c r="CE1136" s="525"/>
    </row>
    <row r="1137">
      <c r="A1137" s="509"/>
      <c r="B1137" s="886" t="s">
        <v>399</v>
      </c>
      <c r="C1137" s="887" t="s">
        <v>289</v>
      </c>
      <c r="D1137" s="887" t="s">
        <v>339</v>
      </c>
      <c r="E1137" s="888">
        <v>2019.0</v>
      </c>
      <c r="F1137" s="887" t="s">
        <v>291</v>
      </c>
      <c r="G1137" s="887" t="s">
        <v>89</v>
      </c>
      <c r="H1137" s="547">
        <v>444669.9689</v>
      </c>
      <c r="I1137" s="547">
        <v>501966.5927</v>
      </c>
      <c r="J1137" s="548">
        <v>389740.2534</v>
      </c>
      <c r="K1137" s="220"/>
      <c r="CE1137" s="525"/>
    </row>
    <row r="1138">
      <c r="A1138" s="509"/>
      <c r="B1138" s="889" t="s">
        <v>399</v>
      </c>
      <c r="C1138" s="890" t="s">
        <v>289</v>
      </c>
      <c r="D1138" s="890" t="s">
        <v>344</v>
      </c>
      <c r="E1138" s="891">
        <v>2019.0</v>
      </c>
      <c r="F1138" s="890" t="s">
        <v>291</v>
      </c>
      <c r="G1138" s="890" t="s">
        <v>89</v>
      </c>
      <c r="H1138" s="532">
        <v>627126.2713</v>
      </c>
      <c r="I1138" s="532">
        <v>707932.7584</v>
      </c>
      <c r="J1138" s="533">
        <v>549657.879</v>
      </c>
      <c r="K1138" s="220"/>
      <c r="CE1138" s="525"/>
    </row>
    <row r="1139">
      <c r="A1139" s="509"/>
      <c r="B1139" s="886" t="s">
        <v>399</v>
      </c>
      <c r="C1139" s="887" t="s">
        <v>289</v>
      </c>
      <c r="D1139" s="887" t="s">
        <v>349</v>
      </c>
      <c r="E1139" s="888">
        <v>2019.0</v>
      </c>
      <c r="F1139" s="887" t="s">
        <v>291</v>
      </c>
      <c r="G1139" s="887" t="s">
        <v>89</v>
      </c>
      <c r="H1139" s="547">
        <v>206546.12</v>
      </c>
      <c r="I1139" s="547">
        <v>233160.0049</v>
      </c>
      <c r="J1139" s="548">
        <v>181031.6477</v>
      </c>
      <c r="K1139" s="220"/>
      <c r="CE1139" s="525"/>
    </row>
    <row r="1140">
      <c r="A1140" s="509"/>
      <c r="B1140" s="889" t="s">
        <v>399</v>
      </c>
      <c r="C1140" s="890" t="s">
        <v>289</v>
      </c>
      <c r="D1140" s="890" t="s">
        <v>355</v>
      </c>
      <c r="E1140" s="891">
        <v>2019.0</v>
      </c>
      <c r="F1140" s="890" t="s">
        <v>291</v>
      </c>
      <c r="G1140" s="890" t="s">
        <v>89</v>
      </c>
      <c r="H1140" s="532">
        <v>803564.1719</v>
      </c>
      <c r="I1140" s="532">
        <v>907161.6163</v>
      </c>
      <c r="J1140" s="533">
        <v>704309.2532</v>
      </c>
      <c r="K1140" s="220"/>
      <c r="CE1140" s="525"/>
    </row>
    <row r="1141">
      <c r="A1141" s="509"/>
      <c r="B1141" s="886" t="s">
        <v>399</v>
      </c>
      <c r="C1141" s="887" t="s">
        <v>289</v>
      </c>
      <c r="D1141" s="887" t="s">
        <v>358</v>
      </c>
      <c r="E1141" s="888">
        <v>2019.0</v>
      </c>
      <c r="F1141" s="887" t="s">
        <v>291</v>
      </c>
      <c r="G1141" s="887" t="s">
        <v>89</v>
      </c>
      <c r="H1141" s="547">
        <v>946258.1791</v>
      </c>
      <c r="I1141" s="547">
        <v>1068185.457</v>
      </c>
      <c r="J1141" s="548">
        <v>829367.6848</v>
      </c>
      <c r="K1141" s="220"/>
      <c r="CE1141" s="525"/>
    </row>
    <row r="1142">
      <c r="A1142" s="509"/>
      <c r="B1142" s="889" t="s">
        <v>399</v>
      </c>
      <c r="C1142" s="890" t="s">
        <v>289</v>
      </c>
      <c r="D1142" s="890" t="s">
        <v>362</v>
      </c>
      <c r="E1142" s="891">
        <v>2019.0</v>
      </c>
      <c r="F1142" s="890" t="s">
        <v>291</v>
      </c>
      <c r="G1142" s="890" t="s">
        <v>89</v>
      </c>
      <c r="H1142" s="532">
        <v>899934.7924</v>
      </c>
      <c r="I1142" s="532">
        <v>1015956.571</v>
      </c>
      <c r="J1142" s="533">
        <v>788776.3339</v>
      </c>
      <c r="K1142" s="220"/>
      <c r="CE1142" s="525"/>
    </row>
    <row r="1143">
      <c r="A1143" s="509"/>
      <c r="B1143" s="886" t="s">
        <v>399</v>
      </c>
      <c r="C1143" s="887" t="s">
        <v>289</v>
      </c>
      <c r="D1143" s="887" t="s">
        <v>366</v>
      </c>
      <c r="E1143" s="888">
        <v>2019.0</v>
      </c>
      <c r="F1143" s="887" t="s">
        <v>291</v>
      </c>
      <c r="G1143" s="887" t="s">
        <v>89</v>
      </c>
      <c r="H1143" s="547">
        <v>182456.3025</v>
      </c>
      <c r="I1143" s="547">
        <v>205966.1657</v>
      </c>
      <c r="J1143" s="548">
        <v>159917.6256</v>
      </c>
      <c r="K1143" s="220"/>
      <c r="CE1143" s="525"/>
    </row>
    <row r="1144">
      <c r="A1144" s="509"/>
      <c r="B1144" s="889" t="s">
        <v>399</v>
      </c>
      <c r="C1144" s="890" t="s">
        <v>289</v>
      </c>
      <c r="D1144" s="890" t="s">
        <v>368</v>
      </c>
      <c r="E1144" s="891">
        <v>2019.0</v>
      </c>
      <c r="F1144" s="890" t="s">
        <v>291</v>
      </c>
      <c r="G1144" s="890" t="s">
        <v>89</v>
      </c>
      <c r="H1144" s="532">
        <v>717511.2439</v>
      </c>
      <c r="I1144" s="532">
        <v>809964.0173</v>
      </c>
      <c r="J1144" s="533">
        <v>628877.6702</v>
      </c>
      <c r="K1144" s="220"/>
      <c r="CE1144" s="525"/>
    </row>
    <row r="1145">
      <c r="A1145" s="509"/>
      <c r="B1145" s="886" t="s">
        <v>399</v>
      </c>
      <c r="C1145" s="887" t="s">
        <v>289</v>
      </c>
      <c r="D1145" s="887" t="s">
        <v>373</v>
      </c>
      <c r="E1145" s="888">
        <v>2019.0</v>
      </c>
      <c r="F1145" s="887" t="s">
        <v>291</v>
      </c>
      <c r="G1145" s="887" t="s">
        <v>89</v>
      </c>
      <c r="H1145" s="547">
        <v>165109.9381</v>
      </c>
      <c r="I1145" s="547">
        <v>186384.6873</v>
      </c>
      <c r="J1145" s="548">
        <v>144714.0433</v>
      </c>
      <c r="K1145" s="220"/>
      <c r="CE1145" s="525"/>
    </row>
    <row r="1146">
      <c r="A1146" s="509"/>
      <c r="B1146" s="889" t="s">
        <v>399</v>
      </c>
      <c r="C1146" s="890" t="s">
        <v>289</v>
      </c>
      <c r="D1146" s="890" t="s">
        <v>379</v>
      </c>
      <c r="E1146" s="891">
        <v>2019.0</v>
      </c>
      <c r="F1146" s="890" t="s">
        <v>291</v>
      </c>
      <c r="G1146" s="890" t="s">
        <v>89</v>
      </c>
      <c r="H1146" s="532">
        <v>557235.4755</v>
      </c>
      <c r="I1146" s="532">
        <v>629075.6262</v>
      </c>
      <c r="J1146" s="533">
        <v>488406.6704</v>
      </c>
      <c r="K1146" s="220"/>
      <c r="CE1146" s="525"/>
    </row>
    <row r="1147">
      <c r="A1147" s="509"/>
      <c r="B1147" s="886" t="s">
        <v>399</v>
      </c>
      <c r="C1147" s="887" t="s">
        <v>289</v>
      </c>
      <c r="D1147" s="887" t="s">
        <v>382</v>
      </c>
      <c r="E1147" s="888">
        <v>2019.0</v>
      </c>
      <c r="F1147" s="887" t="s">
        <v>291</v>
      </c>
      <c r="G1147" s="887" t="s">
        <v>89</v>
      </c>
      <c r="H1147" s="547">
        <v>140091.2376</v>
      </c>
      <c r="I1147" s="547">
        <v>158142.2766</v>
      </c>
      <c r="J1147" s="548">
        <v>122785.8822</v>
      </c>
      <c r="K1147" s="220"/>
      <c r="CE1147" s="525"/>
    </row>
    <row r="1148">
      <c r="A1148" s="509"/>
      <c r="B1148" s="889" t="s">
        <v>399</v>
      </c>
      <c r="C1148" s="890" t="s">
        <v>289</v>
      </c>
      <c r="D1148" s="890" t="s">
        <v>387</v>
      </c>
      <c r="E1148" s="891">
        <v>2019.0</v>
      </c>
      <c r="F1148" s="890" t="s">
        <v>291</v>
      </c>
      <c r="G1148" s="890" t="s">
        <v>89</v>
      </c>
      <c r="H1148" s="532">
        <v>109389.8202</v>
      </c>
      <c r="I1148" s="532">
        <v>123484.9195</v>
      </c>
      <c r="J1148" s="533">
        <v>95876.98571</v>
      </c>
      <c r="K1148" s="220"/>
      <c r="CE1148" s="525"/>
    </row>
    <row r="1149">
      <c r="A1149" s="509"/>
      <c r="B1149" s="886" t="s">
        <v>399</v>
      </c>
      <c r="C1149" s="887" t="s">
        <v>289</v>
      </c>
      <c r="D1149" s="887" t="s">
        <v>392</v>
      </c>
      <c r="E1149" s="888">
        <v>2019.0</v>
      </c>
      <c r="F1149" s="887" t="s">
        <v>291</v>
      </c>
      <c r="G1149" s="887" t="s">
        <v>89</v>
      </c>
      <c r="H1149" s="547">
        <v>81329.84466</v>
      </c>
      <c r="I1149" s="547">
        <v>91809.35946</v>
      </c>
      <c r="J1149" s="548">
        <v>71283.23586</v>
      </c>
      <c r="K1149" s="220"/>
      <c r="CE1149" s="525"/>
    </row>
    <row r="1150">
      <c r="A1150" s="509"/>
      <c r="B1150" s="889" t="s">
        <v>399</v>
      </c>
      <c r="C1150" s="890" t="s">
        <v>289</v>
      </c>
      <c r="D1150" s="890" t="s">
        <v>398</v>
      </c>
      <c r="E1150" s="891">
        <v>2019.0</v>
      </c>
      <c r="F1150" s="890" t="s">
        <v>291</v>
      </c>
      <c r="G1150" s="890" t="s">
        <v>89</v>
      </c>
      <c r="H1150" s="532">
        <v>61334.91608</v>
      </c>
      <c r="I1150" s="532">
        <v>69238.04393</v>
      </c>
      <c r="J1150" s="533">
        <v>53758.26435</v>
      </c>
      <c r="K1150" s="220"/>
      <c r="CE1150" s="525"/>
    </row>
    <row r="1151">
      <c r="A1151" s="509"/>
      <c r="B1151" s="886" t="s">
        <v>399</v>
      </c>
      <c r="C1151" s="887" t="s">
        <v>289</v>
      </c>
      <c r="D1151" s="887" t="s">
        <v>402</v>
      </c>
      <c r="E1151" s="888">
        <v>2019.0</v>
      </c>
      <c r="F1151" s="887" t="s">
        <v>291</v>
      </c>
      <c r="G1151" s="887" t="s">
        <v>89</v>
      </c>
      <c r="H1151" s="547">
        <v>713749.02</v>
      </c>
      <c r="I1151" s="547">
        <v>805767.2769</v>
      </c>
      <c r="J1151" s="548">
        <v>625587.9204</v>
      </c>
      <c r="K1151" s="220"/>
      <c r="CE1151" s="525"/>
    </row>
    <row r="1152">
      <c r="A1152" s="509"/>
      <c r="B1152" s="889" t="s">
        <v>399</v>
      </c>
      <c r="C1152" s="890" t="s">
        <v>289</v>
      </c>
      <c r="D1152" s="890" t="s">
        <v>407</v>
      </c>
      <c r="E1152" s="891">
        <v>2019.0</v>
      </c>
      <c r="F1152" s="890" t="s">
        <v>291</v>
      </c>
      <c r="G1152" s="890" t="s">
        <v>89</v>
      </c>
      <c r="H1152" s="532">
        <v>269105.0287</v>
      </c>
      <c r="I1152" s="532">
        <v>303779.7554</v>
      </c>
      <c r="J1152" s="533">
        <v>235862.7059</v>
      </c>
      <c r="K1152" s="220"/>
      <c r="CE1152" s="525"/>
    </row>
    <row r="1153">
      <c r="A1153" s="509"/>
      <c r="B1153" s="886" t="s">
        <v>399</v>
      </c>
      <c r="C1153" s="887" t="s">
        <v>289</v>
      </c>
      <c r="D1153" s="887" t="s">
        <v>414</v>
      </c>
      <c r="E1153" s="888">
        <v>2019.0</v>
      </c>
      <c r="F1153" s="887" t="s">
        <v>291</v>
      </c>
      <c r="G1153" s="887" t="s">
        <v>89</v>
      </c>
      <c r="H1153" s="547">
        <v>47418.2683</v>
      </c>
      <c r="I1153" s="547">
        <v>53528.20797</v>
      </c>
      <c r="J1153" s="548">
        <v>41560.72863</v>
      </c>
      <c r="K1153" s="220"/>
      <c r="CE1153" s="525"/>
    </row>
    <row r="1154">
      <c r="A1154" s="509"/>
      <c r="B1154" s="889" t="s">
        <v>399</v>
      </c>
      <c r="C1154" s="890" t="s">
        <v>289</v>
      </c>
      <c r="D1154" s="890" t="s">
        <v>417</v>
      </c>
      <c r="E1154" s="891">
        <v>2019.0</v>
      </c>
      <c r="F1154" s="890" t="s">
        <v>291</v>
      </c>
      <c r="G1154" s="890" t="s">
        <v>89</v>
      </c>
      <c r="H1154" s="532">
        <v>132262.129</v>
      </c>
      <c r="I1154" s="532">
        <v>149304.3715</v>
      </c>
      <c r="J1154" s="533">
        <v>115923.897</v>
      </c>
      <c r="K1154" s="220"/>
      <c r="CE1154" s="525"/>
    </row>
    <row r="1155">
      <c r="A1155" s="509"/>
      <c r="B1155" s="886" t="s">
        <v>399</v>
      </c>
      <c r="C1155" s="887" t="s">
        <v>289</v>
      </c>
      <c r="D1155" s="887" t="s">
        <v>300</v>
      </c>
      <c r="E1155" s="888">
        <v>2019.0</v>
      </c>
      <c r="F1155" s="887" t="s">
        <v>291</v>
      </c>
      <c r="G1155" s="887" t="s">
        <v>89</v>
      </c>
      <c r="H1155" s="547">
        <v>507228.8776</v>
      </c>
      <c r="I1155" s="547">
        <v>572586.3432</v>
      </c>
      <c r="J1155" s="548">
        <v>444571.3116</v>
      </c>
      <c r="K1155" s="220"/>
      <c r="CE1155" s="525"/>
    </row>
    <row r="1156">
      <c r="A1156" s="509"/>
      <c r="B1156" s="889" t="s">
        <v>399</v>
      </c>
      <c r="C1156" s="890" t="s">
        <v>289</v>
      </c>
      <c r="D1156" s="890" t="s">
        <v>429</v>
      </c>
      <c r="E1156" s="891">
        <v>2019.0</v>
      </c>
      <c r="F1156" s="890" t="s">
        <v>291</v>
      </c>
      <c r="G1156" s="890" t="s">
        <v>89</v>
      </c>
      <c r="H1156" s="532">
        <v>112833.1123</v>
      </c>
      <c r="I1156" s="532">
        <v>127379.8311</v>
      </c>
      <c r="J1156" s="533">
        <v>98896.15269</v>
      </c>
      <c r="K1156" s="220"/>
      <c r="CE1156" s="525"/>
    </row>
    <row r="1157">
      <c r="A1157" s="509"/>
      <c r="B1157" s="886" t="s">
        <v>399</v>
      </c>
      <c r="C1157" s="887" t="s">
        <v>289</v>
      </c>
      <c r="D1157" s="887" t="s">
        <v>432</v>
      </c>
      <c r="E1157" s="888">
        <v>2019.0</v>
      </c>
      <c r="F1157" s="887" t="s">
        <v>291</v>
      </c>
      <c r="G1157" s="887" t="s">
        <v>89</v>
      </c>
      <c r="H1157" s="547">
        <v>36770.83695</v>
      </c>
      <c r="I1157" s="547">
        <v>41508.83359</v>
      </c>
      <c r="J1157" s="548">
        <v>32228.56572</v>
      </c>
      <c r="K1157" s="220"/>
      <c r="CE1157" s="525"/>
    </row>
    <row r="1158">
      <c r="A1158" s="509"/>
      <c r="B1158" s="889" t="s">
        <v>399</v>
      </c>
      <c r="C1158" s="890" t="s">
        <v>289</v>
      </c>
      <c r="D1158" s="890" t="s">
        <v>435</v>
      </c>
      <c r="E1158" s="891">
        <v>2019.0</v>
      </c>
      <c r="F1158" s="890" t="s">
        <v>291</v>
      </c>
      <c r="G1158" s="890" t="s">
        <v>89</v>
      </c>
      <c r="H1158" s="532">
        <v>27950.22631</v>
      </c>
      <c r="I1158" s="532">
        <v>31551.66944</v>
      </c>
      <c r="J1158" s="533">
        <v>24497.55785</v>
      </c>
      <c r="K1158" s="220"/>
      <c r="CE1158" s="525"/>
    </row>
    <row r="1159">
      <c r="A1159" s="509"/>
      <c r="B1159" s="886" t="s">
        <v>399</v>
      </c>
      <c r="C1159" s="887" t="s">
        <v>289</v>
      </c>
      <c r="D1159" s="887" t="s">
        <v>442</v>
      </c>
      <c r="E1159" s="888">
        <v>2019.0</v>
      </c>
      <c r="F1159" s="887" t="s">
        <v>291</v>
      </c>
      <c r="G1159" s="887" t="s">
        <v>89</v>
      </c>
      <c r="H1159" s="547">
        <v>20122.79741</v>
      </c>
      <c r="I1159" s="547">
        <v>22715.66051</v>
      </c>
      <c r="J1159" s="548">
        <v>17637.0448</v>
      </c>
      <c r="K1159" s="220"/>
      <c r="CE1159" s="525"/>
    </row>
    <row r="1160">
      <c r="A1160" s="509"/>
      <c r="B1160" s="889" t="s">
        <v>399</v>
      </c>
      <c r="C1160" s="890" t="s">
        <v>289</v>
      </c>
      <c r="D1160" s="890" t="s">
        <v>445</v>
      </c>
      <c r="E1160" s="891">
        <v>2019.0</v>
      </c>
      <c r="F1160" s="890" t="s">
        <v>291</v>
      </c>
      <c r="G1160" s="890" t="s">
        <v>89</v>
      </c>
      <c r="H1160" s="532">
        <v>33828.74172</v>
      </c>
      <c r="I1160" s="532">
        <v>38190.02526</v>
      </c>
      <c r="J1160" s="533">
        <v>29650.27145</v>
      </c>
      <c r="K1160" s="220"/>
      <c r="CE1160" s="525"/>
    </row>
    <row r="1161">
      <c r="A1161" s="509"/>
      <c r="B1161" s="886" t="s">
        <v>399</v>
      </c>
      <c r="C1161" s="887" t="s">
        <v>289</v>
      </c>
      <c r="D1161" s="887" t="s">
        <v>450</v>
      </c>
      <c r="E1161" s="888">
        <v>2019.0</v>
      </c>
      <c r="F1161" s="887" t="s">
        <v>291</v>
      </c>
      <c r="G1161" s="887" t="s">
        <v>89</v>
      </c>
      <c r="H1161" s="547">
        <v>13707.17555</v>
      </c>
      <c r="I1161" s="547">
        <v>15473.37281</v>
      </c>
      <c r="J1161" s="548">
        <v>12013.93943</v>
      </c>
      <c r="K1161" s="220"/>
      <c r="CE1161" s="525"/>
    </row>
    <row r="1162">
      <c r="A1162" s="509"/>
      <c r="B1162" s="889" t="s">
        <v>399</v>
      </c>
      <c r="C1162" s="890" t="s">
        <v>289</v>
      </c>
      <c r="D1162" s="890" t="s">
        <v>457</v>
      </c>
      <c r="E1162" s="891">
        <v>2019.0</v>
      </c>
      <c r="F1162" s="890" t="s">
        <v>291</v>
      </c>
      <c r="G1162" s="890" t="s">
        <v>89</v>
      </c>
      <c r="H1162" s="532">
        <v>27993.35827</v>
      </c>
      <c r="I1162" s="532">
        <v>31600.35904</v>
      </c>
      <c r="J1162" s="533">
        <v>24535.36175</v>
      </c>
      <c r="K1162" s="220"/>
      <c r="CE1162" s="525"/>
    </row>
    <row r="1163">
      <c r="A1163" s="509"/>
      <c r="B1163" s="886" t="s">
        <v>399</v>
      </c>
      <c r="C1163" s="887" t="s">
        <v>289</v>
      </c>
      <c r="D1163" s="887" t="s">
        <v>463</v>
      </c>
      <c r="E1163" s="888">
        <v>2019.0</v>
      </c>
      <c r="F1163" s="887" t="s">
        <v>291</v>
      </c>
      <c r="G1163" s="887" t="s">
        <v>89</v>
      </c>
      <c r="H1163" s="547">
        <v>14285.66278</v>
      </c>
      <c r="I1163" s="547">
        <v>16127.40512</v>
      </c>
      <c r="J1163" s="548">
        <v>12521.12132</v>
      </c>
      <c r="K1163" s="220"/>
      <c r="CE1163" s="525"/>
    </row>
    <row r="1164">
      <c r="A1164" s="509"/>
      <c r="B1164" s="889" t="s">
        <v>399</v>
      </c>
      <c r="C1164" s="890" t="s">
        <v>289</v>
      </c>
      <c r="D1164" s="890" t="s">
        <v>467</v>
      </c>
      <c r="E1164" s="891">
        <v>2019.0</v>
      </c>
      <c r="F1164" s="890" t="s">
        <v>291</v>
      </c>
      <c r="G1164" s="890" t="s">
        <v>89</v>
      </c>
      <c r="H1164" s="532">
        <v>8117.82831</v>
      </c>
      <c r="I1164" s="532">
        <v>9163.826888</v>
      </c>
      <c r="J1164" s="533">
        <v>7115.039657</v>
      </c>
      <c r="K1164" s="220"/>
      <c r="CE1164" s="525"/>
    </row>
    <row r="1165">
      <c r="A1165" s="509"/>
      <c r="B1165" s="886" t="s">
        <v>399</v>
      </c>
      <c r="C1165" s="887" t="s">
        <v>289</v>
      </c>
      <c r="D1165" s="887" t="s">
        <v>473</v>
      </c>
      <c r="E1165" s="888">
        <v>2019.0</v>
      </c>
      <c r="F1165" s="887" t="s">
        <v>291</v>
      </c>
      <c r="G1165" s="887" t="s">
        <v>89</v>
      </c>
      <c r="H1165" s="547">
        <v>12144.40187</v>
      </c>
      <c r="I1165" s="547">
        <v>13710.08765</v>
      </c>
      <c r="J1165" s="548">
        <v>10644.34542</v>
      </c>
      <c r="K1165" s="220"/>
      <c r="CE1165" s="525"/>
    </row>
    <row r="1166">
      <c r="A1166" s="509"/>
      <c r="B1166" s="889" t="s">
        <v>399</v>
      </c>
      <c r="C1166" s="890" t="s">
        <v>289</v>
      </c>
      <c r="D1166" s="890" t="s">
        <v>477</v>
      </c>
      <c r="E1166" s="891">
        <v>2019.0</v>
      </c>
      <c r="F1166" s="890" t="s">
        <v>291</v>
      </c>
      <c r="G1166" s="890" t="s">
        <v>89</v>
      </c>
      <c r="H1166" s="532">
        <v>6168.354415</v>
      </c>
      <c r="I1166" s="532">
        <v>6963.159343</v>
      </c>
      <c r="J1166" s="533">
        <v>5406.382669</v>
      </c>
      <c r="K1166" s="220"/>
      <c r="CE1166" s="525"/>
    </row>
    <row r="1167">
      <c r="A1167" s="509"/>
      <c r="B1167" s="886" t="s">
        <v>399</v>
      </c>
      <c r="C1167" s="887" t="s">
        <v>289</v>
      </c>
      <c r="D1167" s="887" t="s">
        <v>483</v>
      </c>
      <c r="E1167" s="888">
        <v>2019.0</v>
      </c>
      <c r="F1167" s="887" t="s">
        <v>291</v>
      </c>
      <c r="G1167" s="887" t="s">
        <v>89</v>
      </c>
      <c r="H1167" s="547">
        <v>4027.015568</v>
      </c>
      <c r="I1167" s="547">
        <v>4545.90466</v>
      </c>
      <c r="J1167" s="548">
        <v>3529.561648</v>
      </c>
      <c r="K1167" s="220"/>
      <c r="CE1167" s="525"/>
    </row>
    <row r="1168">
      <c r="A1168" s="509"/>
      <c r="B1168" s="889" t="s">
        <v>399</v>
      </c>
      <c r="C1168" s="890" t="s">
        <v>289</v>
      </c>
      <c r="D1168" s="890" t="s">
        <v>489</v>
      </c>
      <c r="E1168" s="891">
        <v>2019.0</v>
      </c>
      <c r="F1168" s="890" t="s">
        <v>291</v>
      </c>
      <c r="G1168" s="890" t="s">
        <v>89</v>
      </c>
      <c r="H1168" s="532">
        <v>2141.260914</v>
      </c>
      <c r="I1168" s="532">
        <v>2417.317471</v>
      </c>
      <c r="J1168" s="533">
        <v>1876.775904</v>
      </c>
      <c r="K1168" s="220"/>
      <c r="CE1168" s="525"/>
    </row>
    <row r="1169">
      <c r="A1169" s="509"/>
      <c r="B1169" s="886" t="s">
        <v>399</v>
      </c>
      <c r="C1169" s="887" t="s">
        <v>289</v>
      </c>
      <c r="D1169" s="887" t="s">
        <v>493</v>
      </c>
      <c r="E1169" s="888">
        <v>2019.0</v>
      </c>
      <c r="F1169" s="887" t="s">
        <v>291</v>
      </c>
      <c r="G1169" s="887" t="s">
        <v>89</v>
      </c>
      <c r="H1169" s="547">
        <v>1588.614335</v>
      </c>
      <c r="I1169" s="547">
        <v>1793.310502</v>
      </c>
      <c r="J1169" s="548">
        <v>1392.374114</v>
      </c>
      <c r="K1169" s="220"/>
      <c r="CE1169" s="525"/>
    </row>
    <row r="1170">
      <c r="A1170" s="509"/>
      <c r="B1170" s="889" t="s">
        <v>399</v>
      </c>
      <c r="C1170" s="890" t="s">
        <v>289</v>
      </c>
      <c r="D1170" s="890" t="s">
        <v>496</v>
      </c>
      <c r="E1170" s="891">
        <v>2019.0</v>
      </c>
      <c r="F1170" s="890" t="s">
        <v>291</v>
      </c>
      <c r="G1170" s="890" t="s">
        <v>89</v>
      </c>
      <c r="H1170" s="532">
        <v>453.1392469</v>
      </c>
      <c r="I1170" s="532">
        <v>511.5271544</v>
      </c>
      <c r="J1170" s="533">
        <v>397.1633285</v>
      </c>
      <c r="K1170" s="220"/>
      <c r="CE1170" s="525"/>
    </row>
    <row r="1171">
      <c r="A1171" s="509"/>
      <c r="B1171" s="886" t="s">
        <v>399</v>
      </c>
      <c r="C1171" s="887" t="s">
        <v>289</v>
      </c>
      <c r="D1171" s="887" t="s">
        <v>502</v>
      </c>
      <c r="E1171" s="888">
        <v>2019.0</v>
      </c>
      <c r="F1171" s="887" t="s">
        <v>291</v>
      </c>
      <c r="G1171" s="887" t="s">
        <v>89</v>
      </c>
      <c r="H1171" s="547">
        <v>99.58526471</v>
      </c>
      <c r="I1171" s="547">
        <v>112.4170273</v>
      </c>
      <c r="J1171" s="548">
        <v>87.28357889</v>
      </c>
      <c r="K1171" s="220"/>
      <c r="CE1171" s="525"/>
    </row>
    <row r="1172">
      <c r="A1172" s="509"/>
      <c r="B1172" s="889" t="s">
        <v>399</v>
      </c>
      <c r="C1172" s="890" t="s">
        <v>289</v>
      </c>
      <c r="D1172" s="890" t="s">
        <v>332</v>
      </c>
      <c r="E1172" s="891">
        <v>2019.0</v>
      </c>
      <c r="F1172" s="890" t="s">
        <v>291</v>
      </c>
      <c r="G1172" s="890" t="s">
        <v>89</v>
      </c>
      <c r="H1172" s="532">
        <v>1901191.442</v>
      </c>
      <c r="I1172" s="532">
        <v>2146163.801</v>
      </c>
      <c r="J1172" s="533">
        <v>1666338.828</v>
      </c>
      <c r="K1172" s="220"/>
      <c r="CE1172" s="525"/>
    </row>
    <row r="1173">
      <c r="A1173" s="509"/>
      <c r="B1173" s="886" t="s">
        <v>399</v>
      </c>
      <c r="C1173" s="887" t="s">
        <v>289</v>
      </c>
      <c r="D1173" s="887" t="s">
        <v>510</v>
      </c>
      <c r="E1173" s="888">
        <v>2019.0</v>
      </c>
      <c r="F1173" s="887" t="s">
        <v>291</v>
      </c>
      <c r="G1173" s="887" t="s">
        <v>89</v>
      </c>
      <c r="H1173" s="547">
        <v>62762.57452</v>
      </c>
      <c r="I1173" s="547">
        <v>70578.85063</v>
      </c>
      <c r="J1173" s="548">
        <v>55447.97366</v>
      </c>
      <c r="K1173" s="220"/>
      <c r="CE1173" s="525"/>
    </row>
    <row r="1174">
      <c r="A1174" s="509"/>
      <c r="B1174" s="889" t="s">
        <v>399</v>
      </c>
      <c r="C1174" s="890" t="s">
        <v>289</v>
      </c>
      <c r="D1174" s="890" t="s">
        <v>512</v>
      </c>
      <c r="E1174" s="891">
        <v>2019.0</v>
      </c>
      <c r="F1174" s="890" t="s">
        <v>291</v>
      </c>
      <c r="G1174" s="890" t="s">
        <v>89</v>
      </c>
      <c r="H1174" s="532">
        <v>1184.83535</v>
      </c>
      <c r="I1174" s="532">
        <v>1337.503779</v>
      </c>
      <c r="J1174" s="533">
        <v>1038.473614</v>
      </c>
      <c r="K1174" s="220"/>
      <c r="CE1174" s="525"/>
    </row>
    <row r="1175">
      <c r="A1175" s="509"/>
      <c r="B1175" s="886" t="s">
        <v>399</v>
      </c>
      <c r="C1175" s="887" t="s">
        <v>289</v>
      </c>
      <c r="D1175" s="887" t="s">
        <v>515</v>
      </c>
      <c r="E1175" s="888">
        <v>2019.0</v>
      </c>
      <c r="F1175" s="887" t="s">
        <v>291</v>
      </c>
      <c r="G1175" s="887" t="s">
        <v>89</v>
      </c>
      <c r="H1175" s="547">
        <v>3495.474151</v>
      </c>
      <c r="I1175" s="547">
        <v>3945.873057</v>
      </c>
      <c r="J1175" s="548">
        <v>3063.681105</v>
      </c>
      <c r="K1175" s="220"/>
      <c r="CE1175" s="525"/>
    </row>
    <row r="1176">
      <c r="A1176" s="509"/>
      <c r="B1176" s="889" t="s">
        <v>399</v>
      </c>
      <c r="C1176" s="890" t="s">
        <v>289</v>
      </c>
      <c r="D1176" s="890" t="s">
        <v>518</v>
      </c>
      <c r="E1176" s="891">
        <v>2019.0</v>
      </c>
      <c r="F1176" s="890" t="s">
        <v>291</v>
      </c>
      <c r="G1176" s="890" t="s">
        <v>89</v>
      </c>
      <c r="H1176" s="532">
        <v>4680.309501</v>
      </c>
      <c r="I1176" s="532">
        <v>5283.376836</v>
      </c>
      <c r="J1176" s="533">
        <v>4102.154719</v>
      </c>
      <c r="K1176" s="220"/>
      <c r="CE1176" s="525"/>
    </row>
    <row r="1177">
      <c r="A1177" s="509"/>
      <c r="B1177" s="886" t="s">
        <v>399</v>
      </c>
      <c r="C1177" s="887" t="s">
        <v>289</v>
      </c>
      <c r="D1177" s="887" t="s">
        <v>522</v>
      </c>
      <c r="E1177" s="888">
        <v>2019.0</v>
      </c>
      <c r="F1177" s="887" t="s">
        <v>291</v>
      </c>
      <c r="G1177" s="887" t="s">
        <v>89</v>
      </c>
      <c r="H1177" s="547">
        <v>55014.71842</v>
      </c>
      <c r="I1177" s="547">
        <v>62103.47604</v>
      </c>
      <c r="J1177" s="548">
        <v>48218.79552</v>
      </c>
      <c r="K1177" s="220"/>
      <c r="CE1177" s="525"/>
    </row>
    <row r="1178">
      <c r="A1178" s="509"/>
      <c r="B1178" s="889" t="s">
        <v>399</v>
      </c>
      <c r="C1178" s="890" t="s">
        <v>289</v>
      </c>
      <c r="D1178" s="890" t="s">
        <v>302</v>
      </c>
      <c r="E1178" s="891">
        <v>2019.0</v>
      </c>
      <c r="F1178" s="890" t="s">
        <v>291</v>
      </c>
      <c r="G1178" s="890" t="s">
        <v>89</v>
      </c>
      <c r="H1178" s="532">
        <v>287448.8984</v>
      </c>
      <c r="I1178" s="532">
        <v>324487.2698</v>
      </c>
      <c r="J1178" s="533">
        <v>251940.5725</v>
      </c>
      <c r="K1178" s="220"/>
      <c r="CE1178" s="525"/>
    </row>
    <row r="1179">
      <c r="A1179" s="509"/>
      <c r="B1179" s="886" t="s">
        <v>299</v>
      </c>
      <c r="C1179" s="887" t="s">
        <v>289</v>
      </c>
      <c r="D1179" s="887" t="s">
        <v>290</v>
      </c>
      <c r="E1179" s="888">
        <v>2019.0</v>
      </c>
      <c r="F1179" s="887" t="s">
        <v>291</v>
      </c>
      <c r="G1179" s="887" t="s">
        <v>89</v>
      </c>
      <c r="H1179" s="547">
        <v>2.289648662E7</v>
      </c>
      <c r="I1179" s="547">
        <v>2.566349107E7</v>
      </c>
      <c r="J1179" s="548">
        <v>2.03786006E7</v>
      </c>
      <c r="K1179" s="220"/>
      <c r="CE1179" s="525"/>
    </row>
    <row r="1180">
      <c r="A1180" s="509"/>
      <c r="B1180" s="889" t="s">
        <v>299</v>
      </c>
      <c r="C1180" s="890" t="s">
        <v>289</v>
      </c>
      <c r="D1180" s="890" t="s">
        <v>310</v>
      </c>
      <c r="E1180" s="891">
        <v>2019.0</v>
      </c>
      <c r="F1180" s="890" t="s">
        <v>291</v>
      </c>
      <c r="G1180" s="890" t="s">
        <v>89</v>
      </c>
      <c r="H1180" s="532">
        <v>5.105071025E8</v>
      </c>
      <c r="I1180" s="532">
        <v>5.722010843E8</v>
      </c>
      <c r="J1180" s="533">
        <v>4.543675421E8</v>
      </c>
      <c r="K1180" s="220"/>
      <c r="CE1180" s="525"/>
    </row>
    <row r="1181">
      <c r="A1181" s="509"/>
      <c r="B1181" s="886" t="s">
        <v>299</v>
      </c>
      <c r="C1181" s="887" t="s">
        <v>289</v>
      </c>
      <c r="D1181" s="887" t="s">
        <v>318</v>
      </c>
      <c r="E1181" s="888">
        <v>2019.0</v>
      </c>
      <c r="F1181" s="887" t="s">
        <v>291</v>
      </c>
      <c r="G1181" s="887" t="s">
        <v>89</v>
      </c>
      <c r="H1181" s="547">
        <v>3.761513869E8</v>
      </c>
      <c r="I1181" s="547">
        <v>4.216086914E8</v>
      </c>
      <c r="J1181" s="548">
        <v>3.347866862E8</v>
      </c>
      <c r="K1181" s="220"/>
      <c r="CE1181" s="525"/>
    </row>
    <row r="1182">
      <c r="A1182" s="509"/>
      <c r="B1182" s="889" t="s">
        <v>299</v>
      </c>
      <c r="C1182" s="890" t="s">
        <v>289</v>
      </c>
      <c r="D1182" s="890" t="s">
        <v>309</v>
      </c>
      <c r="E1182" s="891">
        <v>2019.0</v>
      </c>
      <c r="F1182" s="890" t="s">
        <v>291</v>
      </c>
      <c r="G1182" s="890" t="s">
        <v>89</v>
      </c>
      <c r="H1182" s="532">
        <v>9.417427469E7</v>
      </c>
      <c r="I1182" s="532">
        <v>1.055550879E8</v>
      </c>
      <c r="J1182" s="533">
        <v>8.381809677E7</v>
      </c>
      <c r="K1182" s="220"/>
      <c r="CE1182" s="525"/>
    </row>
    <row r="1183">
      <c r="A1183" s="509"/>
      <c r="B1183" s="886" t="s">
        <v>299</v>
      </c>
      <c r="C1183" s="887" t="s">
        <v>289</v>
      </c>
      <c r="D1183" s="887" t="s">
        <v>334</v>
      </c>
      <c r="E1183" s="888">
        <v>2019.0</v>
      </c>
      <c r="F1183" s="887" t="s">
        <v>291</v>
      </c>
      <c r="G1183" s="887" t="s">
        <v>89</v>
      </c>
      <c r="H1183" s="547">
        <v>1.334970097E8</v>
      </c>
      <c r="I1183" s="547">
        <v>1.496299137E8</v>
      </c>
      <c r="J1183" s="548">
        <v>1.188165804E8</v>
      </c>
      <c r="K1183" s="220"/>
      <c r="CE1183" s="525"/>
    </row>
    <row r="1184">
      <c r="A1184" s="509"/>
      <c r="B1184" s="889" t="s">
        <v>299</v>
      </c>
      <c r="C1184" s="890" t="s">
        <v>289</v>
      </c>
      <c r="D1184" s="890" t="s">
        <v>339</v>
      </c>
      <c r="E1184" s="891">
        <v>2019.0</v>
      </c>
      <c r="F1184" s="890" t="s">
        <v>291</v>
      </c>
      <c r="G1184" s="890" t="s">
        <v>89</v>
      </c>
      <c r="H1184" s="532">
        <v>2.678527252E8</v>
      </c>
      <c r="I1184" s="532">
        <v>3.002223065E8</v>
      </c>
      <c r="J1184" s="533">
        <v>2.383974362E8</v>
      </c>
      <c r="K1184" s="220"/>
      <c r="CE1184" s="525"/>
    </row>
    <row r="1185">
      <c r="A1185" s="509"/>
      <c r="B1185" s="886" t="s">
        <v>299</v>
      </c>
      <c r="C1185" s="887" t="s">
        <v>289</v>
      </c>
      <c r="D1185" s="887" t="s">
        <v>344</v>
      </c>
      <c r="E1185" s="888">
        <v>2019.0</v>
      </c>
      <c r="F1185" s="887" t="s">
        <v>291</v>
      </c>
      <c r="G1185" s="887" t="s">
        <v>89</v>
      </c>
      <c r="H1185" s="547">
        <v>3.973325807E8</v>
      </c>
      <c r="I1185" s="547">
        <v>4.453495992E8</v>
      </c>
      <c r="J1185" s="548">
        <v>3.536386217E8</v>
      </c>
      <c r="K1185" s="220"/>
      <c r="CE1185" s="525"/>
    </row>
    <row r="1186">
      <c r="A1186" s="509"/>
      <c r="B1186" s="889" t="s">
        <v>299</v>
      </c>
      <c r="C1186" s="890" t="s">
        <v>289</v>
      </c>
      <c r="D1186" s="890" t="s">
        <v>349</v>
      </c>
      <c r="E1186" s="891">
        <v>2019.0</v>
      </c>
      <c r="F1186" s="890" t="s">
        <v>291</v>
      </c>
      <c r="G1186" s="890" t="s">
        <v>89</v>
      </c>
      <c r="H1186" s="532">
        <v>1.343557156E8</v>
      </c>
      <c r="I1186" s="532">
        <v>1.505923928E8</v>
      </c>
      <c r="J1186" s="533">
        <v>1.195808559E8</v>
      </c>
      <c r="K1186" s="220"/>
      <c r="CE1186" s="525"/>
    </row>
    <row r="1187">
      <c r="A1187" s="509"/>
      <c r="B1187" s="886" t="s">
        <v>299</v>
      </c>
      <c r="C1187" s="887" t="s">
        <v>289</v>
      </c>
      <c r="D1187" s="887" t="s">
        <v>355</v>
      </c>
      <c r="E1187" s="888">
        <v>2019.0</v>
      </c>
      <c r="F1187" s="887" t="s">
        <v>291</v>
      </c>
      <c r="G1187" s="887" t="s">
        <v>89</v>
      </c>
      <c r="H1187" s="547">
        <v>5.961757322E8</v>
      </c>
      <c r="I1187" s="547">
        <v>6.682514224E8</v>
      </c>
      <c r="J1187" s="548">
        <v>5.305767457E8</v>
      </c>
      <c r="K1187" s="220"/>
      <c r="CE1187" s="525"/>
    </row>
    <row r="1188">
      <c r="A1188" s="509"/>
      <c r="B1188" s="889" t="s">
        <v>299</v>
      </c>
      <c r="C1188" s="890" t="s">
        <v>289</v>
      </c>
      <c r="D1188" s="890" t="s">
        <v>358</v>
      </c>
      <c r="E1188" s="891">
        <v>2019.0</v>
      </c>
      <c r="F1188" s="890" t="s">
        <v>291</v>
      </c>
      <c r="G1188" s="890" t="s">
        <v>89</v>
      </c>
      <c r="H1188" s="532">
        <v>7.595886074E8</v>
      </c>
      <c r="I1188" s="532">
        <v>8.51383698E8</v>
      </c>
      <c r="J1188" s="533">
        <v>6.760579958E8</v>
      </c>
      <c r="K1188" s="220"/>
      <c r="CE1188" s="525"/>
    </row>
    <row r="1189">
      <c r="A1189" s="509"/>
      <c r="B1189" s="886" t="s">
        <v>299</v>
      </c>
      <c r="C1189" s="887" t="s">
        <v>289</v>
      </c>
      <c r="D1189" s="887" t="s">
        <v>362</v>
      </c>
      <c r="E1189" s="888">
        <v>2019.0</v>
      </c>
      <c r="F1189" s="887" t="s">
        <v>291</v>
      </c>
      <c r="G1189" s="887" t="s">
        <v>89</v>
      </c>
      <c r="H1189" s="547">
        <v>8.802110833E8</v>
      </c>
      <c r="I1189" s="547">
        <v>9.866257157E8</v>
      </c>
      <c r="J1189" s="548">
        <v>7.833588435E8</v>
      </c>
      <c r="K1189" s="220"/>
      <c r="CE1189" s="525"/>
    </row>
    <row r="1190">
      <c r="A1190" s="509"/>
      <c r="B1190" s="889" t="s">
        <v>299</v>
      </c>
      <c r="C1190" s="890" t="s">
        <v>289</v>
      </c>
      <c r="D1190" s="890" t="s">
        <v>366</v>
      </c>
      <c r="E1190" s="891">
        <v>2019.0</v>
      </c>
      <c r="F1190" s="890" t="s">
        <v>291</v>
      </c>
      <c r="G1190" s="890" t="s">
        <v>89</v>
      </c>
      <c r="H1190" s="532">
        <v>1.294798554E8</v>
      </c>
      <c r="I1190" s="532">
        <v>1.451272927E8</v>
      </c>
      <c r="J1190" s="533">
        <v>1.152411854E8</v>
      </c>
      <c r="K1190" s="220"/>
      <c r="CE1190" s="525"/>
    </row>
    <row r="1191">
      <c r="A1191" s="509"/>
      <c r="B1191" s="886" t="s">
        <v>299</v>
      </c>
      <c r="C1191" s="887" t="s">
        <v>289</v>
      </c>
      <c r="D1191" s="887" t="s">
        <v>368</v>
      </c>
      <c r="E1191" s="888">
        <v>2019.0</v>
      </c>
      <c r="F1191" s="887" t="s">
        <v>291</v>
      </c>
      <c r="G1191" s="887" t="s">
        <v>89</v>
      </c>
      <c r="H1191" s="547">
        <v>7.507200097E8</v>
      </c>
      <c r="I1191" s="547">
        <v>8.414433441E8</v>
      </c>
      <c r="J1191" s="548">
        <v>6.68164662E8</v>
      </c>
      <c r="K1191" s="220"/>
      <c r="CE1191" s="525"/>
    </row>
    <row r="1192">
      <c r="A1192" s="509"/>
      <c r="B1192" s="889" t="s">
        <v>299</v>
      </c>
      <c r="C1192" s="890" t="s">
        <v>289</v>
      </c>
      <c r="D1192" s="890" t="s">
        <v>373</v>
      </c>
      <c r="E1192" s="891">
        <v>2019.0</v>
      </c>
      <c r="F1192" s="890" t="s">
        <v>291</v>
      </c>
      <c r="G1192" s="890" t="s">
        <v>89</v>
      </c>
      <c r="H1192" s="532">
        <v>1.191259882E8</v>
      </c>
      <c r="I1192" s="532">
        <v>1.335221769E8</v>
      </c>
      <c r="J1192" s="533">
        <v>1.060259146E8</v>
      </c>
      <c r="K1192" s="220"/>
      <c r="CE1192" s="525"/>
    </row>
    <row r="1193">
      <c r="A1193" s="509"/>
      <c r="B1193" s="886" t="s">
        <v>299</v>
      </c>
      <c r="C1193" s="887" t="s">
        <v>289</v>
      </c>
      <c r="D1193" s="887" t="s">
        <v>379</v>
      </c>
      <c r="E1193" s="888">
        <v>2019.0</v>
      </c>
      <c r="F1193" s="887" t="s">
        <v>291</v>
      </c>
      <c r="G1193" s="887" t="s">
        <v>89</v>
      </c>
      <c r="H1193" s="547">
        <v>4.957593548E8</v>
      </c>
      <c r="I1193" s="547">
        <v>5.556950344E8</v>
      </c>
      <c r="J1193" s="548">
        <v>4.412094806E8</v>
      </c>
      <c r="K1193" s="220"/>
      <c r="CE1193" s="525"/>
    </row>
    <row r="1194">
      <c r="A1194" s="509"/>
      <c r="B1194" s="889" t="s">
        <v>299</v>
      </c>
      <c r="C1194" s="890" t="s">
        <v>289</v>
      </c>
      <c r="D1194" s="890" t="s">
        <v>382</v>
      </c>
      <c r="E1194" s="891">
        <v>2019.0</v>
      </c>
      <c r="F1194" s="890" t="s">
        <v>291</v>
      </c>
      <c r="G1194" s="890" t="s">
        <v>89</v>
      </c>
      <c r="H1194" s="532">
        <v>1.116388003E8</v>
      </c>
      <c r="I1194" s="532">
        <v>1.25130174E8</v>
      </c>
      <c r="J1194" s="533">
        <v>9.936207948E7</v>
      </c>
      <c r="K1194" s="220"/>
      <c r="CE1194" s="525"/>
    </row>
    <row r="1195">
      <c r="A1195" s="509"/>
      <c r="B1195" s="886" t="s">
        <v>299</v>
      </c>
      <c r="C1195" s="887" t="s">
        <v>289</v>
      </c>
      <c r="D1195" s="887" t="s">
        <v>387</v>
      </c>
      <c r="E1195" s="888">
        <v>2019.0</v>
      </c>
      <c r="F1195" s="887" t="s">
        <v>291</v>
      </c>
      <c r="G1195" s="887" t="s">
        <v>89</v>
      </c>
      <c r="H1195" s="547">
        <v>1.015677745E8</v>
      </c>
      <c r="I1195" s="547">
        <v>1.138420806E8</v>
      </c>
      <c r="J1195" s="548">
        <v>9.039854651E7</v>
      </c>
      <c r="K1195" s="220"/>
      <c r="CE1195" s="525"/>
    </row>
    <row r="1196">
      <c r="A1196" s="509"/>
      <c r="B1196" s="889" t="s">
        <v>299</v>
      </c>
      <c r="C1196" s="890" t="s">
        <v>289</v>
      </c>
      <c r="D1196" s="890" t="s">
        <v>392</v>
      </c>
      <c r="E1196" s="891">
        <v>2019.0</v>
      </c>
      <c r="F1196" s="890" t="s">
        <v>291</v>
      </c>
      <c r="G1196" s="890" t="s">
        <v>89</v>
      </c>
      <c r="H1196" s="532">
        <v>8.742705045E7</v>
      </c>
      <c r="I1196" s="532">
        <v>9.799247223E7</v>
      </c>
      <c r="J1196" s="533">
        <v>7.781285281E7</v>
      </c>
      <c r="K1196" s="220"/>
      <c r="CE1196" s="525"/>
    </row>
    <row r="1197">
      <c r="A1197" s="509"/>
      <c r="B1197" s="886" t="s">
        <v>299</v>
      </c>
      <c r="C1197" s="887" t="s">
        <v>289</v>
      </c>
      <c r="D1197" s="887" t="s">
        <v>398</v>
      </c>
      <c r="E1197" s="888">
        <v>2019.0</v>
      </c>
      <c r="F1197" s="887" t="s">
        <v>291</v>
      </c>
      <c r="G1197" s="887" t="s">
        <v>89</v>
      </c>
      <c r="H1197" s="547">
        <v>7.599342295E7</v>
      </c>
      <c r="I1197" s="547">
        <v>8.51771088E7</v>
      </c>
      <c r="J1197" s="548">
        <v>6.763656105E7</v>
      </c>
      <c r="K1197" s="220"/>
      <c r="CE1197" s="525"/>
    </row>
    <row r="1198">
      <c r="A1198" s="509"/>
      <c r="B1198" s="889" t="s">
        <v>299</v>
      </c>
      <c r="C1198" s="890" t="s">
        <v>289</v>
      </c>
      <c r="D1198" s="890" t="s">
        <v>402</v>
      </c>
      <c r="E1198" s="891">
        <v>2019.0</v>
      </c>
      <c r="F1198" s="890" t="s">
        <v>291</v>
      </c>
      <c r="G1198" s="890" t="s">
        <v>89</v>
      </c>
      <c r="H1198" s="532">
        <v>3.934413555E8</v>
      </c>
      <c r="I1198" s="532">
        <v>4.410071247E8</v>
      </c>
      <c r="J1198" s="533">
        <v>3.501498346E8</v>
      </c>
      <c r="K1198" s="220"/>
      <c r="CE1198" s="525"/>
    </row>
    <row r="1199">
      <c r="A1199" s="509"/>
      <c r="B1199" s="886" t="s">
        <v>299</v>
      </c>
      <c r="C1199" s="887" t="s">
        <v>289</v>
      </c>
      <c r="D1199" s="887" t="s">
        <v>407</v>
      </c>
      <c r="E1199" s="888">
        <v>2019.0</v>
      </c>
      <c r="F1199" s="887" t="s">
        <v>291</v>
      </c>
      <c r="G1199" s="887" t="s">
        <v>89</v>
      </c>
      <c r="H1199" s="547">
        <v>1.255836159E8</v>
      </c>
      <c r="I1199" s="547">
        <v>1.407601987E8</v>
      </c>
      <c r="J1199" s="548">
        <v>1.117734085E8</v>
      </c>
      <c r="K1199" s="220"/>
      <c r="CE1199" s="525"/>
    </row>
    <row r="1200">
      <c r="A1200" s="509"/>
      <c r="B1200" s="889" t="s">
        <v>299</v>
      </c>
      <c r="C1200" s="890" t="s">
        <v>289</v>
      </c>
      <c r="D1200" s="890" t="s">
        <v>414</v>
      </c>
      <c r="E1200" s="891">
        <v>2019.0</v>
      </c>
      <c r="F1200" s="890" t="s">
        <v>291</v>
      </c>
      <c r="G1200" s="890" t="s">
        <v>89</v>
      </c>
      <c r="H1200" s="532">
        <v>6.365676118E7</v>
      </c>
      <c r="I1200" s="532">
        <v>7.134958082E7</v>
      </c>
      <c r="J1200" s="533">
        <v>5.665654008E7</v>
      </c>
      <c r="K1200" s="220"/>
      <c r="CE1200" s="525"/>
    </row>
    <row r="1201">
      <c r="A1201" s="509"/>
      <c r="B1201" s="886" t="s">
        <v>299</v>
      </c>
      <c r="C1201" s="887" t="s">
        <v>289</v>
      </c>
      <c r="D1201" s="887" t="s">
        <v>417</v>
      </c>
      <c r="E1201" s="888">
        <v>2019.0</v>
      </c>
      <c r="F1201" s="887" t="s">
        <v>291</v>
      </c>
      <c r="G1201" s="887" t="s">
        <v>89</v>
      </c>
      <c r="H1201" s="547">
        <v>1.984500438E8</v>
      </c>
      <c r="I1201" s="547">
        <v>2.2243242E8</v>
      </c>
      <c r="J1201" s="548">
        <v>1.766268446E8</v>
      </c>
      <c r="K1201" s="220"/>
      <c r="CE1201" s="525"/>
    </row>
    <row r="1202">
      <c r="A1202" s="509"/>
      <c r="B1202" s="889" t="s">
        <v>299</v>
      </c>
      <c r="C1202" s="890" t="s">
        <v>289</v>
      </c>
      <c r="D1202" s="890" t="s">
        <v>300</v>
      </c>
      <c r="E1202" s="891">
        <v>2019.0</v>
      </c>
      <c r="F1202" s="890" t="s">
        <v>291</v>
      </c>
      <c r="G1202" s="890" t="s">
        <v>89</v>
      </c>
      <c r="H1202" s="532">
        <v>2.590806256E8</v>
      </c>
      <c r="I1202" s="532">
        <v>2.903901124E8</v>
      </c>
      <c r="J1202" s="533">
        <v>2.305899888E8</v>
      </c>
      <c r="K1202" s="220"/>
      <c r="CE1202" s="525"/>
    </row>
    <row r="1203">
      <c r="A1203" s="509"/>
      <c r="B1203" s="886" t="s">
        <v>299</v>
      </c>
      <c r="C1203" s="887" t="s">
        <v>289</v>
      </c>
      <c r="D1203" s="887" t="s">
        <v>429</v>
      </c>
      <c r="E1203" s="888">
        <v>2019.0</v>
      </c>
      <c r="F1203" s="887" t="s">
        <v>291</v>
      </c>
      <c r="G1203" s="887" t="s">
        <v>89</v>
      </c>
      <c r="H1203" s="547">
        <v>1.913126503E8</v>
      </c>
      <c r="I1203" s="547">
        <v>2.144417222E8</v>
      </c>
      <c r="J1203" s="548">
        <v>1.702619512E8</v>
      </c>
      <c r="K1203" s="220"/>
      <c r="CE1203" s="525"/>
    </row>
    <row r="1204">
      <c r="A1204" s="928"/>
      <c r="B1204" s="889" t="s">
        <v>299</v>
      </c>
      <c r="C1204" s="890" t="s">
        <v>289</v>
      </c>
      <c r="D1204" s="890" t="s">
        <v>432</v>
      </c>
      <c r="E1204" s="891">
        <v>2019.0</v>
      </c>
      <c r="F1204" s="890" t="s">
        <v>291</v>
      </c>
      <c r="G1204" s="890" t="s">
        <v>89</v>
      </c>
      <c r="H1204" s="532">
        <v>5.318783958E7</v>
      </c>
      <c r="I1204" s="532">
        <v>5.961550648E7</v>
      </c>
      <c r="J1204" s="533">
        <v>4.733886721E7</v>
      </c>
      <c r="K1204" s="220"/>
      <c r="V1204" s="929"/>
      <c r="AG1204" s="929"/>
      <c r="AR1204" s="929"/>
      <c r="BE1204" s="929"/>
      <c r="BR1204" s="929"/>
      <c r="CE1204" s="930"/>
    </row>
    <row r="1205">
      <c r="A1205" s="219"/>
      <c r="B1205" s="886" t="s">
        <v>299</v>
      </c>
      <c r="C1205" s="887" t="s">
        <v>289</v>
      </c>
      <c r="D1205" s="887" t="s">
        <v>435</v>
      </c>
      <c r="E1205" s="888">
        <v>2019.0</v>
      </c>
      <c r="F1205" s="887" t="s">
        <v>291</v>
      </c>
      <c r="G1205" s="887" t="s">
        <v>89</v>
      </c>
      <c r="H1205" s="547">
        <v>4.49579556E7</v>
      </c>
      <c r="I1205" s="547">
        <v>5.039105395E7</v>
      </c>
      <c r="J1205" s="548">
        <v>4.001400898E7</v>
      </c>
      <c r="K1205" s="220"/>
      <c r="CE1205" s="525"/>
    </row>
    <row r="1206">
      <c r="A1206" s="219"/>
      <c r="B1206" s="889" t="s">
        <v>299</v>
      </c>
      <c r="C1206" s="890" t="s">
        <v>289</v>
      </c>
      <c r="D1206" s="890" t="s">
        <v>442</v>
      </c>
      <c r="E1206" s="891">
        <v>2019.0</v>
      </c>
      <c r="F1206" s="890" t="s">
        <v>291</v>
      </c>
      <c r="G1206" s="890" t="s">
        <v>89</v>
      </c>
      <c r="H1206" s="532">
        <v>3.664748748E7</v>
      </c>
      <c r="I1206" s="532">
        <v>4.107627881E7</v>
      </c>
      <c r="J1206" s="533">
        <v>3.26174283E7</v>
      </c>
      <c r="K1206" s="220"/>
      <c r="CE1206" s="525"/>
    </row>
    <row r="1207">
      <c r="A1207" s="219"/>
      <c r="B1207" s="886" t="s">
        <v>299</v>
      </c>
      <c r="C1207" s="887" t="s">
        <v>289</v>
      </c>
      <c r="D1207" s="887" t="s">
        <v>445</v>
      </c>
      <c r="E1207" s="888">
        <v>2019.0</v>
      </c>
      <c r="F1207" s="887" t="s">
        <v>291</v>
      </c>
      <c r="G1207" s="887" t="s">
        <v>89</v>
      </c>
      <c r="H1207" s="547">
        <v>6.223375542E7</v>
      </c>
      <c r="I1207" s="547">
        <v>6.975761229E7</v>
      </c>
      <c r="J1207" s="548">
        <v>5.538599047E7</v>
      </c>
      <c r="K1207" s="220"/>
      <c r="CE1207" s="525"/>
    </row>
    <row r="1208">
      <c r="A1208" s="219"/>
      <c r="B1208" s="889" t="s">
        <v>299</v>
      </c>
      <c r="C1208" s="890" t="s">
        <v>289</v>
      </c>
      <c r="D1208" s="890" t="s">
        <v>450</v>
      </c>
      <c r="E1208" s="891">
        <v>2019.0</v>
      </c>
      <c r="F1208" s="890" t="s">
        <v>291</v>
      </c>
      <c r="G1208" s="890" t="s">
        <v>89</v>
      </c>
      <c r="H1208" s="532">
        <v>2.558547477E7</v>
      </c>
      <c r="I1208" s="532">
        <v>2.867743923E7</v>
      </c>
      <c r="J1208" s="533">
        <v>2.27718855E7</v>
      </c>
      <c r="K1208" s="220"/>
      <c r="CE1208" s="525"/>
    </row>
    <row r="1209">
      <c r="A1209" s="219"/>
      <c r="B1209" s="886" t="s">
        <v>299</v>
      </c>
      <c r="C1209" s="887" t="s">
        <v>289</v>
      </c>
      <c r="D1209" s="887" t="s">
        <v>457</v>
      </c>
      <c r="E1209" s="888">
        <v>2019.0</v>
      </c>
      <c r="F1209" s="887" t="s">
        <v>291</v>
      </c>
      <c r="G1209" s="887" t="s">
        <v>89</v>
      </c>
      <c r="H1209" s="547">
        <v>5.651692943E7</v>
      </c>
      <c r="I1209" s="547">
        <v>6.334691161E7</v>
      </c>
      <c r="J1209" s="548">
        <v>5.030186296E7</v>
      </c>
      <c r="K1209" s="220"/>
      <c r="CE1209" s="525"/>
    </row>
    <row r="1210">
      <c r="A1210" s="219"/>
      <c r="B1210" s="889" t="s">
        <v>299</v>
      </c>
      <c r="C1210" s="890" t="s">
        <v>289</v>
      </c>
      <c r="D1210" s="890" t="s">
        <v>463</v>
      </c>
      <c r="E1210" s="891">
        <v>2019.0</v>
      </c>
      <c r="F1210" s="890" t="s">
        <v>291</v>
      </c>
      <c r="G1210" s="890" t="s">
        <v>89</v>
      </c>
      <c r="H1210" s="532">
        <v>3.093184888E7</v>
      </c>
      <c r="I1210" s="532">
        <v>3.467140793E7</v>
      </c>
      <c r="J1210" s="533">
        <v>2.752832568E7</v>
      </c>
      <c r="K1210" s="220"/>
      <c r="CE1210" s="525"/>
    </row>
    <row r="1211">
      <c r="A1211" s="219"/>
      <c r="B1211" s="886" t="s">
        <v>299</v>
      </c>
      <c r="C1211" s="887" t="s">
        <v>289</v>
      </c>
      <c r="D1211" s="887" t="s">
        <v>467</v>
      </c>
      <c r="E1211" s="888">
        <v>2019.0</v>
      </c>
      <c r="F1211" s="887" t="s">
        <v>291</v>
      </c>
      <c r="G1211" s="887" t="s">
        <v>89</v>
      </c>
      <c r="H1211" s="547">
        <v>1.646041085E7</v>
      </c>
      <c r="I1211" s="547">
        <v>1.844962565E7</v>
      </c>
      <c r="J1211" s="548">
        <v>1.465028867E7</v>
      </c>
      <c r="K1211" s="220"/>
      <c r="CE1211" s="525"/>
    </row>
    <row r="1212">
      <c r="A1212" s="219"/>
      <c r="B1212" s="889" t="s">
        <v>299</v>
      </c>
      <c r="C1212" s="890" t="s">
        <v>289</v>
      </c>
      <c r="D1212" s="890" t="s">
        <v>473</v>
      </c>
      <c r="E1212" s="891">
        <v>2019.0</v>
      </c>
      <c r="F1212" s="890" t="s">
        <v>291</v>
      </c>
      <c r="G1212" s="890" t="s">
        <v>89</v>
      </c>
      <c r="H1212" s="532">
        <v>2.569245162E7</v>
      </c>
      <c r="I1212" s="532">
        <v>2.879858474E7</v>
      </c>
      <c r="J1212" s="533">
        <v>2.286543486E7</v>
      </c>
      <c r="K1212" s="220"/>
      <c r="CE1212" s="525"/>
    </row>
    <row r="1213">
      <c r="A1213" s="219"/>
      <c r="B1213" s="886" t="s">
        <v>299</v>
      </c>
      <c r="C1213" s="887" t="s">
        <v>289</v>
      </c>
      <c r="D1213" s="887" t="s">
        <v>477</v>
      </c>
      <c r="E1213" s="888">
        <v>2019.0</v>
      </c>
      <c r="F1213" s="887" t="s">
        <v>291</v>
      </c>
      <c r="G1213" s="887" t="s">
        <v>89</v>
      </c>
      <c r="H1213" s="547">
        <v>1.447104381E7</v>
      </c>
      <c r="I1213" s="547">
        <v>1.621984673E7</v>
      </c>
      <c r="J1213" s="548">
        <v>1.287968879E7</v>
      </c>
      <c r="K1213" s="220"/>
      <c r="CE1213" s="525"/>
    </row>
    <row r="1214">
      <c r="A1214" s="219"/>
      <c r="B1214" s="889" t="s">
        <v>299</v>
      </c>
      <c r="C1214" s="890" t="s">
        <v>289</v>
      </c>
      <c r="D1214" s="890" t="s">
        <v>483</v>
      </c>
      <c r="E1214" s="891">
        <v>2019.0</v>
      </c>
      <c r="F1214" s="890" t="s">
        <v>291</v>
      </c>
      <c r="G1214" s="890" t="s">
        <v>89</v>
      </c>
      <c r="H1214" s="532">
        <v>9231713.326</v>
      </c>
      <c r="I1214" s="532">
        <v>1.034735139E7</v>
      </c>
      <c r="J1214" s="533">
        <v>8216518.189</v>
      </c>
      <c r="K1214" s="220"/>
      <c r="CE1214" s="525"/>
    </row>
    <row r="1215">
      <c r="A1215" s="219"/>
      <c r="B1215" s="886" t="s">
        <v>299</v>
      </c>
      <c r="C1215" s="887" t="s">
        <v>289</v>
      </c>
      <c r="D1215" s="887" t="s">
        <v>489</v>
      </c>
      <c r="E1215" s="888">
        <v>2019.0</v>
      </c>
      <c r="F1215" s="887" t="s">
        <v>291</v>
      </c>
      <c r="G1215" s="887" t="s">
        <v>89</v>
      </c>
      <c r="H1215" s="547">
        <v>5239397.255</v>
      </c>
      <c r="I1215" s="547">
        <v>5872823.195</v>
      </c>
      <c r="J1215" s="548">
        <v>4662890.814</v>
      </c>
      <c r="K1215" s="220"/>
      <c r="CE1215" s="525"/>
    </row>
    <row r="1216">
      <c r="A1216" s="219"/>
      <c r="B1216" s="889" t="s">
        <v>299</v>
      </c>
      <c r="C1216" s="890" t="s">
        <v>289</v>
      </c>
      <c r="D1216" s="890" t="s">
        <v>493</v>
      </c>
      <c r="E1216" s="891">
        <v>2019.0</v>
      </c>
      <c r="F1216" s="890" t="s">
        <v>291</v>
      </c>
      <c r="G1216" s="890" t="s">
        <v>89</v>
      </c>
      <c r="H1216" s="532">
        <v>3860044.853</v>
      </c>
      <c r="I1216" s="532">
        <v>4326525.212</v>
      </c>
      <c r="J1216" s="533">
        <v>3435562.568</v>
      </c>
      <c r="K1216" s="220"/>
      <c r="CE1216" s="525"/>
    </row>
    <row r="1217">
      <c r="A1217" s="219"/>
      <c r="B1217" s="886" t="s">
        <v>299</v>
      </c>
      <c r="C1217" s="887" t="s">
        <v>289</v>
      </c>
      <c r="D1217" s="887" t="s">
        <v>496</v>
      </c>
      <c r="E1217" s="888">
        <v>2019.0</v>
      </c>
      <c r="F1217" s="887" t="s">
        <v>291</v>
      </c>
      <c r="G1217" s="887" t="s">
        <v>89</v>
      </c>
      <c r="H1217" s="547">
        <v>1198652.818</v>
      </c>
      <c r="I1217" s="547">
        <v>1343508.129</v>
      </c>
      <c r="J1217" s="548">
        <v>1066839.094</v>
      </c>
      <c r="K1217" s="220"/>
      <c r="CE1217" s="525"/>
    </row>
    <row r="1218">
      <c r="A1218" s="219"/>
      <c r="B1218" s="889" t="s">
        <v>299</v>
      </c>
      <c r="C1218" s="890" t="s">
        <v>289</v>
      </c>
      <c r="D1218" s="890" t="s">
        <v>502</v>
      </c>
      <c r="E1218" s="891">
        <v>2019.0</v>
      </c>
      <c r="F1218" s="890" t="s">
        <v>291</v>
      </c>
      <c r="G1218" s="890" t="s">
        <v>89</v>
      </c>
      <c r="H1218" s="532">
        <v>180632.809</v>
      </c>
      <c r="I1218" s="532">
        <v>202462.0004</v>
      </c>
      <c r="J1218" s="533">
        <v>160768.9395</v>
      </c>
      <c r="K1218" s="220"/>
      <c r="CE1218" s="525"/>
    </row>
    <row r="1219">
      <c r="A1219" s="219"/>
      <c r="B1219" s="886" t="s">
        <v>299</v>
      </c>
      <c r="C1219" s="887" t="s">
        <v>289</v>
      </c>
      <c r="D1219" s="887" t="s">
        <v>332</v>
      </c>
      <c r="E1219" s="888">
        <v>2019.0</v>
      </c>
      <c r="F1219" s="887" t="s">
        <v>291</v>
      </c>
      <c r="G1219" s="887" t="s">
        <v>89</v>
      </c>
      <c r="H1219" s="547">
        <v>1.390706968E9</v>
      </c>
      <c r="I1219" s="547">
        <v>1.558771721E9</v>
      </c>
      <c r="J1219" s="548">
        <v>1.23777339E9</v>
      </c>
      <c r="K1219" s="220"/>
      <c r="CE1219" s="525"/>
    </row>
    <row r="1220">
      <c r="A1220" s="219"/>
      <c r="B1220" s="889" t="s">
        <v>299</v>
      </c>
      <c r="C1220" s="890" t="s">
        <v>289</v>
      </c>
      <c r="D1220" s="890" t="s">
        <v>510</v>
      </c>
      <c r="E1220" s="891">
        <v>2019.0</v>
      </c>
      <c r="F1220" s="890" t="s">
        <v>291</v>
      </c>
      <c r="G1220" s="890" t="s">
        <v>89</v>
      </c>
      <c r="H1220" s="532">
        <v>2.346104003E7</v>
      </c>
      <c r="I1220" s="532">
        <v>2.577264386E7</v>
      </c>
      <c r="J1220" s="533">
        <v>2.114537992E7</v>
      </c>
      <c r="K1220" s="220"/>
      <c r="CE1220" s="525"/>
    </row>
    <row r="1221">
      <c r="A1221" s="219"/>
      <c r="B1221" s="886" t="s">
        <v>299</v>
      </c>
      <c r="C1221" s="887" t="s">
        <v>289</v>
      </c>
      <c r="D1221" s="887" t="s">
        <v>512</v>
      </c>
      <c r="E1221" s="888">
        <v>2019.0</v>
      </c>
      <c r="F1221" s="887" t="s">
        <v>291</v>
      </c>
      <c r="G1221" s="887" t="s">
        <v>89</v>
      </c>
      <c r="H1221" s="547">
        <v>447211.0157</v>
      </c>
      <c r="I1221" s="547">
        <v>501255.7648</v>
      </c>
      <c r="J1221" s="548">
        <v>398032.0137</v>
      </c>
      <c r="K1221" s="220"/>
      <c r="CE1221" s="525"/>
    </row>
    <row r="1222">
      <c r="A1222" s="219"/>
      <c r="B1222" s="889" t="s">
        <v>299</v>
      </c>
      <c r="C1222" s="890" t="s">
        <v>289</v>
      </c>
      <c r="D1222" s="890" t="s">
        <v>515</v>
      </c>
      <c r="E1222" s="891">
        <v>2019.0</v>
      </c>
      <c r="F1222" s="890" t="s">
        <v>291</v>
      </c>
      <c r="G1222" s="890" t="s">
        <v>89</v>
      </c>
      <c r="H1222" s="532">
        <v>1325434.782</v>
      </c>
      <c r="I1222" s="532">
        <v>1485611.495</v>
      </c>
      <c r="J1222" s="533">
        <v>1179679.071</v>
      </c>
      <c r="K1222" s="220"/>
      <c r="CE1222" s="525"/>
    </row>
    <row r="1223">
      <c r="A1223" s="219"/>
      <c r="B1223" s="886" t="s">
        <v>299</v>
      </c>
      <c r="C1223" s="887" t="s">
        <v>289</v>
      </c>
      <c r="D1223" s="887" t="s">
        <v>518</v>
      </c>
      <c r="E1223" s="888">
        <v>2019.0</v>
      </c>
      <c r="F1223" s="887" t="s">
        <v>291</v>
      </c>
      <c r="G1223" s="887" t="s">
        <v>89</v>
      </c>
      <c r="H1223" s="547">
        <v>1772645.798</v>
      </c>
      <c r="I1223" s="547">
        <v>1986867.259</v>
      </c>
      <c r="J1223" s="548">
        <v>1577711.084</v>
      </c>
      <c r="K1223" s="220"/>
      <c r="CE1223" s="525"/>
    </row>
    <row r="1224">
      <c r="A1224" s="219"/>
      <c r="B1224" s="889" t="s">
        <v>299</v>
      </c>
      <c r="C1224" s="890" t="s">
        <v>289</v>
      </c>
      <c r="D1224" s="890" t="s">
        <v>522</v>
      </c>
      <c r="E1224" s="891">
        <v>2019.0</v>
      </c>
      <c r="F1224" s="890" t="s">
        <v>291</v>
      </c>
      <c r="G1224" s="890" t="s">
        <v>89</v>
      </c>
      <c r="H1224" s="532">
        <v>2.112384082E7</v>
      </c>
      <c r="I1224" s="532">
        <v>2.367662381E7</v>
      </c>
      <c r="J1224" s="533">
        <v>1.880088952E7</v>
      </c>
      <c r="K1224" s="220"/>
      <c r="CE1224" s="525"/>
    </row>
    <row r="1225">
      <c r="A1225" s="219"/>
      <c r="B1225" s="886" t="s">
        <v>299</v>
      </c>
      <c r="C1225" s="887" t="s">
        <v>289</v>
      </c>
      <c r="D1225" s="887" t="s">
        <v>302</v>
      </c>
      <c r="E1225" s="888">
        <v>2019.0</v>
      </c>
      <c r="F1225" s="887" t="s">
        <v>291</v>
      </c>
      <c r="G1225" s="887" t="s">
        <v>89</v>
      </c>
      <c r="H1225" s="547">
        <v>1.170707613E8</v>
      </c>
      <c r="I1225" s="547">
        <v>1.31218579E8</v>
      </c>
      <c r="J1225" s="548">
        <v>1.041966974E8</v>
      </c>
      <c r="K1225" s="220"/>
      <c r="CE1225" s="525"/>
    </row>
    <row r="1226">
      <c r="A1226" s="219"/>
      <c r="B1226" s="889" t="s">
        <v>341</v>
      </c>
      <c r="C1226" s="890" t="s">
        <v>289</v>
      </c>
      <c r="D1226" s="890" t="s">
        <v>290</v>
      </c>
      <c r="E1226" s="891">
        <v>2019.0</v>
      </c>
      <c r="F1226" s="890" t="s">
        <v>291</v>
      </c>
      <c r="G1226" s="890" t="s">
        <v>89</v>
      </c>
      <c r="H1226" s="532">
        <v>1297967.836</v>
      </c>
      <c r="I1226" s="532">
        <v>1466546.315</v>
      </c>
      <c r="J1226" s="533">
        <v>1128016.18</v>
      </c>
      <c r="K1226" s="220"/>
      <c r="CE1226" s="525"/>
    </row>
    <row r="1227">
      <c r="A1227" s="219"/>
      <c r="B1227" s="886" t="s">
        <v>341</v>
      </c>
      <c r="C1227" s="887" t="s">
        <v>289</v>
      </c>
      <c r="D1227" s="887" t="s">
        <v>310</v>
      </c>
      <c r="E1227" s="888">
        <v>2019.0</v>
      </c>
      <c r="F1227" s="887" t="s">
        <v>291</v>
      </c>
      <c r="G1227" s="887" t="s">
        <v>89</v>
      </c>
      <c r="H1227" s="547">
        <v>2.502329191E7</v>
      </c>
      <c r="I1227" s="547">
        <v>2.827328654E7</v>
      </c>
      <c r="J1227" s="548">
        <v>2.174682407E7</v>
      </c>
      <c r="K1227" s="220"/>
      <c r="CE1227" s="525"/>
    </row>
    <row r="1228">
      <c r="A1228" s="219"/>
      <c r="B1228" s="889" t="s">
        <v>341</v>
      </c>
      <c r="C1228" s="890" t="s">
        <v>289</v>
      </c>
      <c r="D1228" s="890" t="s">
        <v>318</v>
      </c>
      <c r="E1228" s="891">
        <v>2019.0</v>
      </c>
      <c r="F1228" s="890" t="s">
        <v>291</v>
      </c>
      <c r="G1228" s="890" t="s">
        <v>89</v>
      </c>
      <c r="H1228" s="532">
        <v>1.916008587E7</v>
      </c>
      <c r="I1228" s="532">
        <v>2.164857445E7</v>
      </c>
      <c r="J1228" s="533">
        <v>1.665132701E7</v>
      </c>
      <c r="K1228" s="220"/>
      <c r="CE1228" s="525"/>
    </row>
    <row r="1229">
      <c r="A1229" s="219"/>
      <c r="B1229" s="886" t="s">
        <v>341</v>
      </c>
      <c r="C1229" s="887" t="s">
        <v>289</v>
      </c>
      <c r="D1229" s="887" t="s">
        <v>309</v>
      </c>
      <c r="E1229" s="888">
        <v>2019.0</v>
      </c>
      <c r="F1229" s="887" t="s">
        <v>291</v>
      </c>
      <c r="G1229" s="887" t="s">
        <v>89</v>
      </c>
      <c r="H1229" s="547">
        <v>5118074.946</v>
      </c>
      <c r="I1229" s="547">
        <v>5782804.276</v>
      </c>
      <c r="J1229" s="548">
        <v>4447930.983</v>
      </c>
      <c r="K1229" s="220"/>
      <c r="CE1229" s="525"/>
    </row>
    <row r="1230">
      <c r="A1230" s="219"/>
      <c r="B1230" s="889" t="s">
        <v>341</v>
      </c>
      <c r="C1230" s="890" t="s">
        <v>289</v>
      </c>
      <c r="D1230" s="890" t="s">
        <v>334</v>
      </c>
      <c r="E1230" s="891">
        <v>2019.0</v>
      </c>
      <c r="F1230" s="890" t="s">
        <v>291</v>
      </c>
      <c r="G1230" s="890" t="s">
        <v>89</v>
      </c>
      <c r="H1230" s="532">
        <v>6321182.594</v>
      </c>
      <c r="I1230" s="532">
        <v>7142170.077</v>
      </c>
      <c r="J1230" s="533">
        <v>5493507.658</v>
      </c>
      <c r="K1230" s="220"/>
      <c r="CE1230" s="525"/>
    </row>
    <row r="1231">
      <c r="A1231" s="219"/>
      <c r="B1231" s="886" t="s">
        <v>341</v>
      </c>
      <c r="C1231" s="887" t="s">
        <v>289</v>
      </c>
      <c r="D1231" s="887" t="s">
        <v>339</v>
      </c>
      <c r="E1231" s="888">
        <v>2019.0</v>
      </c>
      <c r="F1231" s="887" t="s">
        <v>291</v>
      </c>
      <c r="G1231" s="887" t="s">
        <v>89</v>
      </c>
      <c r="H1231" s="547">
        <v>1.218438864E7</v>
      </c>
      <c r="I1231" s="547">
        <v>1.376688217E7</v>
      </c>
      <c r="J1231" s="548">
        <v>1.058900472E7</v>
      </c>
      <c r="K1231" s="220"/>
      <c r="CE1231" s="525"/>
    </row>
    <row r="1232">
      <c r="A1232" s="219"/>
      <c r="B1232" s="889" t="s">
        <v>341</v>
      </c>
      <c r="C1232" s="890" t="s">
        <v>289</v>
      </c>
      <c r="D1232" s="890" t="s">
        <v>344</v>
      </c>
      <c r="E1232" s="891">
        <v>2019.0</v>
      </c>
      <c r="F1232" s="890" t="s">
        <v>291</v>
      </c>
      <c r="G1232" s="890" t="s">
        <v>89</v>
      </c>
      <c r="H1232" s="532">
        <v>1.714523506E7</v>
      </c>
      <c r="I1232" s="532">
        <v>1.937203727E7</v>
      </c>
      <c r="J1232" s="533">
        <v>1.490029416E7</v>
      </c>
      <c r="K1232" s="220"/>
      <c r="CE1232" s="525"/>
    </row>
    <row r="1233">
      <c r="A1233" s="219"/>
      <c r="B1233" s="886" t="s">
        <v>341</v>
      </c>
      <c r="C1233" s="887" t="s">
        <v>289</v>
      </c>
      <c r="D1233" s="887" t="s">
        <v>349</v>
      </c>
      <c r="E1233" s="888">
        <v>2019.0</v>
      </c>
      <c r="F1233" s="887" t="s">
        <v>291</v>
      </c>
      <c r="G1233" s="887" t="s">
        <v>89</v>
      </c>
      <c r="H1233" s="547">
        <v>5863206.046</v>
      </c>
      <c r="I1233" s="547">
        <v>6624712.095</v>
      </c>
      <c r="J1233" s="548">
        <v>5095497.059</v>
      </c>
      <c r="K1233" s="220"/>
      <c r="CE1233" s="525"/>
    </row>
    <row r="1234">
      <c r="A1234" s="219"/>
      <c r="B1234" s="889" t="s">
        <v>341</v>
      </c>
      <c r="C1234" s="890" t="s">
        <v>289</v>
      </c>
      <c r="D1234" s="890" t="s">
        <v>355</v>
      </c>
      <c r="E1234" s="891">
        <v>2019.0</v>
      </c>
      <c r="F1234" s="890" t="s">
        <v>291</v>
      </c>
      <c r="G1234" s="890" t="s">
        <v>89</v>
      </c>
      <c r="H1234" s="532">
        <v>2.16715646E7</v>
      </c>
      <c r="I1234" s="532">
        <v>2.448319321E7</v>
      </c>
      <c r="J1234" s="533">
        <v>1.883250097E7</v>
      </c>
      <c r="K1234" s="220"/>
      <c r="CE1234" s="525"/>
    </row>
    <row r="1235">
      <c r="A1235" s="219"/>
      <c r="B1235" s="886" t="s">
        <v>341</v>
      </c>
      <c r="C1235" s="887" t="s">
        <v>289</v>
      </c>
      <c r="D1235" s="887" t="s">
        <v>358</v>
      </c>
      <c r="E1235" s="888">
        <v>2019.0</v>
      </c>
      <c r="F1235" s="887" t="s">
        <v>291</v>
      </c>
      <c r="G1235" s="887" t="s">
        <v>89</v>
      </c>
      <c r="H1235" s="547">
        <v>2.604776849E7</v>
      </c>
      <c r="I1235" s="547">
        <v>2.943082089E7</v>
      </c>
      <c r="J1235" s="548">
        <v>2.263715904E7</v>
      </c>
      <c r="K1235" s="220"/>
      <c r="CE1235" s="525"/>
    </row>
    <row r="1236">
      <c r="A1236" s="219"/>
      <c r="B1236" s="889" t="s">
        <v>341</v>
      </c>
      <c r="C1236" s="890" t="s">
        <v>289</v>
      </c>
      <c r="D1236" s="890" t="s">
        <v>362</v>
      </c>
      <c r="E1236" s="891">
        <v>2019.0</v>
      </c>
      <c r="F1236" s="890" t="s">
        <v>291</v>
      </c>
      <c r="G1236" s="890" t="s">
        <v>89</v>
      </c>
      <c r="H1236" s="532">
        <v>2.52080684E7</v>
      </c>
      <c r="I1236" s="532">
        <v>2.847851646E7</v>
      </c>
      <c r="J1236" s="533">
        <v>2.19057083E7</v>
      </c>
      <c r="K1236" s="220"/>
      <c r="CE1236" s="525"/>
    </row>
    <row r="1237">
      <c r="A1237" s="219"/>
      <c r="B1237" s="886" t="s">
        <v>341</v>
      </c>
      <c r="C1237" s="887" t="s">
        <v>289</v>
      </c>
      <c r="D1237" s="887" t="s">
        <v>366</v>
      </c>
      <c r="E1237" s="888">
        <v>2019.0</v>
      </c>
      <c r="F1237" s="887" t="s">
        <v>291</v>
      </c>
      <c r="G1237" s="887" t="s">
        <v>89</v>
      </c>
      <c r="H1237" s="547">
        <v>4960846.416</v>
      </c>
      <c r="I1237" s="547">
        <v>5605155.097</v>
      </c>
      <c r="J1237" s="548">
        <v>4311289.442</v>
      </c>
      <c r="K1237" s="220"/>
      <c r="CE1237" s="525"/>
    </row>
    <row r="1238">
      <c r="A1238" s="219"/>
      <c r="B1238" s="889" t="s">
        <v>341</v>
      </c>
      <c r="C1238" s="890" t="s">
        <v>289</v>
      </c>
      <c r="D1238" s="890" t="s">
        <v>368</v>
      </c>
      <c r="E1238" s="891">
        <v>2019.0</v>
      </c>
      <c r="F1238" s="890" t="s">
        <v>291</v>
      </c>
      <c r="G1238" s="890" t="s">
        <v>89</v>
      </c>
      <c r="H1238" s="532">
        <v>2.024357112E7</v>
      </c>
      <c r="I1238" s="532">
        <v>2.287278144E7</v>
      </c>
      <c r="J1238" s="533">
        <v>1.759294425E7</v>
      </c>
      <c r="K1238" s="220"/>
      <c r="CE1238" s="525"/>
    </row>
    <row r="1239">
      <c r="A1239" s="219"/>
      <c r="B1239" s="886" t="s">
        <v>341</v>
      </c>
      <c r="C1239" s="887" t="s">
        <v>289</v>
      </c>
      <c r="D1239" s="887" t="s">
        <v>373</v>
      </c>
      <c r="E1239" s="888">
        <v>2019.0</v>
      </c>
      <c r="F1239" s="887" t="s">
        <v>291</v>
      </c>
      <c r="G1239" s="887" t="s">
        <v>89</v>
      </c>
      <c r="H1239" s="547">
        <v>4160016.246</v>
      </c>
      <c r="I1239" s="547">
        <v>4700314.081</v>
      </c>
      <c r="J1239" s="548">
        <v>3615317.35</v>
      </c>
      <c r="K1239" s="220"/>
      <c r="CE1239" s="525"/>
    </row>
    <row r="1240">
      <c r="A1240" s="219"/>
      <c r="B1240" s="889" t="s">
        <v>341</v>
      </c>
      <c r="C1240" s="890" t="s">
        <v>289</v>
      </c>
      <c r="D1240" s="890" t="s">
        <v>379</v>
      </c>
      <c r="E1240" s="891">
        <v>2019.0</v>
      </c>
      <c r="F1240" s="890" t="s">
        <v>291</v>
      </c>
      <c r="G1240" s="890" t="s">
        <v>89</v>
      </c>
      <c r="H1240" s="532">
        <v>1.522592119E7</v>
      </c>
      <c r="I1240" s="532">
        <v>1.720130398E7</v>
      </c>
      <c r="J1240" s="533">
        <v>1.323126322E7</v>
      </c>
      <c r="K1240" s="220"/>
      <c r="CE1240" s="525"/>
    </row>
    <row r="1241">
      <c r="A1241" s="219"/>
      <c r="B1241" s="886" t="s">
        <v>341</v>
      </c>
      <c r="C1241" s="887" t="s">
        <v>289</v>
      </c>
      <c r="D1241" s="887" t="s">
        <v>382</v>
      </c>
      <c r="E1241" s="888">
        <v>2019.0</v>
      </c>
      <c r="F1241" s="887" t="s">
        <v>291</v>
      </c>
      <c r="G1241" s="887" t="s">
        <v>89</v>
      </c>
      <c r="H1241" s="547">
        <v>3628033.851</v>
      </c>
      <c r="I1241" s="547">
        <v>4099238.461</v>
      </c>
      <c r="J1241" s="548">
        <v>3152990.986</v>
      </c>
      <c r="K1241" s="220"/>
      <c r="CE1241" s="525"/>
    </row>
    <row r="1242">
      <c r="A1242" s="219"/>
      <c r="B1242" s="889" t="s">
        <v>341</v>
      </c>
      <c r="C1242" s="890" t="s">
        <v>289</v>
      </c>
      <c r="D1242" s="890" t="s">
        <v>387</v>
      </c>
      <c r="E1242" s="891">
        <v>2019.0</v>
      </c>
      <c r="F1242" s="890" t="s">
        <v>291</v>
      </c>
      <c r="G1242" s="890" t="s">
        <v>89</v>
      </c>
      <c r="H1242" s="532">
        <v>3056323.357</v>
      </c>
      <c r="I1242" s="532">
        <v>3453274.906</v>
      </c>
      <c r="J1242" s="533">
        <v>2656138.391</v>
      </c>
      <c r="K1242" s="220"/>
      <c r="CE1242" s="525"/>
    </row>
    <row r="1243">
      <c r="A1243" s="219"/>
      <c r="B1243" s="886" t="s">
        <v>341</v>
      </c>
      <c r="C1243" s="887" t="s">
        <v>289</v>
      </c>
      <c r="D1243" s="887" t="s">
        <v>392</v>
      </c>
      <c r="E1243" s="888">
        <v>2019.0</v>
      </c>
      <c r="F1243" s="887" t="s">
        <v>291</v>
      </c>
      <c r="G1243" s="887" t="s">
        <v>89</v>
      </c>
      <c r="H1243" s="547">
        <v>2452964.84</v>
      </c>
      <c r="I1243" s="547">
        <v>2771552.921</v>
      </c>
      <c r="J1243" s="548">
        <v>2131781.662</v>
      </c>
      <c r="K1243" s="220"/>
      <c r="CE1243" s="525"/>
    </row>
    <row r="1244">
      <c r="A1244" s="219"/>
      <c r="B1244" s="889" t="s">
        <v>341</v>
      </c>
      <c r="C1244" s="890" t="s">
        <v>289</v>
      </c>
      <c r="D1244" s="890" t="s">
        <v>398</v>
      </c>
      <c r="E1244" s="891">
        <v>2019.0</v>
      </c>
      <c r="F1244" s="890" t="s">
        <v>291</v>
      </c>
      <c r="G1244" s="890" t="s">
        <v>89</v>
      </c>
      <c r="H1244" s="532">
        <v>1926377.738</v>
      </c>
      <c r="I1244" s="532">
        <v>2176573.329</v>
      </c>
      <c r="J1244" s="533">
        <v>1674144.149</v>
      </c>
      <c r="K1244" s="220"/>
      <c r="CE1244" s="525"/>
    </row>
    <row r="1245">
      <c r="A1245" s="219"/>
      <c r="B1245" s="886" t="s">
        <v>341</v>
      </c>
      <c r="C1245" s="887" t="s">
        <v>289</v>
      </c>
      <c r="D1245" s="887" t="s">
        <v>402</v>
      </c>
      <c r="E1245" s="888">
        <v>2019.0</v>
      </c>
      <c r="F1245" s="887" t="s">
        <v>291</v>
      </c>
      <c r="G1245" s="887" t="s">
        <v>89</v>
      </c>
      <c r="H1245" s="547">
        <v>1.86099444E7</v>
      </c>
      <c r="I1245" s="547">
        <v>2.102436408E7</v>
      </c>
      <c r="J1245" s="548">
        <v>1.617196554E7</v>
      </c>
      <c r="K1245" s="220"/>
      <c r="CE1245" s="525"/>
    </row>
    <row r="1246">
      <c r="A1246" s="219"/>
      <c r="B1246" s="889" t="s">
        <v>341</v>
      </c>
      <c r="C1246" s="890" t="s">
        <v>289</v>
      </c>
      <c r="D1246" s="890" t="s">
        <v>407</v>
      </c>
      <c r="E1246" s="891">
        <v>2019.0</v>
      </c>
      <c r="F1246" s="890" t="s">
        <v>291</v>
      </c>
      <c r="G1246" s="890" t="s">
        <v>89</v>
      </c>
      <c r="H1246" s="532">
        <v>6422860.493</v>
      </c>
      <c r="I1246" s="532">
        <v>7257053.778</v>
      </c>
      <c r="J1246" s="533">
        <v>5581872.186</v>
      </c>
      <c r="K1246" s="220"/>
      <c r="CE1246" s="525"/>
    </row>
    <row r="1247">
      <c r="A1247" s="219"/>
      <c r="B1247" s="886" t="s">
        <v>341</v>
      </c>
      <c r="C1247" s="887" t="s">
        <v>289</v>
      </c>
      <c r="D1247" s="887" t="s">
        <v>414</v>
      </c>
      <c r="E1247" s="888">
        <v>2019.0</v>
      </c>
      <c r="F1247" s="887" t="s">
        <v>291</v>
      </c>
      <c r="G1247" s="887" t="s">
        <v>89</v>
      </c>
      <c r="H1247" s="547">
        <v>1482256.135</v>
      </c>
      <c r="I1247" s="547">
        <v>1674769.754</v>
      </c>
      <c r="J1247" s="548">
        <v>1288174.374</v>
      </c>
      <c r="K1247" s="220"/>
      <c r="CE1247" s="525"/>
    </row>
    <row r="1248">
      <c r="A1248" s="219"/>
      <c r="B1248" s="889" t="s">
        <v>341</v>
      </c>
      <c r="C1248" s="890" t="s">
        <v>289</v>
      </c>
      <c r="D1248" s="890" t="s">
        <v>417</v>
      </c>
      <c r="E1248" s="891">
        <v>2019.0</v>
      </c>
      <c r="F1248" s="890" t="s">
        <v>291</v>
      </c>
      <c r="G1248" s="890" t="s">
        <v>89</v>
      </c>
      <c r="H1248" s="532">
        <v>4134770.048</v>
      </c>
      <c r="I1248" s="532">
        <v>4671788.937</v>
      </c>
      <c r="J1248" s="533">
        <v>3593376.806</v>
      </c>
      <c r="K1248" s="220"/>
      <c r="CE1248" s="525"/>
    </row>
    <row r="1249">
      <c r="A1249" s="219"/>
      <c r="B1249" s="886" t="s">
        <v>341</v>
      </c>
      <c r="C1249" s="887" t="s">
        <v>289</v>
      </c>
      <c r="D1249" s="887" t="s">
        <v>300</v>
      </c>
      <c r="E1249" s="888">
        <v>2019.0</v>
      </c>
      <c r="F1249" s="887" t="s">
        <v>291</v>
      </c>
      <c r="G1249" s="887" t="s">
        <v>89</v>
      </c>
      <c r="H1249" s="547">
        <v>1.274404309E7</v>
      </c>
      <c r="I1249" s="547">
        <v>1.439922386E7</v>
      </c>
      <c r="J1249" s="548">
        <v>1.107537984E7</v>
      </c>
      <c r="K1249" s="220"/>
      <c r="CE1249" s="525"/>
    </row>
    <row r="1250">
      <c r="A1250" s="219"/>
      <c r="B1250" s="889" t="s">
        <v>341</v>
      </c>
      <c r="C1250" s="890" t="s">
        <v>289</v>
      </c>
      <c r="D1250" s="890" t="s">
        <v>429</v>
      </c>
      <c r="E1250" s="891">
        <v>2019.0</v>
      </c>
      <c r="F1250" s="890" t="s">
        <v>291</v>
      </c>
      <c r="G1250" s="890" t="s">
        <v>89</v>
      </c>
      <c r="H1250" s="532">
        <v>3538111.373</v>
      </c>
      <c r="I1250" s="532">
        <v>3997139.383</v>
      </c>
      <c r="J1250" s="533">
        <v>3074604.308</v>
      </c>
      <c r="K1250" s="220"/>
      <c r="CE1250" s="525"/>
    </row>
    <row r="1251">
      <c r="A1251" s="219"/>
      <c r="B1251" s="886" t="s">
        <v>341</v>
      </c>
      <c r="C1251" s="887" t="s">
        <v>289</v>
      </c>
      <c r="D1251" s="887" t="s">
        <v>432</v>
      </c>
      <c r="E1251" s="888">
        <v>2019.0</v>
      </c>
      <c r="F1251" s="887" t="s">
        <v>291</v>
      </c>
      <c r="G1251" s="887" t="s">
        <v>89</v>
      </c>
      <c r="H1251" s="547">
        <v>1154928.593</v>
      </c>
      <c r="I1251" s="547">
        <v>1304929.31</v>
      </c>
      <c r="J1251" s="548">
        <v>1003706.028</v>
      </c>
      <c r="K1251" s="220"/>
      <c r="CE1251" s="525"/>
    </row>
    <row r="1252">
      <c r="A1252" s="219"/>
      <c r="B1252" s="889" t="s">
        <v>341</v>
      </c>
      <c r="C1252" s="890" t="s">
        <v>289</v>
      </c>
      <c r="D1252" s="890" t="s">
        <v>435</v>
      </c>
      <c r="E1252" s="891">
        <v>2019.0</v>
      </c>
      <c r="F1252" s="890" t="s">
        <v>291</v>
      </c>
      <c r="G1252" s="890" t="s">
        <v>89</v>
      </c>
      <c r="H1252" s="532">
        <v>873979.9696</v>
      </c>
      <c r="I1252" s="532">
        <v>987491.4219</v>
      </c>
      <c r="J1252" s="533">
        <v>759543.8962</v>
      </c>
      <c r="K1252" s="220"/>
      <c r="CE1252" s="525"/>
    </row>
    <row r="1253">
      <c r="A1253" s="219"/>
      <c r="B1253" s="886" t="s">
        <v>341</v>
      </c>
      <c r="C1253" s="887" t="s">
        <v>289</v>
      </c>
      <c r="D1253" s="887" t="s">
        <v>442</v>
      </c>
      <c r="E1253" s="888">
        <v>2019.0</v>
      </c>
      <c r="F1253" s="887" t="s">
        <v>291</v>
      </c>
      <c r="G1253" s="887" t="s">
        <v>89</v>
      </c>
      <c r="H1253" s="547">
        <v>623605.3495</v>
      </c>
      <c r="I1253" s="547">
        <v>704598.4515</v>
      </c>
      <c r="J1253" s="548">
        <v>541952.5085</v>
      </c>
      <c r="K1253" s="220"/>
      <c r="CE1253" s="525"/>
    </row>
    <row r="1254">
      <c r="A1254" s="219"/>
      <c r="B1254" s="889" t="s">
        <v>341</v>
      </c>
      <c r="C1254" s="890" t="s">
        <v>289</v>
      </c>
      <c r="D1254" s="890" t="s">
        <v>445</v>
      </c>
      <c r="E1254" s="891">
        <v>2019.0</v>
      </c>
      <c r="F1254" s="890" t="s">
        <v>291</v>
      </c>
      <c r="G1254" s="890" t="s">
        <v>89</v>
      </c>
      <c r="H1254" s="532">
        <v>1043944.987</v>
      </c>
      <c r="I1254" s="532">
        <v>1179384.474</v>
      </c>
      <c r="J1254" s="533">
        <v>907183.9224</v>
      </c>
      <c r="K1254" s="220"/>
      <c r="CE1254" s="525"/>
    </row>
    <row r="1255">
      <c r="A1255" s="219"/>
      <c r="B1255" s="886" t="s">
        <v>341</v>
      </c>
      <c r="C1255" s="887" t="s">
        <v>289</v>
      </c>
      <c r="D1255" s="887" t="s">
        <v>450</v>
      </c>
      <c r="E1255" s="888">
        <v>2019.0</v>
      </c>
      <c r="F1255" s="887" t="s">
        <v>291</v>
      </c>
      <c r="G1255" s="887" t="s">
        <v>89</v>
      </c>
      <c r="H1255" s="547">
        <v>420188.4435</v>
      </c>
      <c r="I1255" s="547">
        <v>474762.006</v>
      </c>
      <c r="J1255" s="548">
        <v>365170.3456</v>
      </c>
      <c r="K1255" s="220"/>
      <c r="CE1255" s="525"/>
    </row>
    <row r="1256">
      <c r="A1256" s="219"/>
      <c r="B1256" s="889" t="s">
        <v>341</v>
      </c>
      <c r="C1256" s="890" t="s">
        <v>289</v>
      </c>
      <c r="D1256" s="890" t="s">
        <v>457</v>
      </c>
      <c r="E1256" s="891">
        <v>2019.0</v>
      </c>
      <c r="F1256" s="890" t="s">
        <v>291</v>
      </c>
      <c r="G1256" s="890" t="s">
        <v>89</v>
      </c>
      <c r="H1256" s="532">
        <v>885085.0384</v>
      </c>
      <c r="I1256" s="532">
        <v>1000038.803</v>
      </c>
      <c r="J1256" s="533">
        <v>769194.9037</v>
      </c>
      <c r="K1256" s="220"/>
      <c r="CE1256" s="525"/>
    </row>
    <row r="1257">
      <c r="A1257" s="219"/>
      <c r="B1257" s="886" t="s">
        <v>341</v>
      </c>
      <c r="C1257" s="887" t="s">
        <v>289</v>
      </c>
      <c r="D1257" s="887" t="s">
        <v>463</v>
      </c>
      <c r="E1257" s="888">
        <v>2019.0</v>
      </c>
      <c r="F1257" s="887" t="s">
        <v>291</v>
      </c>
      <c r="G1257" s="887" t="s">
        <v>89</v>
      </c>
      <c r="H1257" s="547">
        <v>464963.9353</v>
      </c>
      <c r="I1257" s="547">
        <v>525287.4942</v>
      </c>
      <c r="J1257" s="548">
        <v>404051.7574</v>
      </c>
      <c r="K1257" s="220"/>
      <c r="CE1257" s="525"/>
    </row>
    <row r="1258">
      <c r="A1258" s="219"/>
      <c r="B1258" s="889" t="s">
        <v>341</v>
      </c>
      <c r="C1258" s="890" t="s">
        <v>289</v>
      </c>
      <c r="D1258" s="890" t="s">
        <v>467</v>
      </c>
      <c r="E1258" s="891">
        <v>2019.0</v>
      </c>
      <c r="F1258" s="890" t="s">
        <v>291</v>
      </c>
      <c r="G1258" s="890" t="s">
        <v>89</v>
      </c>
      <c r="H1258" s="532">
        <v>254167.8279</v>
      </c>
      <c r="I1258" s="532">
        <v>287178.8353</v>
      </c>
      <c r="J1258" s="533">
        <v>220887.9254</v>
      </c>
      <c r="K1258" s="220"/>
      <c r="CE1258" s="525"/>
    </row>
    <row r="1259">
      <c r="A1259" s="219"/>
      <c r="B1259" s="886" t="s">
        <v>341</v>
      </c>
      <c r="C1259" s="887" t="s">
        <v>289</v>
      </c>
      <c r="D1259" s="887" t="s">
        <v>473</v>
      </c>
      <c r="E1259" s="888">
        <v>2019.0</v>
      </c>
      <c r="F1259" s="887" t="s">
        <v>291</v>
      </c>
      <c r="G1259" s="887" t="s">
        <v>89</v>
      </c>
      <c r="H1259" s="547">
        <v>386184.2951</v>
      </c>
      <c r="I1259" s="547">
        <v>436287.1296</v>
      </c>
      <c r="J1259" s="548">
        <v>335592.5724</v>
      </c>
      <c r="K1259" s="220"/>
      <c r="CE1259" s="525"/>
    </row>
    <row r="1260">
      <c r="A1260" s="219"/>
      <c r="B1260" s="889" t="s">
        <v>341</v>
      </c>
      <c r="C1260" s="890" t="s">
        <v>289</v>
      </c>
      <c r="D1260" s="890" t="s">
        <v>477</v>
      </c>
      <c r="E1260" s="891">
        <v>2019.0</v>
      </c>
      <c r="F1260" s="890" t="s">
        <v>291</v>
      </c>
      <c r="G1260" s="890" t="s">
        <v>89</v>
      </c>
      <c r="H1260" s="532">
        <v>210728.7669</v>
      </c>
      <c r="I1260" s="532">
        <v>238097.9621</v>
      </c>
      <c r="J1260" s="533">
        <v>183136.6327</v>
      </c>
      <c r="K1260" s="220"/>
      <c r="CE1260" s="525"/>
    </row>
    <row r="1261">
      <c r="A1261" s="219"/>
      <c r="B1261" s="886" t="s">
        <v>341</v>
      </c>
      <c r="C1261" s="887" t="s">
        <v>289</v>
      </c>
      <c r="D1261" s="887" t="s">
        <v>483</v>
      </c>
      <c r="E1261" s="888">
        <v>2019.0</v>
      </c>
      <c r="F1261" s="887" t="s">
        <v>291</v>
      </c>
      <c r="G1261" s="887" t="s">
        <v>89</v>
      </c>
      <c r="H1261" s="547">
        <v>131960.5364</v>
      </c>
      <c r="I1261" s="547">
        <v>149099.4098</v>
      </c>
      <c r="J1261" s="548">
        <v>114682.0561</v>
      </c>
      <c r="K1261" s="220"/>
      <c r="CE1261" s="525"/>
    </row>
    <row r="1262">
      <c r="A1262" s="219"/>
      <c r="B1262" s="889" t="s">
        <v>341</v>
      </c>
      <c r="C1262" s="890" t="s">
        <v>289</v>
      </c>
      <c r="D1262" s="890" t="s">
        <v>489</v>
      </c>
      <c r="E1262" s="891">
        <v>2019.0</v>
      </c>
      <c r="F1262" s="890" t="s">
        <v>291</v>
      </c>
      <c r="G1262" s="890" t="s">
        <v>89</v>
      </c>
      <c r="H1262" s="532">
        <v>78779.64018</v>
      </c>
      <c r="I1262" s="532">
        <v>89000.36464</v>
      </c>
      <c r="J1262" s="533">
        <v>68459.185</v>
      </c>
      <c r="K1262" s="220"/>
      <c r="CE1262" s="525"/>
    </row>
    <row r="1263">
      <c r="A1263" s="219"/>
      <c r="B1263" s="886" t="s">
        <v>341</v>
      </c>
      <c r="C1263" s="887" t="s">
        <v>289</v>
      </c>
      <c r="D1263" s="887" t="s">
        <v>493</v>
      </c>
      <c r="E1263" s="888">
        <v>2019.0</v>
      </c>
      <c r="F1263" s="887" t="s">
        <v>291</v>
      </c>
      <c r="G1263" s="887" t="s">
        <v>89</v>
      </c>
      <c r="H1263" s="547">
        <v>56422.83506</v>
      </c>
      <c r="I1263" s="547">
        <v>63750.96404</v>
      </c>
      <c r="J1263" s="548">
        <v>49035.01392</v>
      </c>
      <c r="K1263" s="220"/>
      <c r="CE1263" s="525"/>
    </row>
    <row r="1264">
      <c r="A1264" s="219"/>
      <c r="B1264" s="889" t="s">
        <v>341</v>
      </c>
      <c r="C1264" s="890" t="s">
        <v>289</v>
      </c>
      <c r="D1264" s="890" t="s">
        <v>496</v>
      </c>
      <c r="E1264" s="891">
        <v>2019.0</v>
      </c>
      <c r="F1264" s="890" t="s">
        <v>291</v>
      </c>
      <c r="G1264" s="890" t="s">
        <v>89</v>
      </c>
      <c r="H1264" s="532">
        <v>17834.45815</v>
      </c>
      <c r="I1264" s="532">
        <v>20150.77582</v>
      </c>
      <c r="J1264" s="533">
        <v>15499.27264</v>
      </c>
      <c r="K1264" s="220"/>
      <c r="CE1264" s="525"/>
    </row>
    <row r="1265">
      <c r="A1265" s="219"/>
      <c r="B1265" s="886" t="s">
        <v>341</v>
      </c>
      <c r="C1265" s="887" t="s">
        <v>289</v>
      </c>
      <c r="D1265" s="887" t="s">
        <v>502</v>
      </c>
      <c r="E1265" s="888">
        <v>2019.0</v>
      </c>
      <c r="F1265" s="887" t="s">
        <v>291</v>
      </c>
      <c r="G1265" s="887" t="s">
        <v>89</v>
      </c>
      <c r="H1265" s="547">
        <v>4510.93737</v>
      </c>
      <c r="I1265" s="547">
        <v>5096.812413</v>
      </c>
      <c r="J1265" s="548">
        <v>3920.290012</v>
      </c>
      <c r="K1265" s="220"/>
      <c r="CE1265" s="525"/>
    </row>
    <row r="1266">
      <c r="A1266" s="219"/>
      <c r="B1266" s="889" t="s">
        <v>341</v>
      </c>
      <c r="C1266" s="890" t="s">
        <v>289</v>
      </c>
      <c r="D1266" s="890" t="s">
        <v>332</v>
      </c>
      <c r="E1266" s="891">
        <v>2019.0</v>
      </c>
      <c r="F1266" s="890" t="s">
        <v>291</v>
      </c>
      <c r="G1266" s="890" t="s">
        <v>89</v>
      </c>
      <c r="H1266" s="532">
        <v>5.022770945E7</v>
      </c>
      <c r="I1266" s="532">
        <v>5.675122308E7</v>
      </c>
      <c r="J1266" s="533">
        <v>4.365105776E7</v>
      </c>
      <c r="K1266" s="220"/>
      <c r="CE1266" s="525"/>
    </row>
    <row r="1267">
      <c r="A1267" s="219"/>
      <c r="B1267" s="886" t="s">
        <v>341</v>
      </c>
      <c r="C1267" s="887" t="s">
        <v>289</v>
      </c>
      <c r="D1267" s="887" t="s">
        <v>510</v>
      </c>
      <c r="E1267" s="888">
        <v>2019.0</v>
      </c>
      <c r="F1267" s="887" t="s">
        <v>291</v>
      </c>
      <c r="G1267" s="887" t="s">
        <v>89</v>
      </c>
      <c r="H1267" s="547">
        <v>1342679.831</v>
      </c>
      <c r="I1267" s="547">
        <v>1554709.921</v>
      </c>
      <c r="J1267" s="548">
        <v>1166728.812</v>
      </c>
      <c r="K1267" s="220"/>
      <c r="CE1267" s="525"/>
    </row>
    <row r="1268">
      <c r="A1268" s="219"/>
      <c r="B1268" s="889" t="s">
        <v>341</v>
      </c>
      <c r="C1268" s="890" t="s">
        <v>289</v>
      </c>
      <c r="D1268" s="890" t="s">
        <v>512</v>
      </c>
      <c r="E1268" s="891">
        <v>2019.0</v>
      </c>
      <c r="F1268" s="890" t="s">
        <v>291</v>
      </c>
      <c r="G1268" s="890" t="s">
        <v>89</v>
      </c>
      <c r="H1268" s="532">
        <v>25561.40228</v>
      </c>
      <c r="I1268" s="532">
        <v>28881.28603</v>
      </c>
      <c r="J1268" s="533">
        <v>22214.47603</v>
      </c>
      <c r="K1268" s="220"/>
      <c r="CE1268" s="525"/>
    </row>
    <row r="1269">
      <c r="A1269" s="219"/>
      <c r="B1269" s="886" t="s">
        <v>341</v>
      </c>
      <c r="C1269" s="887" t="s">
        <v>289</v>
      </c>
      <c r="D1269" s="887" t="s">
        <v>515</v>
      </c>
      <c r="E1269" s="888">
        <v>2019.0</v>
      </c>
      <c r="F1269" s="887" t="s">
        <v>291</v>
      </c>
      <c r="G1269" s="887" t="s">
        <v>89</v>
      </c>
      <c r="H1269" s="547">
        <v>75868.58173</v>
      </c>
      <c r="I1269" s="547">
        <v>85722.30057</v>
      </c>
      <c r="J1269" s="548">
        <v>65934.59824</v>
      </c>
      <c r="K1269" s="220"/>
      <c r="CE1269" s="525"/>
    </row>
    <row r="1270">
      <c r="A1270" s="219"/>
      <c r="B1270" s="889" t="s">
        <v>341</v>
      </c>
      <c r="C1270" s="890" t="s">
        <v>289</v>
      </c>
      <c r="D1270" s="890" t="s">
        <v>518</v>
      </c>
      <c r="E1270" s="891">
        <v>2019.0</v>
      </c>
      <c r="F1270" s="890" t="s">
        <v>291</v>
      </c>
      <c r="G1270" s="890" t="s">
        <v>89</v>
      </c>
      <c r="H1270" s="532">
        <v>101429.984</v>
      </c>
      <c r="I1270" s="532">
        <v>114603.5866</v>
      </c>
      <c r="J1270" s="533">
        <v>88149.07427</v>
      </c>
      <c r="K1270" s="220"/>
      <c r="CE1270" s="525"/>
    </row>
    <row r="1271">
      <c r="A1271" s="219"/>
      <c r="B1271" s="886" t="s">
        <v>341</v>
      </c>
      <c r="C1271" s="887" t="s">
        <v>289</v>
      </c>
      <c r="D1271" s="887" t="s">
        <v>522</v>
      </c>
      <c r="E1271" s="888">
        <v>2019.0</v>
      </c>
      <c r="F1271" s="887" t="s">
        <v>291</v>
      </c>
      <c r="G1271" s="887" t="s">
        <v>89</v>
      </c>
      <c r="H1271" s="547">
        <v>1196537.852</v>
      </c>
      <c r="I1271" s="547">
        <v>1351942.728</v>
      </c>
      <c r="J1271" s="548">
        <v>1039867.106</v>
      </c>
      <c r="K1271" s="220"/>
      <c r="CE1271" s="525"/>
    </row>
    <row r="1272">
      <c r="A1272" s="219"/>
      <c r="B1272" s="889" t="s">
        <v>341</v>
      </c>
      <c r="C1272" s="890" t="s">
        <v>289</v>
      </c>
      <c r="D1272" s="890" t="s">
        <v>302</v>
      </c>
      <c r="E1272" s="891">
        <v>2019.0</v>
      </c>
      <c r="F1272" s="890" t="s">
        <v>291</v>
      </c>
      <c r="G1272" s="890" t="s">
        <v>89</v>
      </c>
      <c r="H1272" s="532">
        <v>6416042.782</v>
      </c>
      <c r="I1272" s="532">
        <v>7249350.591</v>
      </c>
      <c r="J1272" s="533">
        <v>5575947.164</v>
      </c>
      <c r="K1272" s="220"/>
      <c r="CE1272" s="525"/>
    </row>
    <row r="1273">
      <c r="A1273" s="219"/>
      <c r="B1273" s="886" t="s">
        <v>443</v>
      </c>
      <c r="C1273" s="887" t="s">
        <v>289</v>
      </c>
      <c r="D1273" s="887" t="s">
        <v>290</v>
      </c>
      <c r="E1273" s="888">
        <v>2019.0</v>
      </c>
      <c r="F1273" s="887" t="s">
        <v>291</v>
      </c>
      <c r="G1273" s="887" t="s">
        <v>89</v>
      </c>
      <c r="H1273" s="547">
        <v>44584.44771</v>
      </c>
      <c r="I1273" s="547">
        <v>48457.28771</v>
      </c>
      <c r="J1273" s="548">
        <v>40721.13182</v>
      </c>
      <c r="K1273" s="220"/>
      <c r="CE1273" s="525"/>
    </row>
    <row r="1274">
      <c r="A1274" s="219"/>
      <c r="B1274" s="889" t="s">
        <v>443</v>
      </c>
      <c r="C1274" s="890" t="s">
        <v>289</v>
      </c>
      <c r="D1274" s="890" t="s">
        <v>310</v>
      </c>
      <c r="E1274" s="891">
        <v>2019.0</v>
      </c>
      <c r="F1274" s="890" t="s">
        <v>291</v>
      </c>
      <c r="G1274" s="890" t="s">
        <v>89</v>
      </c>
      <c r="H1274" s="532">
        <v>880626.2063</v>
      </c>
      <c r="I1274" s="532">
        <v>957122.0377</v>
      </c>
      <c r="J1274" s="533">
        <v>804318.4938</v>
      </c>
      <c r="K1274" s="220"/>
      <c r="CE1274" s="525"/>
    </row>
    <row r="1275">
      <c r="A1275" s="219"/>
      <c r="B1275" s="886" t="s">
        <v>443</v>
      </c>
      <c r="C1275" s="887" t="s">
        <v>289</v>
      </c>
      <c r="D1275" s="887" t="s">
        <v>318</v>
      </c>
      <c r="E1275" s="888">
        <v>2019.0</v>
      </c>
      <c r="F1275" s="887" t="s">
        <v>291</v>
      </c>
      <c r="G1275" s="887" t="s">
        <v>89</v>
      </c>
      <c r="H1275" s="547">
        <v>660821.1594</v>
      </c>
      <c r="I1275" s="547">
        <v>718223.5665</v>
      </c>
      <c r="J1275" s="548">
        <v>603559.9165</v>
      </c>
      <c r="K1275" s="220"/>
      <c r="CE1275" s="525"/>
    </row>
    <row r="1276">
      <c r="A1276" s="219"/>
      <c r="B1276" s="889" t="s">
        <v>443</v>
      </c>
      <c r="C1276" s="890" t="s">
        <v>289</v>
      </c>
      <c r="D1276" s="890" t="s">
        <v>309</v>
      </c>
      <c r="E1276" s="891">
        <v>2019.0</v>
      </c>
      <c r="F1276" s="890" t="s">
        <v>291</v>
      </c>
      <c r="G1276" s="890" t="s">
        <v>89</v>
      </c>
      <c r="H1276" s="532">
        <v>173824.7973</v>
      </c>
      <c r="I1276" s="532">
        <v>188924.135</v>
      </c>
      <c r="J1276" s="533">
        <v>158762.5921</v>
      </c>
      <c r="K1276" s="220"/>
      <c r="CE1276" s="525"/>
    </row>
    <row r="1277">
      <c r="A1277" s="219"/>
      <c r="B1277" s="886" t="s">
        <v>443</v>
      </c>
      <c r="C1277" s="887" t="s">
        <v>289</v>
      </c>
      <c r="D1277" s="887" t="s">
        <v>334</v>
      </c>
      <c r="E1277" s="888">
        <v>2019.0</v>
      </c>
      <c r="F1277" s="887" t="s">
        <v>291</v>
      </c>
      <c r="G1277" s="887" t="s">
        <v>89</v>
      </c>
      <c r="H1277" s="547">
        <v>224254.0483</v>
      </c>
      <c r="I1277" s="547">
        <v>243733.9363</v>
      </c>
      <c r="J1277" s="548">
        <v>204822.0653</v>
      </c>
      <c r="K1277" s="220"/>
      <c r="CE1277" s="525"/>
    </row>
    <row r="1278">
      <c r="A1278" s="219"/>
      <c r="B1278" s="889" t="s">
        <v>443</v>
      </c>
      <c r="C1278" s="890" t="s">
        <v>289</v>
      </c>
      <c r="D1278" s="890" t="s">
        <v>339</v>
      </c>
      <c r="E1278" s="891">
        <v>2019.0</v>
      </c>
      <c r="F1278" s="890" t="s">
        <v>291</v>
      </c>
      <c r="G1278" s="890" t="s">
        <v>89</v>
      </c>
      <c r="H1278" s="532">
        <v>444059.0952</v>
      </c>
      <c r="I1278" s="532">
        <v>482632.4075</v>
      </c>
      <c r="J1278" s="533">
        <v>405580.6426</v>
      </c>
      <c r="K1278" s="220"/>
      <c r="CE1278" s="525"/>
    </row>
    <row r="1279">
      <c r="A1279" s="219"/>
      <c r="B1279" s="886" t="s">
        <v>443</v>
      </c>
      <c r="C1279" s="887" t="s">
        <v>289</v>
      </c>
      <c r="D1279" s="887" t="s">
        <v>344</v>
      </c>
      <c r="E1279" s="888">
        <v>2019.0</v>
      </c>
      <c r="F1279" s="887" t="s">
        <v>291</v>
      </c>
      <c r="G1279" s="887" t="s">
        <v>89</v>
      </c>
      <c r="H1279" s="547">
        <v>652312.1915</v>
      </c>
      <c r="I1279" s="547">
        <v>708975.4648</v>
      </c>
      <c r="J1279" s="548">
        <v>595788.2648</v>
      </c>
      <c r="K1279" s="220"/>
      <c r="CE1279" s="525"/>
    </row>
    <row r="1280">
      <c r="A1280" s="219"/>
      <c r="B1280" s="889" t="s">
        <v>443</v>
      </c>
      <c r="C1280" s="890" t="s">
        <v>289</v>
      </c>
      <c r="D1280" s="890" t="s">
        <v>349</v>
      </c>
      <c r="E1280" s="891">
        <v>2019.0</v>
      </c>
      <c r="F1280" s="890" t="s">
        <v>291</v>
      </c>
      <c r="G1280" s="890" t="s">
        <v>89</v>
      </c>
      <c r="H1280" s="532">
        <v>219805.0469</v>
      </c>
      <c r="I1280" s="532">
        <v>238898.4712</v>
      </c>
      <c r="J1280" s="533">
        <v>200758.5773</v>
      </c>
      <c r="K1280" s="220"/>
      <c r="CE1280" s="525"/>
    </row>
    <row r="1281">
      <c r="A1281" s="219"/>
      <c r="B1281" s="886" t="s">
        <v>443</v>
      </c>
      <c r="C1281" s="887" t="s">
        <v>289</v>
      </c>
      <c r="D1281" s="887" t="s">
        <v>355</v>
      </c>
      <c r="E1281" s="888">
        <v>2019.0</v>
      </c>
      <c r="F1281" s="887" t="s">
        <v>291</v>
      </c>
      <c r="G1281" s="887" t="s">
        <v>89</v>
      </c>
      <c r="H1281" s="547">
        <v>950038.632</v>
      </c>
      <c r="I1281" s="547">
        <v>1032533.939</v>
      </c>
      <c r="J1281" s="548">
        <v>867654.2493</v>
      </c>
      <c r="K1281" s="220"/>
      <c r="CE1281" s="525"/>
    </row>
    <row r="1282">
      <c r="A1282" s="219"/>
      <c r="B1282" s="889" t="s">
        <v>443</v>
      </c>
      <c r="C1282" s="890" t="s">
        <v>289</v>
      </c>
      <c r="D1282" s="890" t="s">
        <v>358</v>
      </c>
      <c r="E1282" s="891">
        <v>2019.0</v>
      </c>
      <c r="F1282" s="890" t="s">
        <v>291</v>
      </c>
      <c r="G1282" s="890" t="s">
        <v>89</v>
      </c>
      <c r="H1282" s="532">
        <v>1147116.172</v>
      </c>
      <c r="I1282" s="532">
        <v>1246760.726</v>
      </c>
      <c r="J1282" s="533">
        <v>1047716.665</v>
      </c>
      <c r="K1282" s="220"/>
      <c r="CE1282" s="525"/>
    </row>
    <row r="1283">
      <c r="A1283" s="219"/>
      <c r="B1283" s="886" t="s">
        <v>443</v>
      </c>
      <c r="C1283" s="887" t="s">
        <v>289</v>
      </c>
      <c r="D1283" s="887" t="s">
        <v>362</v>
      </c>
      <c r="E1283" s="888">
        <v>2019.0</v>
      </c>
      <c r="F1283" s="887" t="s">
        <v>291</v>
      </c>
      <c r="G1283" s="887" t="s">
        <v>89</v>
      </c>
      <c r="H1283" s="547">
        <v>1211018.64</v>
      </c>
      <c r="I1283" s="547">
        <v>1316175.79</v>
      </c>
      <c r="J1283" s="548">
        <v>1106002.886</v>
      </c>
      <c r="K1283" s="220"/>
      <c r="CE1283" s="525"/>
    </row>
    <row r="1284">
      <c r="A1284" s="219"/>
      <c r="B1284" s="889" t="s">
        <v>443</v>
      </c>
      <c r="C1284" s="890" t="s">
        <v>289</v>
      </c>
      <c r="D1284" s="890" t="s">
        <v>366</v>
      </c>
      <c r="E1284" s="891">
        <v>2019.0</v>
      </c>
      <c r="F1284" s="890" t="s">
        <v>291</v>
      </c>
      <c r="G1284" s="890" t="s">
        <v>89</v>
      </c>
      <c r="H1284" s="532">
        <v>208253.0963</v>
      </c>
      <c r="I1284" s="532">
        <v>226343.0573</v>
      </c>
      <c r="J1284" s="533">
        <v>190207.6222</v>
      </c>
      <c r="K1284" s="220"/>
      <c r="CE1284" s="525"/>
    </row>
    <row r="1285">
      <c r="A1285" s="219"/>
      <c r="B1285" s="886" t="s">
        <v>443</v>
      </c>
      <c r="C1285" s="887" t="s">
        <v>289</v>
      </c>
      <c r="D1285" s="887" t="s">
        <v>368</v>
      </c>
      <c r="E1285" s="888">
        <v>2019.0</v>
      </c>
      <c r="F1285" s="887" t="s">
        <v>291</v>
      </c>
      <c r="G1285" s="887" t="s">
        <v>89</v>
      </c>
      <c r="H1285" s="547">
        <v>1002708.638</v>
      </c>
      <c r="I1285" s="547">
        <v>1089809.193</v>
      </c>
      <c r="J1285" s="548">
        <v>915822.2815</v>
      </c>
      <c r="K1285" s="220"/>
      <c r="CE1285" s="525"/>
    </row>
    <row r="1286">
      <c r="A1286" s="219"/>
      <c r="B1286" s="889" t="s">
        <v>443</v>
      </c>
      <c r="C1286" s="890" t="s">
        <v>289</v>
      </c>
      <c r="D1286" s="890" t="s">
        <v>373</v>
      </c>
      <c r="E1286" s="891">
        <v>2019.0</v>
      </c>
      <c r="F1286" s="890" t="s">
        <v>291</v>
      </c>
      <c r="G1286" s="890" t="s">
        <v>89</v>
      </c>
      <c r="H1286" s="532">
        <v>195248.4004</v>
      </c>
      <c r="I1286" s="532">
        <v>212208.705</v>
      </c>
      <c r="J1286" s="533">
        <v>178329.8046</v>
      </c>
      <c r="K1286" s="220"/>
      <c r="CE1286" s="525"/>
    </row>
    <row r="1287">
      <c r="A1287" s="219"/>
      <c r="B1287" s="886" t="s">
        <v>443</v>
      </c>
      <c r="C1287" s="887" t="s">
        <v>289</v>
      </c>
      <c r="D1287" s="887" t="s">
        <v>379</v>
      </c>
      <c r="E1287" s="888">
        <v>2019.0</v>
      </c>
      <c r="F1287" s="887" t="s">
        <v>291</v>
      </c>
      <c r="G1287" s="887" t="s">
        <v>89</v>
      </c>
      <c r="H1287" s="547">
        <v>719091.8192</v>
      </c>
      <c r="I1287" s="547">
        <v>781533.1752</v>
      </c>
      <c r="J1287" s="548">
        <v>656734.4228</v>
      </c>
      <c r="K1287" s="220"/>
      <c r="CE1287" s="525"/>
    </row>
    <row r="1288">
      <c r="A1288" s="219"/>
      <c r="B1288" s="889" t="s">
        <v>443</v>
      </c>
      <c r="C1288" s="890" t="s">
        <v>289</v>
      </c>
      <c r="D1288" s="890" t="s">
        <v>382</v>
      </c>
      <c r="E1288" s="891">
        <v>2019.0</v>
      </c>
      <c r="F1288" s="890" t="s">
        <v>291</v>
      </c>
      <c r="G1288" s="890" t="s">
        <v>89</v>
      </c>
      <c r="H1288" s="532">
        <v>174451.8636</v>
      </c>
      <c r="I1288" s="532">
        <v>189605.6714</v>
      </c>
      <c r="J1288" s="533">
        <v>159335.322</v>
      </c>
      <c r="K1288" s="220"/>
      <c r="CE1288" s="525"/>
    </row>
    <row r="1289">
      <c r="A1289" s="219"/>
      <c r="B1289" s="886" t="s">
        <v>443</v>
      </c>
      <c r="C1289" s="887" t="s">
        <v>289</v>
      </c>
      <c r="D1289" s="887" t="s">
        <v>387</v>
      </c>
      <c r="E1289" s="888">
        <v>2019.0</v>
      </c>
      <c r="F1289" s="887" t="s">
        <v>291</v>
      </c>
      <c r="G1289" s="887" t="s">
        <v>89</v>
      </c>
      <c r="H1289" s="547">
        <v>152235.5826</v>
      </c>
      <c r="I1289" s="547">
        <v>165459.5672</v>
      </c>
      <c r="J1289" s="548">
        <v>139044.1184</v>
      </c>
      <c r="K1289" s="220"/>
      <c r="CE1289" s="525"/>
    </row>
    <row r="1290">
      <c r="A1290" s="219"/>
      <c r="B1290" s="889" t="s">
        <v>443</v>
      </c>
      <c r="C1290" s="890" t="s">
        <v>289</v>
      </c>
      <c r="D1290" s="890" t="s">
        <v>392</v>
      </c>
      <c r="E1290" s="891">
        <v>2019.0</v>
      </c>
      <c r="F1290" s="890" t="s">
        <v>291</v>
      </c>
      <c r="G1290" s="890" t="s">
        <v>89</v>
      </c>
      <c r="H1290" s="532">
        <v>113596.097</v>
      </c>
      <c r="I1290" s="532">
        <v>123463.6524</v>
      </c>
      <c r="J1290" s="533">
        <v>103752.8079</v>
      </c>
      <c r="K1290" s="220"/>
      <c r="CE1290" s="525"/>
    </row>
    <row r="1291">
      <c r="A1291" s="219"/>
      <c r="B1291" s="886" t="s">
        <v>443</v>
      </c>
      <c r="C1291" s="887" t="s">
        <v>289</v>
      </c>
      <c r="D1291" s="887" t="s">
        <v>398</v>
      </c>
      <c r="E1291" s="888">
        <v>2019.0</v>
      </c>
      <c r="F1291" s="887" t="s">
        <v>291</v>
      </c>
      <c r="G1291" s="887" t="s">
        <v>89</v>
      </c>
      <c r="H1291" s="547">
        <v>83526.08566</v>
      </c>
      <c r="I1291" s="547">
        <v>90781.60148</v>
      </c>
      <c r="J1291" s="548">
        <v>76288.41264</v>
      </c>
      <c r="K1291" s="220"/>
      <c r="CE1291" s="525"/>
    </row>
    <row r="1292">
      <c r="A1292" s="219"/>
      <c r="B1292" s="889" t="s">
        <v>443</v>
      </c>
      <c r="C1292" s="890" t="s">
        <v>289</v>
      </c>
      <c r="D1292" s="890" t="s">
        <v>402</v>
      </c>
      <c r="E1292" s="891">
        <v>2019.0</v>
      </c>
      <c r="F1292" s="890" t="s">
        <v>291</v>
      </c>
      <c r="G1292" s="890" t="s">
        <v>89</v>
      </c>
      <c r="H1292" s="532">
        <v>662248.0803</v>
      </c>
      <c r="I1292" s="532">
        <v>719753.4878</v>
      </c>
      <c r="J1292" s="533">
        <v>604819.9953</v>
      </c>
      <c r="K1292" s="220"/>
      <c r="CE1292" s="525"/>
    </row>
    <row r="1293">
      <c r="A1293" s="219"/>
      <c r="B1293" s="886" t="s">
        <v>443</v>
      </c>
      <c r="C1293" s="887" t="s">
        <v>289</v>
      </c>
      <c r="D1293" s="887" t="s">
        <v>407</v>
      </c>
      <c r="E1293" s="888">
        <v>2019.0</v>
      </c>
      <c r="F1293" s="887" t="s">
        <v>291</v>
      </c>
      <c r="G1293" s="887" t="s">
        <v>89</v>
      </c>
      <c r="H1293" s="547">
        <v>218157.8661</v>
      </c>
      <c r="I1293" s="547">
        <v>237108.2076</v>
      </c>
      <c r="J1293" s="548">
        <v>199254.1273</v>
      </c>
      <c r="K1293" s="220"/>
      <c r="CE1293" s="525"/>
    </row>
    <row r="1294">
      <c r="A1294" s="219"/>
      <c r="B1294" s="889" t="s">
        <v>443</v>
      </c>
      <c r="C1294" s="890" t="s">
        <v>289</v>
      </c>
      <c r="D1294" s="890" t="s">
        <v>414</v>
      </c>
      <c r="E1294" s="891">
        <v>2019.0</v>
      </c>
      <c r="F1294" s="890" t="s">
        <v>291</v>
      </c>
      <c r="G1294" s="890" t="s">
        <v>89</v>
      </c>
      <c r="H1294" s="532">
        <v>72831.69721</v>
      </c>
      <c r="I1294" s="532">
        <v>79158.24211</v>
      </c>
      <c r="J1294" s="533">
        <v>66520.71058</v>
      </c>
      <c r="K1294" s="220"/>
      <c r="CE1294" s="525"/>
    </row>
    <row r="1295">
      <c r="A1295" s="219"/>
      <c r="B1295" s="886" t="s">
        <v>443</v>
      </c>
      <c r="C1295" s="887" t="s">
        <v>289</v>
      </c>
      <c r="D1295" s="887" t="s">
        <v>417</v>
      </c>
      <c r="E1295" s="888">
        <v>2019.0</v>
      </c>
      <c r="F1295" s="887" t="s">
        <v>291</v>
      </c>
      <c r="G1295" s="887" t="s">
        <v>89</v>
      </c>
      <c r="H1295" s="547">
        <v>229184.98</v>
      </c>
      <c r="I1295" s="547">
        <v>249093.1947</v>
      </c>
      <c r="J1295" s="548">
        <v>209325.7236</v>
      </c>
      <c r="K1295" s="220"/>
      <c r="CE1295" s="525"/>
    </row>
    <row r="1296">
      <c r="A1296" s="219"/>
      <c r="B1296" s="889" t="s">
        <v>443</v>
      </c>
      <c r="C1296" s="890" t="s">
        <v>289</v>
      </c>
      <c r="D1296" s="890" t="s">
        <v>300</v>
      </c>
      <c r="E1296" s="891">
        <v>2019.0</v>
      </c>
      <c r="F1296" s="890" t="s">
        <v>291</v>
      </c>
      <c r="G1296" s="890" t="s">
        <v>89</v>
      </c>
      <c r="H1296" s="532">
        <v>442411.9143</v>
      </c>
      <c r="I1296" s="532">
        <v>480842.1438</v>
      </c>
      <c r="J1296" s="533">
        <v>404076.1926</v>
      </c>
      <c r="K1296" s="220"/>
      <c r="CE1296" s="525"/>
    </row>
    <row r="1297">
      <c r="A1297" s="219"/>
      <c r="B1297" s="886" t="s">
        <v>443</v>
      </c>
      <c r="C1297" s="887" t="s">
        <v>289</v>
      </c>
      <c r="D1297" s="887" t="s">
        <v>429</v>
      </c>
      <c r="E1297" s="888">
        <v>2019.0</v>
      </c>
      <c r="F1297" s="887" t="s">
        <v>291</v>
      </c>
      <c r="G1297" s="887" t="s">
        <v>89</v>
      </c>
      <c r="H1297" s="547">
        <v>210828.8184</v>
      </c>
      <c r="I1297" s="547">
        <v>229135.8509</v>
      </c>
      <c r="J1297" s="548">
        <v>192546.4018</v>
      </c>
      <c r="K1297" s="220"/>
      <c r="CE1297" s="525"/>
    </row>
    <row r="1298">
      <c r="A1298" s="219"/>
      <c r="B1298" s="889" t="s">
        <v>443</v>
      </c>
      <c r="C1298" s="890" t="s">
        <v>289</v>
      </c>
      <c r="D1298" s="890" t="s">
        <v>432</v>
      </c>
      <c r="E1298" s="891">
        <v>2019.0</v>
      </c>
      <c r="F1298" s="890" t="s">
        <v>291</v>
      </c>
      <c r="G1298" s="890" t="s">
        <v>89</v>
      </c>
      <c r="H1298" s="532">
        <v>63655.62283</v>
      </c>
      <c r="I1298" s="532">
        <v>69185.08557</v>
      </c>
      <c r="J1298" s="533">
        <v>58139.75817</v>
      </c>
      <c r="K1298" s="220"/>
      <c r="CE1298" s="525"/>
    </row>
    <row r="1299">
      <c r="A1299" s="219"/>
      <c r="B1299" s="886" t="s">
        <v>443</v>
      </c>
      <c r="C1299" s="887" t="s">
        <v>289</v>
      </c>
      <c r="D1299" s="887" t="s">
        <v>435</v>
      </c>
      <c r="E1299" s="888">
        <v>2019.0</v>
      </c>
      <c r="F1299" s="887" t="s">
        <v>291</v>
      </c>
      <c r="G1299" s="887" t="s">
        <v>89</v>
      </c>
      <c r="H1299" s="547">
        <v>51235.07354</v>
      </c>
      <c r="I1299" s="547">
        <v>55685.62193</v>
      </c>
      <c r="J1299" s="548">
        <v>46795.46996</v>
      </c>
      <c r="K1299" s="220"/>
      <c r="CE1299" s="525"/>
    </row>
    <row r="1300">
      <c r="A1300" s="219"/>
      <c r="B1300" s="889" t="s">
        <v>443</v>
      </c>
      <c r="C1300" s="890" t="s">
        <v>289</v>
      </c>
      <c r="D1300" s="890" t="s">
        <v>442</v>
      </c>
      <c r="E1300" s="891">
        <v>2019.0</v>
      </c>
      <c r="F1300" s="890" t="s">
        <v>291</v>
      </c>
      <c r="G1300" s="890" t="s">
        <v>89</v>
      </c>
      <c r="H1300" s="532">
        <v>41462.58637</v>
      </c>
      <c r="I1300" s="532">
        <v>45064.24504</v>
      </c>
      <c r="J1300" s="533">
        <v>37869.78491</v>
      </c>
      <c r="K1300" s="220"/>
      <c r="CE1300" s="525"/>
    </row>
    <row r="1301">
      <c r="A1301" s="219"/>
      <c r="B1301" s="886" t="s">
        <v>443</v>
      </c>
      <c r="C1301" s="887" t="s">
        <v>289</v>
      </c>
      <c r="D1301" s="887" t="s">
        <v>445</v>
      </c>
      <c r="E1301" s="888">
        <v>2019.0</v>
      </c>
      <c r="F1301" s="887" t="s">
        <v>291</v>
      </c>
      <c r="G1301" s="887" t="s">
        <v>89</v>
      </c>
      <c r="H1301" s="547">
        <v>68545.90173</v>
      </c>
      <c r="I1301" s="547">
        <v>74497.99149</v>
      </c>
      <c r="J1301" s="548">
        <v>62601.81524</v>
      </c>
      <c r="K1301" s="220"/>
      <c r="CE1301" s="525"/>
    </row>
    <row r="1302">
      <c r="A1302" s="219"/>
      <c r="B1302" s="889" t="s">
        <v>443</v>
      </c>
      <c r="C1302" s="890" t="s">
        <v>289</v>
      </c>
      <c r="D1302" s="890" t="s">
        <v>450</v>
      </c>
      <c r="E1302" s="891">
        <v>2019.0</v>
      </c>
      <c r="F1302" s="890" t="s">
        <v>291</v>
      </c>
      <c r="G1302" s="890" t="s">
        <v>89</v>
      </c>
      <c r="H1302" s="532">
        <v>27080.09439</v>
      </c>
      <c r="I1302" s="532">
        <v>29432.41405</v>
      </c>
      <c r="J1302" s="533">
        <v>24733.55957</v>
      </c>
      <c r="K1302" s="220"/>
      <c r="CE1302" s="525"/>
    </row>
    <row r="1303">
      <c r="A1303" s="219"/>
      <c r="B1303" s="886" t="s">
        <v>443</v>
      </c>
      <c r="C1303" s="887" t="s">
        <v>289</v>
      </c>
      <c r="D1303" s="887" t="s">
        <v>457</v>
      </c>
      <c r="E1303" s="888">
        <v>2019.0</v>
      </c>
      <c r="F1303" s="887" t="s">
        <v>291</v>
      </c>
      <c r="G1303" s="887" t="s">
        <v>89</v>
      </c>
      <c r="H1303" s="547">
        <v>54465.62887</v>
      </c>
      <c r="I1303" s="547">
        <v>59196.80032</v>
      </c>
      <c r="J1303" s="548">
        <v>49746.09234</v>
      </c>
      <c r="K1303" s="220"/>
      <c r="CE1303" s="525"/>
    </row>
    <row r="1304">
      <c r="A1304" s="219"/>
      <c r="B1304" s="889" t="s">
        <v>443</v>
      </c>
      <c r="C1304" s="890" t="s">
        <v>289</v>
      </c>
      <c r="D1304" s="890" t="s">
        <v>463</v>
      </c>
      <c r="E1304" s="891">
        <v>2019.0</v>
      </c>
      <c r="F1304" s="890" t="s">
        <v>291</v>
      </c>
      <c r="G1304" s="890" t="s">
        <v>89</v>
      </c>
      <c r="H1304" s="532">
        <v>27386.82138</v>
      </c>
      <c r="I1304" s="532">
        <v>29764.91861</v>
      </c>
      <c r="J1304" s="533">
        <v>25011.92178</v>
      </c>
      <c r="K1304" s="220"/>
      <c r="CE1304" s="525"/>
    </row>
    <row r="1305">
      <c r="A1305" s="219"/>
      <c r="B1305" s="886" t="s">
        <v>443</v>
      </c>
      <c r="C1305" s="887" t="s">
        <v>289</v>
      </c>
      <c r="D1305" s="887" t="s">
        <v>467</v>
      </c>
      <c r="E1305" s="888">
        <v>2019.0</v>
      </c>
      <c r="F1305" s="887" t="s">
        <v>291</v>
      </c>
      <c r="G1305" s="887" t="s">
        <v>89</v>
      </c>
      <c r="H1305" s="547">
        <v>15329.63914</v>
      </c>
      <c r="I1305" s="547">
        <v>16661.25236</v>
      </c>
      <c r="J1305" s="548">
        <v>14001.30064</v>
      </c>
      <c r="K1305" s="220"/>
      <c r="CE1305" s="525"/>
    </row>
    <row r="1306">
      <c r="A1306" s="219"/>
      <c r="B1306" s="889" t="s">
        <v>443</v>
      </c>
      <c r="C1306" s="890" t="s">
        <v>289</v>
      </c>
      <c r="D1306" s="890" t="s">
        <v>473</v>
      </c>
      <c r="E1306" s="891">
        <v>2019.0</v>
      </c>
      <c r="F1306" s="890" t="s">
        <v>291</v>
      </c>
      <c r="G1306" s="890" t="s">
        <v>89</v>
      </c>
      <c r="H1306" s="532">
        <v>23309.466</v>
      </c>
      <c r="I1306" s="532">
        <v>25333.51164</v>
      </c>
      <c r="J1306" s="533">
        <v>21288.14191</v>
      </c>
      <c r="K1306" s="220"/>
      <c r="CE1306" s="525"/>
    </row>
    <row r="1307">
      <c r="A1307" s="219"/>
      <c r="B1307" s="886" t="s">
        <v>443</v>
      </c>
      <c r="C1307" s="887" t="s">
        <v>289</v>
      </c>
      <c r="D1307" s="887" t="s">
        <v>477</v>
      </c>
      <c r="E1307" s="888">
        <v>2019.0</v>
      </c>
      <c r="F1307" s="887" t="s">
        <v>291</v>
      </c>
      <c r="G1307" s="887" t="s">
        <v>89</v>
      </c>
      <c r="H1307" s="547">
        <v>12055.89533</v>
      </c>
      <c r="I1307" s="547">
        <v>13103.13391</v>
      </c>
      <c r="J1307" s="548">
        <v>11011.23213</v>
      </c>
      <c r="K1307" s="220"/>
      <c r="CE1307" s="525"/>
    </row>
    <row r="1308">
      <c r="A1308" s="219"/>
      <c r="B1308" s="889" t="s">
        <v>443</v>
      </c>
      <c r="C1308" s="890" t="s">
        <v>289</v>
      </c>
      <c r="D1308" s="890" t="s">
        <v>483</v>
      </c>
      <c r="E1308" s="891">
        <v>2019.0</v>
      </c>
      <c r="F1308" s="890" t="s">
        <v>291</v>
      </c>
      <c r="G1308" s="890" t="s">
        <v>89</v>
      </c>
      <c r="H1308" s="532">
        <v>7978.731542</v>
      </c>
      <c r="I1308" s="532">
        <v>8671.806195</v>
      </c>
      <c r="J1308" s="533">
        <v>7287.3613</v>
      </c>
      <c r="K1308" s="220"/>
      <c r="CE1308" s="525"/>
    </row>
    <row r="1309">
      <c r="A1309" s="219"/>
      <c r="B1309" s="886" t="s">
        <v>443</v>
      </c>
      <c r="C1309" s="887" t="s">
        <v>289</v>
      </c>
      <c r="D1309" s="887" t="s">
        <v>489</v>
      </c>
      <c r="E1309" s="888">
        <v>2019.0</v>
      </c>
      <c r="F1309" s="887" t="s">
        <v>291</v>
      </c>
      <c r="G1309" s="887" t="s">
        <v>89</v>
      </c>
      <c r="H1309" s="547">
        <v>4077.355385</v>
      </c>
      <c r="I1309" s="547">
        <v>4431.406971</v>
      </c>
      <c r="J1309" s="548">
        <v>3723.779862</v>
      </c>
      <c r="K1309" s="220"/>
      <c r="CE1309" s="525"/>
    </row>
    <row r="1310">
      <c r="A1310" s="219"/>
      <c r="B1310" s="889" t="s">
        <v>443</v>
      </c>
      <c r="C1310" s="890" t="s">
        <v>289</v>
      </c>
      <c r="D1310" s="890" t="s">
        <v>493</v>
      </c>
      <c r="E1310" s="891">
        <v>2019.0</v>
      </c>
      <c r="F1310" s="890" t="s">
        <v>291</v>
      </c>
      <c r="G1310" s="890" t="s">
        <v>89</v>
      </c>
      <c r="H1310" s="532">
        <v>3105.143022</v>
      </c>
      <c r="I1310" s="532">
        <v>3374.872102</v>
      </c>
      <c r="J1310" s="533">
        <v>2836.07726</v>
      </c>
      <c r="K1310" s="220"/>
      <c r="CE1310" s="525"/>
    </row>
    <row r="1311">
      <c r="A1311" s="219"/>
      <c r="B1311" s="886" t="s">
        <v>443</v>
      </c>
      <c r="C1311" s="887" t="s">
        <v>289</v>
      </c>
      <c r="D1311" s="887" t="s">
        <v>496</v>
      </c>
      <c r="E1311" s="888">
        <v>2019.0</v>
      </c>
      <c r="F1311" s="887" t="s">
        <v>291</v>
      </c>
      <c r="G1311" s="887" t="s">
        <v>89</v>
      </c>
      <c r="H1311" s="547">
        <v>812.8468632</v>
      </c>
      <c r="I1311" s="547">
        <v>883.4550238</v>
      </c>
      <c r="J1311" s="548">
        <v>742.4123425</v>
      </c>
      <c r="K1311" s="220"/>
      <c r="CE1311" s="525"/>
    </row>
    <row r="1312">
      <c r="A1312" s="219"/>
      <c r="B1312" s="889" t="s">
        <v>443</v>
      </c>
      <c r="C1312" s="890" t="s">
        <v>289</v>
      </c>
      <c r="D1312" s="890" t="s">
        <v>502</v>
      </c>
      <c r="E1312" s="891">
        <v>2019.0</v>
      </c>
      <c r="F1312" s="890" t="s">
        <v>291</v>
      </c>
      <c r="G1312" s="890" t="s">
        <v>89</v>
      </c>
      <c r="H1312" s="532">
        <v>159.1739056</v>
      </c>
      <c r="I1312" s="532">
        <v>173.0005896</v>
      </c>
      <c r="J1312" s="533">
        <v>145.3812243</v>
      </c>
      <c r="K1312" s="220"/>
      <c r="CE1312" s="525"/>
    </row>
    <row r="1313">
      <c r="A1313" s="219"/>
      <c r="B1313" s="886" t="s">
        <v>443</v>
      </c>
      <c r="C1313" s="887" t="s">
        <v>289</v>
      </c>
      <c r="D1313" s="887" t="s">
        <v>332</v>
      </c>
      <c r="E1313" s="888">
        <v>2019.0</v>
      </c>
      <c r="F1313" s="887" t="s">
        <v>291</v>
      </c>
      <c r="G1313" s="887" t="s">
        <v>89</v>
      </c>
      <c r="H1313" s="547">
        <v>2091587.941</v>
      </c>
      <c r="I1313" s="547">
        <v>2273274.288</v>
      </c>
      <c r="J1313" s="548">
        <v>1910348.397</v>
      </c>
      <c r="K1313" s="220"/>
      <c r="CE1313" s="525"/>
    </row>
    <row r="1314">
      <c r="A1314" s="219"/>
      <c r="B1314" s="889" t="s">
        <v>443</v>
      </c>
      <c r="C1314" s="890" t="s">
        <v>289</v>
      </c>
      <c r="D1314" s="890" t="s">
        <v>510</v>
      </c>
      <c r="E1314" s="891">
        <v>2019.0</v>
      </c>
      <c r="F1314" s="890" t="s">
        <v>291</v>
      </c>
      <c r="G1314" s="890" t="s">
        <v>89</v>
      </c>
      <c r="H1314" s="532">
        <v>46889.3262</v>
      </c>
      <c r="I1314" s="532">
        <v>53774.36728</v>
      </c>
      <c r="J1314" s="533">
        <v>40549.33052</v>
      </c>
      <c r="K1314" s="220"/>
      <c r="CE1314" s="525"/>
    </row>
    <row r="1315">
      <c r="A1315" s="219"/>
      <c r="B1315" s="886" t="s">
        <v>443</v>
      </c>
      <c r="C1315" s="887" t="s">
        <v>289</v>
      </c>
      <c r="D1315" s="887" t="s">
        <v>512</v>
      </c>
      <c r="E1315" s="888">
        <v>2019.0</v>
      </c>
      <c r="F1315" s="887" t="s">
        <v>291</v>
      </c>
      <c r="G1315" s="887" t="s">
        <v>89</v>
      </c>
      <c r="H1315" s="547">
        <v>880.3070219</v>
      </c>
      <c r="I1315" s="547">
        <v>956.7751272</v>
      </c>
      <c r="J1315" s="548">
        <v>804.0269672</v>
      </c>
      <c r="K1315" s="220"/>
      <c r="CE1315" s="525"/>
    </row>
    <row r="1316">
      <c r="A1316" s="219"/>
      <c r="B1316" s="889" t="s">
        <v>443</v>
      </c>
      <c r="C1316" s="890" t="s">
        <v>289</v>
      </c>
      <c r="D1316" s="890" t="s">
        <v>515</v>
      </c>
      <c r="E1316" s="891">
        <v>2019.0</v>
      </c>
      <c r="F1316" s="890" t="s">
        <v>291</v>
      </c>
      <c r="G1316" s="890" t="s">
        <v>89</v>
      </c>
      <c r="H1316" s="532">
        <v>2602.44142</v>
      </c>
      <c r="I1316" s="532">
        <v>2828.503191</v>
      </c>
      <c r="J1316" s="533">
        <v>2376.935581</v>
      </c>
      <c r="K1316" s="220"/>
      <c r="CE1316" s="525"/>
    </row>
    <row r="1317">
      <c r="A1317" s="219"/>
      <c r="B1317" s="886" t="s">
        <v>443</v>
      </c>
      <c r="C1317" s="887" t="s">
        <v>289</v>
      </c>
      <c r="D1317" s="887" t="s">
        <v>518</v>
      </c>
      <c r="E1317" s="888">
        <v>2019.0</v>
      </c>
      <c r="F1317" s="887" t="s">
        <v>291</v>
      </c>
      <c r="G1317" s="887" t="s">
        <v>89</v>
      </c>
      <c r="H1317" s="547">
        <v>3482.748442</v>
      </c>
      <c r="I1317" s="547">
        <v>3785.278318</v>
      </c>
      <c r="J1317" s="548">
        <v>3180.962548</v>
      </c>
      <c r="K1317" s="220"/>
      <c r="CE1317" s="525"/>
    </row>
    <row r="1318">
      <c r="A1318" s="219"/>
      <c r="B1318" s="889" t="s">
        <v>443</v>
      </c>
      <c r="C1318" s="890" t="s">
        <v>289</v>
      </c>
      <c r="D1318" s="890" t="s">
        <v>522</v>
      </c>
      <c r="E1318" s="891">
        <v>2019.0</v>
      </c>
      <c r="F1318" s="890" t="s">
        <v>291</v>
      </c>
      <c r="G1318" s="890" t="s">
        <v>89</v>
      </c>
      <c r="H1318" s="532">
        <v>41101.69927</v>
      </c>
      <c r="I1318" s="532">
        <v>44672.00939</v>
      </c>
      <c r="J1318" s="533">
        <v>37540.16927</v>
      </c>
      <c r="K1318" s="220"/>
      <c r="CE1318" s="525"/>
    </row>
    <row r="1319">
      <c r="A1319" s="219"/>
      <c r="B1319" s="886" t="s">
        <v>443</v>
      </c>
      <c r="C1319" s="887" t="s">
        <v>289</v>
      </c>
      <c r="D1319" s="887" t="s">
        <v>302</v>
      </c>
      <c r="E1319" s="888">
        <v>2019.0</v>
      </c>
      <c r="F1319" s="887" t="s">
        <v>291</v>
      </c>
      <c r="G1319" s="887" t="s">
        <v>89</v>
      </c>
      <c r="H1319" s="547">
        <v>218409.2451</v>
      </c>
      <c r="I1319" s="547">
        <v>237381.4227</v>
      </c>
      <c r="J1319" s="548">
        <v>199483.7239</v>
      </c>
      <c r="K1319" s="220"/>
      <c r="CE1319" s="525"/>
    </row>
    <row r="1320">
      <c r="A1320" s="219"/>
      <c r="B1320" s="889" t="s">
        <v>447</v>
      </c>
      <c r="C1320" s="890" t="s">
        <v>289</v>
      </c>
      <c r="D1320" s="890" t="s">
        <v>290</v>
      </c>
      <c r="E1320" s="891">
        <v>2019.0</v>
      </c>
      <c r="F1320" s="890" t="s">
        <v>291</v>
      </c>
      <c r="G1320" s="890" t="s">
        <v>89</v>
      </c>
      <c r="H1320" s="532">
        <v>129304.2765</v>
      </c>
      <c r="I1320" s="532">
        <v>146337.0351</v>
      </c>
      <c r="J1320" s="533">
        <v>111518.2101</v>
      </c>
      <c r="K1320" s="220"/>
      <c r="CE1320" s="525"/>
    </row>
    <row r="1321">
      <c r="A1321" s="219"/>
      <c r="B1321" s="886" t="s">
        <v>447</v>
      </c>
      <c r="C1321" s="887" t="s">
        <v>289</v>
      </c>
      <c r="D1321" s="887" t="s">
        <v>310</v>
      </c>
      <c r="E1321" s="888">
        <v>2019.0</v>
      </c>
      <c r="F1321" s="887" t="s">
        <v>291</v>
      </c>
      <c r="G1321" s="887" t="s">
        <v>89</v>
      </c>
      <c r="H1321" s="547">
        <v>2398004.17</v>
      </c>
      <c r="I1321" s="547">
        <v>2713884.101</v>
      </c>
      <c r="J1321" s="548">
        <v>2068153.816</v>
      </c>
      <c r="K1321" s="220"/>
      <c r="CE1321" s="525"/>
    </row>
    <row r="1322">
      <c r="A1322" s="219"/>
      <c r="B1322" s="889" t="s">
        <v>447</v>
      </c>
      <c r="C1322" s="890" t="s">
        <v>289</v>
      </c>
      <c r="D1322" s="890" t="s">
        <v>318</v>
      </c>
      <c r="E1322" s="891">
        <v>2019.0</v>
      </c>
      <c r="F1322" s="890" t="s">
        <v>291</v>
      </c>
      <c r="G1322" s="890" t="s">
        <v>89</v>
      </c>
      <c r="H1322" s="532">
        <v>1868042.297</v>
      </c>
      <c r="I1322" s="532">
        <v>2114112.375</v>
      </c>
      <c r="J1322" s="533">
        <v>1611089.277</v>
      </c>
      <c r="K1322" s="220"/>
      <c r="CE1322" s="525"/>
    </row>
    <row r="1323">
      <c r="A1323" s="219"/>
      <c r="B1323" s="886" t="s">
        <v>447</v>
      </c>
      <c r="C1323" s="887" t="s">
        <v>289</v>
      </c>
      <c r="D1323" s="887" t="s">
        <v>309</v>
      </c>
      <c r="E1323" s="888">
        <v>2019.0</v>
      </c>
      <c r="F1323" s="887" t="s">
        <v>291</v>
      </c>
      <c r="G1323" s="887" t="s">
        <v>89</v>
      </c>
      <c r="H1323" s="547">
        <v>504025.8036</v>
      </c>
      <c r="I1323" s="547">
        <v>570419.1979</v>
      </c>
      <c r="J1323" s="548">
        <v>434696.0285</v>
      </c>
      <c r="K1323" s="220"/>
      <c r="CE1323" s="525"/>
    </row>
    <row r="1324">
      <c r="A1324" s="219"/>
      <c r="B1324" s="889" t="s">
        <v>447</v>
      </c>
      <c r="C1324" s="890" t="s">
        <v>289</v>
      </c>
      <c r="D1324" s="890" t="s">
        <v>334</v>
      </c>
      <c r="E1324" s="891">
        <v>2019.0</v>
      </c>
      <c r="F1324" s="890" t="s">
        <v>291</v>
      </c>
      <c r="G1324" s="890" t="s">
        <v>89</v>
      </c>
      <c r="H1324" s="532">
        <v>607570.0735</v>
      </c>
      <c r="I1324" s="532">
        <v>687602.959</v>
      </c>
      <c r="J1324" s="533">
        <v>523997.5734</v>
      </c>
      <c r="K1324" s="220"/>
      <c r="CE1324" s="525"/>
    </row>
    <row r="1325">
      <c r="A1325" s="219"/>
      <c r="B1325" s="886" t="s">
        <v>447</v>
      </c>
      <c r="C1325" s="887" t="s">
        <v>289</v>
      </c>
      <c r="D1325" s="887" t="s">
        <v>339</v>
      </c>
      <c r="E1325" s="888">
        <v>2019.0</v>
      </c>
      <c r="F1325" s="887" t="s">
        <v>291</v>
      </c>
      <c r="G1325" s="887" t="s">
        <v>89</v>
      </c>
      <c r="H1325" s="547">
        <v>1137531.946</v>
      </c>
      <c r="I1325" s="547">
        <v>1287374.685</v>
      </c>
      <c r="J1325" s="548">
        <v>981062.112</v>
      </c>
      <c r="K1325" s="220"/>
      <c r="CE1325" s="525"/>
    </row>
    <row r="1326">
      <c r="A1326" s="219"/>
      <c r="B1326" s="889" t="s">
        <v>447</v>
      </c>
      <c r="C1326" s="890" t="s">
        <v>289</v>
      </c>
      <c r="D1326" s="890" t="s">
        <v>344</v>
      </c>
      <c r="E1326" s="891">
        <v>2019.0</v>
      </c>
      <c r="F1326" s="890" t="s">
        <v>291</v>
      </c>
      <c r="G1326" s="890" t="s">
        <v>89</v>
      </c>
      <c r="H1326" s="532">
        <v>1587301.875</v>
      </c>
      <c r="I1326" s="532">
        <v>1796391.089</v>
      </c>
      <c r="J1326" s="533">
        <v>1368965.272</v>
      </c>
      <c r="K1326" s="220"/>
      <c r="CE1326" s="525"/>
    </row>
    <row r="1327">
      <c r="A1327" s="219"/>
      <c r="B1327" s="886" t="s">
        <v>447</v>
      </c>
      <c r="C1327" s="887" t="s">
        <v>289</v>
      </c>
      <c r="D1327" s="887" t="s">
        <v>349</v>
      </c>
      <c r="E1327" s="888">
        <v>2019.0</v>
      </c>
      <c r="F1327" s="887" t="s">
        <v>291</v>
      </c>
      <c r="G1327" s="887" t="s">
        <v>89</v>
      </c>
      <c r="H1327" s="547">
        <v>529961.8727</v>
      </c>
      <c r="I1327" s="547">
        <v>599771.7264</v>
      </c>
      <c r="J1327" s="548">
        <v>457064.5386</v>
      </c>
      <c r="K1327" s="220"/>
      <c r="CE1327" s="525"/>
    </row>
    <row r="1328">
      <c r="A1328" s="219"/>
      <c r="B1328" s="889" t="s">
        <v>447</v>
      </c>
      <c r="C1328" s="890" t="s">
        <v>289</v>
      </c>
      <c r="D1328" s="890" t="s">
        <v>355</v>
      </c>
      <c r="E1328" s="891">
        <v>2019.0</v>
      </c>
      <c r="F1328" s="890" t="s">
        <v>291</v>
      </c>
      <c r="G1328" s="890" t="s">
        <v>89</v>
      </c>
      <c r="H1328" s="532">
        <v>1985051.745</v>
      </c>
      <c r="I1328" s="532">
        <v>2246603.986</v>
      </c>
      <c r="J1328" s="533">
        <v>1711960.467</v>
      </c>
      <c r="K1328" s="220"/>
      <c r="CE1328" s="525"/>
    </row>
    <row r="1329">
      <c r="A1329" s="219"/>
      <c r="B1329" s="886" t="s">
        <v>447</v>
      </c>
      <c r="C1329" s="887" t="s">
        <v>289</v>
      </c>
      <c r="D1329" s="887" t="s">
        <v>358</v>
      </c>
      <c r="E1329" s="888">
        <v>2019.0</v>
      </c>
      <c r="F1329" s="887" t="s">
        <v>291</v>
      </c>
      <c r="G1329" s="887" t="s">
        <v>89</v>
      </c>
      <c r="H1329" s="547">
        <v>2473421.466</v>
      </c>
      <c r="I1329" s="547">
        <v>2799235.83</v>
      </c>
      <c r="J1329" s="548">
        <v>2133197.31</v>
      </c>
      <c r="K1329" s="220"/>
      <c r="CE1329" s="525"/>
    </row>
    <row r="1330">
      <c r="A1330" s="219"/>
      <c r="B1330" s="889" t="s">
        <v>447</v>
      </c>
      <c r="C1330" s="890" t="s">
        <v>289</v>
      </c>
      <c r="D1330" s="890" t="s">
        <v>362</v>
      </c>
      <c r="E1330" s="891">
        <v>2019.0</v>
      </c>
      <c r="F1330" s="890" t="s">
        <v>291</v>
      </c>
      <c r="G1330" s="890" t="s">
        <v>89</v>
      </c>
      <c r="H1330" s="532">
        <v>2391889.347</v>
      </c>
      <c r="I1330" s="532">
        <v>2707046.885</v>
      </c>
      <c r="J1330" s="533">
        <v>2062827.841</v>
      </c>
      <c r="K1330" s="220"/>
      <c r="CE1330" s="525"/>
    </row>
    <row r="1331">
      <c r="A1331" s="219"/>
      <c r="B1331" s="886" t="s">
        <v>447</v>
      </c>
      <c r="C1331" s="887" t="s">
        <v>289</v>
      </c>
      <c r="D1331" s="887" t="s">
        <v>366</v>
      </c>
      <c r="E1331" s="888">
        <v>2019.0</v>
      </c>
      <c r="F1331" s="887" t="s">
        <v>291</v>
      </c>
      <c r="G1331" s="887" t="s">
        <v>89</v>
      </c>
      <c r="H1331" s="547">
        <v>449769.9287</v>
      </c>
      <c r="I1331" s="547">
        <v>509016.4038</v>
      </c>
      <c r="J1331" s="548">
        <v>387903.1597</v>
      </c>
      <c r="K1331" s="220"/>
      <c r="CE1331" s="525"/>
    </row>
    <row r="1332">
      <c r="A1332" s="219"/>
      <c r="B1332" s="889" t="s">
        <v>447</v>
      </c>
      <c r="C1332" s="890" t="s">
        <v>289</v>
      </c>
      <c r="D1332" s="890" t="s">
        <v>368</v>
      </c>
      <c r="E1332" s="891">
        <v>2019.0</v>
      </c>
      <c r="F1332" s="890" t="s">
        <v>291</v>
      </c>
      <c r="G1332" s="890" t="s">
        <v>89</v>
      </c>
      <c r="H1332" s="532">
        <v>1942132.839</v>
      </c>
      <c r="I1332" s="532">
        <v>2197962.581</v>
      </c>
      <c r="J1332" s="533">
        <v>1674988.514</v>
      </c>
      <c r="K1332" s="220"/>
      <c r="CE1332" s="525"/>
    </row>
    <row r="1333">
      <c r="A1333" s="219"/>
      <c r="B1333" s="886" t="s">
        <v>447</v>
      </c>
      <c r="C1333" s="887" t="s">
        <v>289</v>
      </c>
      <c r="D1333" s="887" t="s">
        <v>373</v>
      </c>
      <c r="E1333" s="888">
        <v>2019.0</v>
      </c>
      <c r="F1333" s="887" t="s">
        <v>291</v>
      </c>
      <c r="G1333" s="887" t="s">
        <v>89</v>
      </c>
      <c r="H1333" s="547">
        <v>379026.4984</v>
      </c>
      <c r="I1333" s="547">
        <v>428954.2116</v>
      </c>
      <c r="J1333" s="548">
        <v>326890.6322</v>
      </c>
      <c r="K1333" s="220"/>
      <c r="CE1333" s="525"/>
    </row>
    <row r="1334">
      <c r="A1334" s="219"/>
      <c r="B1334" s="889" t="s">
        <v>447</v>
      </c>
      <c r="C1334" s="890" t="s">
        <v>289</v>
      </c>
      <c r="D1334" s="890" t="s">
        <v>379</v>
      </c>
      <c r="E1334" s="891">
        <v>2019.0</v>
      </c>
      <c r="F1334" s="890" t="s">
        <v>291</v>
      </c>
      <c r="G1334" s="890" t="s">
        <v>89</v>
      </c>
      <c r="H1334" s="532">
        <v>1493681.284</v>
      </c>
      <c r="I1334" s="532">
        <v>1690490.102</v>
      </c>
      <c r="J1334" s="533">
        <v>1288189.749</v>
      </c>
      <c r="K1334" s="220"/>
      <c r="CE1334" s="525"/>
    </row>
    <row r="1335">
      <c r="A1335" s="219"/>
      <c r="B1335" s="886" t="s">
        <v>447</v>
      </c>
      <c r="C1335" s="887" t="s">
        <v>289</v>
      </c>
      <c r="D1335" s="887" t="s">
        <v>382</v>
      </c>
      <c r="E1335" s="888">
        <v>2019.0</v>
      </c>
      <c r="F1335" s="887" t="s">
        <v>291</v>
      </c>
      <c r="G1335" s="887" t="s">
        <v>89</v>
      </c>
      <c r="H1335" s="547">
        <v>325608.3118</v>
      </c>
      <c r="I1335" s="547">
        <v>368499.4513</v>
      </c>
      <c r="J1335" s="548">
        <v>280820.2259</v>
      </c>
      <c r="K1335" s="220"/>
      <c r="CE1335" s="525"/>
    </row>
    <row r="1336">
      <c r="A1336" s="219"/>
      <c r="B1336" s="889" t="s">
        <v>447</v>
      </c>
      <c r="C1336" s="890" t="s">
        <v>289</v>
      </c>
      <c r="D1336" s="890" t="s">
        <v>387</v>
      </c>
      <c r="E1336" s="891">
        <v>2019.0</v>
      </c>
      <c r="F1336" s="890" t="s">
        <v>291</v>
      </c>
      <c r="G1336" s="890" t="s">
        <v>89</v>
      </c>
      <c r="H1336" s="532">
        <v>300696.2705</v>
      </c>
      <c r="I1336" s="532">
        <v>340305.8419</v>
      </c>
      <c r="J1336" s="533">
        <v>259334.8865</v>
      </c>
      <c r="K1336" s="220"/>
      <c r="CE1336" s="525"/>
    </row>
    <row r="1337">
      <c r="A1337" s="219"/>
      <c r="B1337" s="886" t="s">
        <v>447</v>
      </c>
      <c r="C1337" s="887" t="s">
        <v>289</v>
      </c>
      <c r="D1337" s="887" t="s">
        <v>392</v>
      </c>
      <c r="E1337" s="888">
        <v>2019.0</v>
      </c>
      <c r="F1337" s="887" t="s">
        <v>291</v>
      </c>
      <c r="G1337" s="887" t="s">
        <v>89</v>
      </c>
      <c r="H1337" s="547">
        <v>266641.9079</v>
      </c>
      <c r="I1337" s="547">
        <v>301765.6281</v>
      </c>
      <c r="J1337" s="548">
        <v>229964.7708</v>
      </c>
      <c r="K1337" s="220"/>
      <c r="CE1337" s="525"/>
    </row>
    <row r="1338">
      <c r="A1338" s="219"/>
      <c r="B1338" s="889" t="s">
        <v>447</v>
      </c>
      <c r="C1338" s="890" t="s">
        <v>289</v>
      </c>
      <c r="D1338" s="890" t="s">
        <v>398</v>
      </c>
      <c r="E1338" s="891">
        <v>2019.0</v>
      </c>
      <c r="F1338" s="890" t="s">
        <v>291</v>
      </c>
      <c r="G1338" s="890" t="s">
        <v>89</v>
      </c>
      <c r="H1338" s="532">
        <v>221716.6762</v>
      </c>
      <c r="I1338" s="532">
        <v>250922.5673</v>
      </c>
      <c r="J1338" s="533">
        <v>191219.0962</v>
      </c>
      <c r="K1338" s="220"/>
      <c r="CE1338" s="525"/>
    </row>
    <row r="1339">
      <c r="A1339" s="219"/>
      <c r="B1339" s="886" t="s">
        <v>447</v>
      </c>
      <c r="C1339" s="887" t="s">
        <v>289</v>
      </c>
      <c r="D1339" s="887" t="s">
        <v>402</v>
      </c>
      <c r="E1339" s="888">
        <v>2019.0</v>
      </c>
      <c r="F1339" s="887" t="s">
        <v>291</v>
      </c>
      <c r="G1339" s="887" t="s">
        <v>89</v>
      </c>
      <c r="H1339" s="547">
        <v>1764664.189</v>
      </c>
      <c r="I1339" s="547">
        <v>1997177.963</v>
      </c>
      <c r="J1339" s="548">
        <v>1521892.483</v>
      </c>
      <c r="K1339" s="220"/>
      <c r="CE1339" s="525"/>
    </row>
    <row r="1340">
      <c r="A1340" s="219"/>
      <c r="B1340" s="889" t="s">
        <v>447</v>
      </c>
      <c r="C1340" s="890" t="s">
        <v>289</v>
      </c>
      <c r="D1340" s="890" t="s">
        <v>407</v>
      </c>
      <c r="E1340" s="891">
        <v>2019.0</v>
      </c>
      <c r="F1340" s="890" t="s">
        <v>291</v>
      </c>
      <c r="G1340" s="890" t="s">
        <v>89</v>
      </c>
      <c r="H1340" s="532">
        <v>627142.1434</v>
      </c>
      <c r="I1340" s="532">
        <v>709753.183</v>
      </c>
      <c r="J1340" s="533">
        <v>540877.4653</v>
      </c>
      <c r="K1340" s="220"/>
      <c r="CE1340" s="525"/>
    </row>
    <row r="1341">
      <c r="A1341" s="219"/>
      <c r="B1341" s="886" t="s">
        <v>447</v>
      </c>
      <c r="C1341" s="887" t="s">
        <v>289</v>
      </c>
      <c r="D1341" s="887" t="s">
        <v>414</v>
      </c>
      <c r="E1341" s="888">
        <v>2019.0</v>
      </c>
      <c r="F1341" s="887" t="s">
        <v>291</v>
      </c>
      <c r="G1341" s="887" t="s">
        <v>89</v>
      </c>
      <c r="H1341" s="547">
        <v>135576.7735</v>
      </c>
      <c r="I1341" s="547">
        <v>153435.7842</v>
      </c>
      <c r="J1341" s="548">
        <v>116927.9124</v>
      </c>
      <c r="K1341" s="220"/>
      <c r="CE1341" s="525"/>
    </row>
    <row r="1342">
      <c r="A1342" s="219"/>
      <c r="B1342" s="889" t="s">
        <v>447</v>
      </c>
      <c r="C1342" s="890" t="s">
        <v>289</v>
      </c>
      <c r="D1342" s="890" t="s">
        <v>417</v>
      </c>
      <c r="E1342" s="891">
        <v>2019.0</v>
      </c>
      <c r="F1342" s="890" t="s">
        <v>291</v>
      </c>
      <c r="G1342" s="890" t="s">
        <v>89</v>
      </c>
      <c r="H1342" s="532">
        <v>364115.8639</v>
      </c>
      <c r="I1342" s="532">
        <v>412079.4561</v>
      </c>
      <c r="J1342" s="533">
        <v>314030.9858</v>
      </c>
      <c r="K1342" s="220"/>
      <c r="CE1342" s="525"/>
    </row>
    <row r="1343">
      <c r="A1343" s="219"/>
      <c r="B1343" s="886" t="s">
        <v>447</v>
      </c>
      <c r="C1343" s="887" t="s">
        <v>289</v>
      </c>
      <c r="D1343" s="887" t="s">
        <v>300</v>
      </c>
      <c r="E1343" s="888">
        <v>2019.0</v>
      </c>
      <c r="F1343" s="887" t="s">
        <v>291</v>
      </c>
      <c r="G1343" s="887" t="s">
        <v>89</v>
      </c>
      <c r="H1343" s="547">
        <v>1234712.217</v>
      </c>
      <c r="I1343" s="547">
        <v>1397356.142</v>
      </c>
      <c r="J1343" s="548">
        <v>1064875.039</v>
      </c>
      <c r="K1343" s="220"/>
      <c r="CE1343" s="525"/>
    </row>
    <row r="1344">
      <c r="A1344" s="219"/>
      <c r="B1344" s="889" t="s">
        <v>447</v>
      </c>
      <c r="C1344" s="890" t="s">
        <v>289</v>
      </c>
      <c r="D1344" s="890" t="s">
        <v>429</v>
      </c>
      <c r="E1344" s="891">
        <v>2019.0</v>
      </c>
      <c r="F1344" s="890" t="s">
        <v>291</v>
      </c>
      <c r="G1344" s="890" t="s">
        <v>89</v>
      </c>
      <c r="H1344" s="532">
        <v>312864.6449</v>
      </c>
      <c r="I1344" s="532">
        <v>354087.9779</v>
      </c>
      <c r="J1344" s="533">
        <v>269822.6407</v>
      </c>
      <c r="K1344" s="220"/>
      <c r="CE1344" s="525"/>
    </row>
    <row r="1345">
      <c r="A1345" s="219"/>
      <c r="B1345" s="886" t="s">
        <v>447</v>
      </c>
      <c r="C1345" s="887" t="s">
        <v>289</v>
      </c>
      <c r="D1345" s="887" t="s">
        <v>432</v>
      </c>
      <c r="E1345" s="888">
        <v>2019.0</v>
      </c>
      <c r="F1345" s="887" t="s">
        <v>291</v>
      </c>
      <c r="G1345" s="887" t="s">
        <v>89</v>
      </c>
      <c r="H1345" s="547">
        <v>101466.7854</v>
      </c>
      <c r="I1345" s="547">
        <v>114832.6176</v>
      </c>
      <c r="J1345" s="548">
        <v>87509.82261</v>
      </c>
      <c r="K1345" s="220"/>
      <c r="CE1345" s="525"/>
    </row>
    <row r="1346">
      <c r="A1346" s="219"/>
      <c r="B1346" s="889" t="s">
        <v>447</v>
      </c>
      <c r="C1346" s="890" t="s">
        <v>289</v>
      </c>
      <c r="D1346" s="890" t="s">
        <v>435</v>
      </c>
      <c r="E1346" s="891">
        <v>2019.0</v>
      </c>
      <c r="F1346" s="890" t="s">
        <v>291</v>
      </c>
      <c r="G1346" s="890" t="s">
        <v>89</v>
      </c>
      <c r="H1346" s="532">
        <v>72914.43026</v>
      </c>
      <c r="I1346" s="532">
        <v>82519.16971</v>
      </c>
      <c r="J1346" s="533">
        <v>62884.90199</v>
      </c>
      <c r="K1346" s="220"/>
      <c r="CE1346" s="525"/>
    </row>
    <row r="1347">
      <c r="A1347" s="219"/>
      <c r="B1347" s="886" t="s">
        <v>447</v>
      </c>
      <c r="C1347" s="887" t="s">
        <v>289</v>
      </c>
      <c r="D1347" s="887" t="s">
        <v>442</v>
      </c>
      <c r="E1347" s="888">
        <v>2019.0</v>
      </c>
      <c r="F1347" s="887" t="s">
        <v>291</v>
      </c>
      <c r="G1347" s="887" t="s">
        <v>89</v>
      </c>
      <c r="H1347" s="547">
        <v>54157.87462</v>
      </c>
      <c r="I1347" s="547">
        <v>61291.88462</v>
      </c>
      <c r="J1347" s="548">
        <v>46708.34875</v>
      </c>
      <c r="K1347" s="220"/>
      <c r="CE1347" s="525"/>
    </row>
    <row r="1348">
      <c r="A1348" s="219"/>
      <c r="B1348" s="889" t="s">
        <v>447</v>
      </c>
      <c r="C1348" s="890" t="s">
        <v>289</v>
      </c>
      <c r="D1348" s="890" t="s">
        <v>445</v>
      </c>
      <c r="E1348" s="891">
        <v>2019.0</v>
      </c>
      <c r="F1348" s="890" t="s">
        <v>291</v>
      </c>
      <c r="G1348" s="890" t="s">
        <v>89</v>
      </c>
      <c r="H1348" s="532">
        <v>91316.69582</v>
      </c>
      <c r="I1348" s="532">
        <v>103348.6675</v>
      </c>
      <c r="J1348" s="533">
        <v>78753.90333</v>
      </c>
      <c r="K1348" s="220"/>
      <c r="CE1348" s="525"/>
    </row>
    <row r="1349">
      <c r="A1349" s="219"/>
      <c r="B1349" s="886" t="s">
        <v>447</v>
      </c>
      <c r="C1349" s="887" t="s">
        <v>289</v>
      </c>
      <c r="D1349" s="887" t="s">
        <v>450</v>
      </c>
      <c r="E1349" s="888">
        <v>2019.0</v>
      </c>
      <c r="F1349" s="887" t="s">
        <v>291</v>
      </c>
      <c r="G1349" s="887" t="s">
        <v>89</v>
      </c>
      <c r="H1349" s="547">
        <v>37159.33353</v>
      </c>
      <c r="I1349" s="547">
        <v>42054.19063</v>
      </c>
      <c r="J1349" s="548">
        <v>32047.99158</v>
      </c>
      <c r="K1349" s="220"/>
      <c r="CE1349" s="525"/>
    </row>
    <row r="1350">
      <c r="A1350" s="219"/>
      <c r="B1350" s="889" t="s">
        <v>447</v>
      </c>
      <c r="C1350" s="890" t="s">
        <v>289</v>
      </c>
      <c r="D1350" s="890" t="s">
        <v>457</v>
      </c>
      <c r="E1350" s="891">
        <v>2019.0</v>
      </c>
      <c r="F1350" s="890" t="s">
        <v>291</v>
      </c>
      <c r="G1350" s="890" t="s">
        <v>89</v>
      </c>
      <c r="H1350" s="532">
        <v>84327.30993</v>
      </c>
      <c r="I1350" s="532">
        <v>95435.42444</v>
      </c>
      <c r="J1350" s="533">
        <v>72727.91683</v>
      </c>
      <c r="K1350" s="220"/>
      <c r="CE1350" s="525"/>
    </row>
    <row r="1351">
      <c r="A1351" s="219"/>
      <c r="B1351" s="886" t="s">
        <v>447</v>
      </c>
      <c r="C1351" s="887" t="s">
        <v>289</v>
      </c>
      <c r="D1351" s="887" t="s">
        <v>463</v>
      </c>
      <c r="E1351" s="888">
        <v>2019.0</v>
      </c>
      <c r="F1351" s="887" t="s">
        <v>291</v>
      </c>
      <c r="G1351" s="887" t="s">
        <v>89</v>
      </c>
      <c r="H1351" s="547">
        <v>47167.71176</v>
      </c>
      <c r="I1351" s="547">
        <v>53382.57278</v>
      </c>
      <c r="J1351" s="548">
        <v>40678.66647</v>
      </c>
      <c r="K1351" s="220"/>
      <c r="CE1351" s="525"/>
    </row>
    <row r="1352">
      <c r="A1352" s="219"/>
      <c r="B1352" s="889" t="s">
        <v>447</v>
      </c>
      <c r="C1352" s="890" t="s">
        <v>289</v>
      </c>
      <c r="D1352" s="890" t="s">
        <v>467</v>
      </c>
      <c r="E1352" s="891">
        <v>2019.0</v>
      </c>
      <c r="F1352" s="890" t="s">
        <v>291</v>
      </c>
      <c r="G1352" s="890" t="s">
        <v>89</v>
      </c>
      <c r="H1352" s="532">
        <v>23503.61631</v>
      </c>
      <c r="I1352" s="532">
        <v>26599.65793</v>
      </c>
      <c r="J1352" s="533">
        <v>20270.64606</v>
      </c>
      <c r="K1352" s="220"/>
      <c r="CE1352" s="525"/>
    </row>
    <row r="1353">
      <c r="A1353" s="219"/>
      <c r="B1353" s="886" t="s">
        <v>447</v>
      </c>
      <c r="C1353" s="887" t="s">
        <v>289</v>
      </c>
      <c r="D1353" s="887" t="s">
        <v>473</v>
      </c>
      <c r="E1353" s="888">
        <v>2019.0</v>
      </c>
      <c r="F1353" s="887" t="s">
        <v>291</v>
      </c>
      <c r="G1353" s="887" t="s">
        <v>89</v>
      </c>
      <c r="H1353" s="547">
        <v>37378.12722</v>
      </c>
      <c r="I1353" s="547">
        <v>42303.1036</v>
      </c>
      <c r="J1353" s="548">
        <v>32235.8731</v>
      </c>
      <c r="K1353" s="220"/>
      <c r="CE1353" s="525"/>
    </row>
    <row r="1354">
      <c r="A1354" s="219"/>
      <c r="B1354" s="889" t="s">
        <v>447</v>
      </c>
      <c r="C1354" s="890" t="s">
        <v>289</v>
      </c>
      <c r="D1354" s="890" t="s">
        <v>477</v>
      </c>
      <c r="E1354" s="891">
        <v>2019.0</v>
      </c>
      <c r="F1354" s="890" t="s">
        <v>291</v>
      </c>
      <c r="G1354" s="890" t="s">
        <v>89</v>
      </c>
      <c r="H1354" s="532">
        <v>23664.36008</v>
      </c>
      <c r="I1354" s="532">
        <v>26781.57587</v>
      </c>
      <c r="J1354" s="533">
        <v>20409.2792</v>
      </c>
      <c r="K1354" s="220"/>
      <c r="CE1354" s="525"/>
    </row>
    <row r="1355">
      <c r="A1355" s="219"/>
      <c r="B1355" s="886" t="s">
        <v>447</v>
      </c>
      <c r="C1355" s="887" t="s">
        <v>289</v>
      </c>
      <c r="D1355" s="887" t="s">
        <v>483</v>
      </c>
      <c r="E1355" s="888">
        <v>2019.0</v>
      </c>
      <c r="F1355" s="887" t="s">
        <v>291</v>
      </c>
      <c r="G1355" s="887" t="s">
        <v>89</v>
      </c>
      <c r="H1355" s="547">
        <v>13874.72062</v>
      </c>
      <c r="I1355" s="547">
        <v>15702.38458</v>
      </c>
      <c r="J1355" s="548">
        <v>11966.22456</v>
      </c>
      <c r="K1355" s="220"/>
      <c r="CE1355" s="525"/>
    </row>
    <row r="1356">
      <c r="A1356" s="219"/>
      <c r="B1356" s="889" t="s">
        <v>447</v>
      </c>
      <c r="C1356" s="890" t="s">
        <v>289</v>
      </c>
      <c r="D1356" s="890" t="s">
        <v>489</v>
      </c>
      <c r="E1356" s="891">
        <v>2019.0</v>
      </c>
      <c r="F1356" s="890" t="s">
        <v>291</v>
      </c>
      <c r="G1356" s="890" t="s">
        <v>89</v>
      </c>
      <c r="H1356" s="532">
        <v>9789.584538</v>
      </c>
      <c r="I1356" s="532">
        <v>11079.46919</v>
      </c>
      <c r="J1356" s="533">
        <v>8442.793374</v>
      </c>
      <c r="K1356" s="220"/>
      <c r="CE1356" s="525"/>
    </row>
    <row r="1357">
      <c r="A1357" s="219"/>
      <c r="B1357" s="886" t="s">
        <v>447</v>
      </c>
      <c r="C1357" s="887" t="s">
        <v>289</v>
      </c>
      <c r="D1357" s="887" t="s">
        <v>493</v>
      </c>
      <c r="E1357" s="888">
        <v>2019.0</v>
      </c>
      <c r="F1357" s="887" t="s">
        <v>291</v>
      </c>
      <c r="G1357" s="887" t="s">
        <v>89</v>
      </c>
      <c r="H1357" s="547">
        <v>6842.58653</v>
      </c>
      <c r="I1357" s="547">
        <v>7743.934323</v>
      </c>
      <c r="J1357" s="548">
        <v>5901.374827</v>
      </c>
      <c r="K1357" s="220"/>
      <c r="CE1357" s="525"/>
    </row>
    <row r="1358">
      <c r="A1358" s="219"/>
      <c r="B1358" s="889" t="s">
        <v>447</v>
      </c>
      <c r="C1358" s="890" t="s">
        <v>289</v>
      </c>
      <c r="D1358" s="890" t="s">
        <v>496</v>
      </c>
      <c r="E1358" s="891">
        <v>2019.0</v>
      </c>
      <c r="F1358" s="890" t="s">
        <v>291</v>
      </c>
      <c r="G1358" s="890" t="s">
        <v>89</v>
      </c>
      <c r="H1358" s="532">
        <v>2398.669749</v>
      </c>
      <c r="I1358" s="532">
        <v>2714.637355</v>
      </c>
      <c r="J1358" s="533">
        <v>2068.727844</v>
      </c>
      <c r="K1358" s="220"/>
      <c r="CE1358" s="525"/>
    </row>
    <row r="1359">
      <c r="A1359" s="219"/>
      <c r="B1359" s="886" t="s">
        <v>447</v>
      </c>
      <c r="C1359" s="887" t="s">
        <v>289</v>
      </c>
      <c r="D1359" s="887" t="s">
        <v>502</v>
      </c>
      <c r="E1359" s="888">
        <v>2019.0</v>
      </c>
      <c r="F1359" s="887" t="s">
        <v>291</v>
      </c>
      <c r="G1359" s="887" t="s">
        <v>89</v>
      </c>
      <c r="H1359" s="547">
        <v>548.3831835</v>
      </c>
      <c r="I1359" s="547">
        <v>620.6196061</v>
      </c>
      <c r="J1359" s="548">
        <v>472.9519606</v>
      </c>
      <c r="K1359" s="220"/>
      <c r="CE1359" s="525"/>
    </row>
    <row r="1360">
      <c r="A1360" s="219"/>
      <c r="B1360" s="889" t="s">
        <v>447</v>
      </c>
      <c r="C1360" s="890" t="s">
        <v>289</v>
      </c>
      <c r="D1360" s="890" t="s">
        <v>332</v>
      </c>
      <c r="E1360" s="891">
        <v>2019.0</v>
      </c>
      <c r="F1360" s="890" t="s">
        <v>291</v>
      </c>
      <c r="G1360" s="890" t="s">
        <v>89</v>
      </c>
      <c r="H1360" s="532">
        <v>4789906.937</v>
      </c>
      <c r="I1360" s="532">
        <v>5420863.086</v>
      </c>
      <c r="J1360" s="533">
        <v>4131045.49</v>
      </c>
      <c r="K1360" s="220"/>
      <c r="CE1360" s="525"/>
    </row>
    <row r="1361">
      <c r="A1361" s="219"/>
      <c r="B1361" s="886" t="s">
        <v>447</v>
      </c>
      <c r="C1361" s="887" t="s">
        <v>289</v>
      </c>
      <c r="D1361" s="887" t="s">
        <v>510</v>
      </c>
      <c r="E1361" s="888">
        <v>2019.0</v>
      </c>
      <c r="F1361" s="887" t="s">
        <v>291</v>
      </c>
      <c r="G1361" s="887" t="s">
        <v>89</v>
      </c>
      <c r="H1361" s="547">
        <v>135490.8639</v>
      </c>
      <c r="I1361" s="547">
        <v>156199.6003</v>
      </c>
      <c r="J1361" s="548">
        <v>118028.5727</v>
      </c>
      <c r="K1361" s="220"/>
      <c r="CE1361" s="525"/>
    </row>
    <row r="1362">
      <c r="A1362" s="219"/>
      <c r="B1362" s="889" t="s">
        <v>447</v>
      </c>
      <c r="C1362" s="890" t="s">
        <v>289</v>
      </c>
      <c r="D1362" s="890" t="s">
        <v>512</v>
      </c>
      <c r="E1362" s="891">
        <v>2019.0</v>
      </c>
      <c r="F1362" s="890" t="s">
        <v>291</v>
      </c>
      <c r="G1362" s="890" t="s">
        <v>89</v>
      </c>
      <c r="H1362" s="532">
        <v>2554.384436</v>
      </c>
      <c r="I1362" s="532">
        <v>2890.863743</v>
      </c>
      <c r="J1362" s="533">
        <v>2203.023658</v>
      </c>
      <c r="K1362" s="220"/>
      <c r="CE1362" s="525"/>
    </row>
    <row r="1363">
      <c r="A1363" s="219"/>
      <c r="B1363" s="886" t="s">
        <v>447</v>
      </c>
      <c r="C1363" s="887" t="s">
        <v>289</v>
      </c>
      <c r="D1363" s="887" t="s">
        <v>515</v>
      </c>
      <c r="E1363" s="888">
        <v>2019.0</v>
      </c>
      <c r="F1363" s="887" t="s">
        <v>291</v>
      </c>
      <c r="G1363" s="887" t="s">
        <v>89</v>
      </c>
      <c r="H1363" s="547">
        <v>7567.422377</v>
      </c>
      <c r="I1363" s="547">
        <v>8564.250029</v>
      </c>
      <c r="J1363" s="548">
        <v>6526.508029</v>
      </c>
      <c r="K1363" s="220"/>
      <c r="CE1363" s="525"/>
    </row>
    <row r="1364">
      <c r="A1364" s="219"/>
      <c r="B1364" s="889" t="s">
        <v>447</v>
      </c>
      <c r="C1364" s="890" t="s">
        <v>289</v>
      </c>
      <c r="D1364" s="890" t="s">
        <v>518</v>
      </c>
      <c r="E1364" s="891">
        <v>2019.0</v>
      </c>
      <c r="F1364" s="890" t="s">
        <v>291</v>
      </c>
      <c r="G1364" s="890" t="s">
        <v>89</v>
      </c>
      <c r="H1364" s="532">
        <v>10121.80681</v>
      </c>
      <c r="I1364" s="532">
        <v>11455.11377</v>
      </c>
      <c r="J1364" s="533">
        <v>8729.531687</v>
      </c>
      <c r="K1364" s="220"/>
      <c r="CE1364" s="525"/>
    </row>
    <row r="1365">
      <c r="A1365" s="219"/>
      <c r="B1365" s="886" t="s">
        <v>447</v>
      </c>
      <c r="C1365" s="887" t="s">
        <v>289</v>
      </c>
      <c r="D1365" s="887" t="s">
        <v>522</v>
      </c>
      <c r="E1365" s="888">
        <v>2019.0</v>
      </c>
      <c r="F1365" s="887" t="s">
        <v>291</v>
      </c>
      <c r="G1365" s="887" t="s">
        <v>89</v>
      </c>
      <c r="H1365" s="547">
        <v>119182.4697</v>
      </c>
      <c r="I1365" s="547">
        <v>134881.9213</v>
      </c>
      <c r="J1365" s="548">
        <v>102788.6784</v>
      </c>
      <c r="K1365" s="220"/>
      <c r="CE1365" s="525"/>
    </row>
    <row r="1366">
      <c r="A1366" s="219"/>
      <c r="B1366" s="889" t="s">
        <v>447</v>
      </c>
      <c r="C1366" s="890" t="s">
        <v>289</v>
      </c>
      <c r="D1366" s="890" t="s">
        <v>302</v>
      </c>
      <c r="E1366" s="891">
        <v>2019.0</v>
      </c>
      <c r="F1366" s="890" t="s">
        <v>291</v>
      </c>
      <c r="G1366" s="890" t="s">
        <v>89</v>
      </c>
      <c r="H1366" s="532">
        <v>633330.0801</v>
      </c>
      <c r="I1366" s="532">
        <v>716756.233</v>
      </c>
      <c r="J1366" s="533">
        <v>546214.2387</v>
      </c>
      <c r="K1366" s="220"/>
      <c r="CE1366" s="525"/>
    </row>
    <row r="1367">
      <c r="A1367" s="219"/>
      <c r="B1367" s="886" t="s">
        <v>451</v>
      </c>
      <c r="C1367" s="887" t="s">
        <v>289</v>
      </c>
      <c r="D1367" s="887" t="s">
        <v>290</v>
      </c>
      <c r="E1367" s="888">
        <v>2019.0</v>
      </c>
      <c r="F1367" s="887" t="s">
        <v>291</v>
      </c>
      <c r="G1367" s="887" t="s">
        <v>89</v>
      </c>
      <c r="H1367" s="547">
        <v>821150.9114</v>
      </c>
      <c r="I1367" s="547">
        <v>1010483.285</v>
      </c>
      <c r="J1367" s="548">
        <v>626817.0409</v>
      </c>
      <c r="K1367" s="220"/>
      <c r="CE1367" s="525"/>
    </row>
    <row r="1368">
      <c r="A1368" s="219"/>
      <c r="B1368" s="889" t="s">
        <v>451</v>
      </c>
      <c r="C1368" s="890" t="s">
        <v>289</v>
      </c>
      <c r="D1368" s="890" t="s">
        <v>310</v>
      </c>
      <c r="E1368" s="891">
        <v>2019.0</v>
      </c>
      <c r="F1368" s="890" t="s">
        <v>291</v>
      </c>
      <c r="G1368" s="890" t="s">
        <v>89</v>
      </c>
      <c r="H1368" s="532">
        <v>1.38717503E7</v>
      </c>
      <c r="I1368" s="532">
        <v>1.707015313E7</v>
      </c>
      <c r="J1368" s="533">
        <v>1.058885687E7</v>
      </c>
      <c r="K1368" s="220"/>
      <c r="CE1368" s="525"/>
    </row>
    <row r="1369">
      <c r="A1369" s="219"/>
      <c r="B1369" s="886" t="s">
        <v>451</v>
      </c>
      <c r="C1369" s="887" t="s">
        <v>289</v>
      </c>
      <c r="D1369" s="887" t="s">
        <v>318</v>
      </c>
      <c r="E1369" s="888">
        <v>2019.0</v>
      </c>
      <c r="F1369" s="887" t="s">
        <v>291</v>
      </c>
      <c r="G1369" s="887" t="s">
        <v>89</v>
      </c>
      <c r="H1369" s="547">
        <v>1.092713005E7</v>
      </c>
      <c r="I1369" s="547">
        <v>1.344659321E7</v>
      </c>
      <c r="J1369" s="548">
        <v>8341111.518</v>
      </c>
      <c r="K1369" s="220"/>
      <c r="CE1369" s="525"/>
    </row>
    <row r="1370">
      <c r="A1370" s="219"/>
      <c r="B1370" s="889" t="s">
        <v>451</v>
      </c>
      <c r="C1370" s="890" t="s">
        <v>289</v>
      </c>
      <c r="D1370" s="890" t="s">
        <v>309</v>
      </c>
      <c r="E1370" s="891">
        <v>2019.0</v>
      </c>
      <c r="F1370" s="890" t="s">
        <v>291</v>
      </c>
      <c r="G1370" s="890" t="s">
        <v>89</v>
      </c>
      <c r="H1370" s="532">
        <v>3118030.605</v>
      </c>
      <c r="I1370" s="532">
        <v>3836953.431</v>
      </c>
      <c r="J1370" s="533">
        <v>2380116.358</v>
      </c>
      <c r="K1370" s="220"/>
      <c r="CE1370" s="525"/>
    </row>
    <row r="1371">
      <c r="A1371" s="219"/>
      <c r="B1371" s="886" t="s">
        <v>451</v>
      </c>
      <c r="C1371" s="887" t="s">
        <v>289</v>
      </c>
      <c r="D1371" s="887" t="s">
        <v>334</v>
      </c>
      <c r="E1371" s="888">
        <v>2019.0</v>
      </c>
      <c r="F1371" s="887" t="s">
        <v>291</v>
      </c>
      <c r="G1371" s="887" t="s">
        <v>89</v>
      </c>
      <c r="H1371" s="547">
        <v>3323064.282</v>
      </c>
      <c r="I1371" s="547">
        <v>4089261.626</v>
      </c>
      <c r="J1371" s="548">
        <v>2536626.692</v>
      </c>
      <c r="K1371" s="220"/>
      <c r="CE1371" s="525"/>
    </row>
    <row r="1372">
      <c r="A1372" s="219"/>
      <c r="B1372" s="889" t="s">
        <v>451</v>
      </c>
      <c r="C1372" s="890" t="s">
        <v>289</v>
      </c>
      <c r="D1372" s="890" t="s">
        <v>339</v>
      </c>
      <c r="E1372" s="891">
        <v>2019.0</v>
      </c>
      <c r="F1372" s="890" t="s">
        <v>291</v>
      </c>
      <c r="G1372" s="890" t="s">
        <v>89</v>
      </c>
      <c r="H1372" s="532">
        <v>6267684.527</v>
      </c>
      <c r="I1372" s="532">
        <v>7712821.553</v>
      </c>
      <c r="J1372" s="533">
        <v>4784372.049</v>
      </c>
      <c r="K1372" s="220"/>
      <c r="CE1372" s="525"/>
    </row>
    <row r="1373">
      <c r="A1373" s="219"/>
      <c r="B1373" s="886" t="s">
        <v>451</v>
      </c>
      <c r="C1373" s="887" t="s">
        <v>289</v>
      </c>
      <c r="D1373" s="887" t="s">
        <v>344</v>
      </c>
      <c r="E1373" s="888">
        <v>2019.0</v>
      </c>
      <c r="F1373" s="887" t="s">
        <v>291</v>
      </c>
      <c r="G1373" s="887" t="s">
        <v>89</v>
      </c>
      <c r="H1373" s="547">
        <v>8807424.284</v>
      </c>
      <c r="I1373" s="547">
        <v>1.083814789E7</v>
      </c>
      <c r="J1373" s="548">
        <v>6723056.08</v>
      </c>
      <c r="K1373" s="220"/>
      <c r="CE1373" s="525"/>
    </row>
    <row r="1374">
      <c r="A1374" s="219"/>
      <c r="B1374" s="889" t="s">
        <v>451</v>
      </c>
      <c r="C1374" s="890" t="s">
        <v>289</v>
      </c>
      <c r="D1374" s="890" t="s">
        <v>349</v>
      </c>
      <c r="E1374" s="891">
        <v>2019.0</v>
      </c>
      <c r="F1374" s="890" t="s">
        <v>291</v>
      </c>
      <c r="G1374" s="890" t="s">
        <v>89</v>
      </c>
      <c r="H1374" s="532">
        <v>2944620.245</v>
      </c>
      <c r="I1374" s="532">
        <v>3623559.927</v>
      </c>
      <c r="J1374" s="533">
        <v>2247745.357</v>
      </c>
      <c r="K1374" s="220"/>
      <c r="CE1374" s="525"/>
    </row>
    <row r="1375">
      <c r="A1375" s="219"/>
      <c r="B1375" s="886" t="s">
        <v>451</v>
      </c>
      <c r="C1375" s="887" t="s">
        <v>289</v>
      </c>
      <c r="D1375" s="887" t="s">
        <v>355</v>
      </c>
      <c r="E1375" s="888">
        <v>2019.0</v>
      </c>
      <c r="F1375" s="887" t="s">
        <v>291</v>
      </c>
      <c r="G1375" s="887" t="s">
        <v>89</v>
      </c>
      <c r="H1375" s="547">
        <v>1.092561081E7</v>
      </c>
      <c r="I1375" s="547">
        <v>1.344311141E7</v>
      </c>
      <c r="J1375" s="548">
        <v>8338722.233</v>
      </c>
      <c r="K1375" s="220"/>
      <c r="CE1375" s="525"/>
    </row>
    <row r="1376">
      <c r="A1376" s="219"/>
      <c r="B1376" s="889" t="s">
        <v>451</v>
      </c>
      <c r="C1376" s="890" t="s">
        <v>289</v>
      </c>
      <c r="D1376" s="890" t="s">
        <v>358</v>
      </c>
      <c r="E1376" s="891">
        <v>2019.0</v>
      </c>
      <c r="F1376" s="890" t="s">
        <v>291</v>
      </c>
      <c r="G1376" s="890" t="s">
        <v>89</v>
      </c>
      <c r="H1376" s="532">
        <v>1.320563891E7</v>
      </c>
      <c r="I1376" s="532">
        <v>1.625045676E7</v>
      </c>
      <c r="J1376" s="533">
        <v>1.008038764E7</v>
      </c>
      <c r="K1376" s="220"/>
      <c r="CE1376" s="525"/>
    </row>
    <row r="1377">
      <c r="A1377" s="219"/>
      <c r="B1377" s="886" t="s">
        <v>451</v>
      </c>
      <c r="C1377" s="887" t="s">
        <v>289</v>
      </c>
      <c r="D1377" s="887" t="s">
        <v>362</v>
      </c>
      <c r="E1377" s="888">
        <v>2019.0</v>
      </c>
      <c r="F1377" s="887" t="s">
        <v>291</v>
      </c>
      <c r="G1377" s="887" t="s">
        <v>89</v>
      </c>
      <c r="H1377" s="547">
        <v>1.282030445E7</v>
      </c>
      <c r="I1377" s="547">
        <v>1.577438407E7</v>
      </c>
      <c r="J1377" s="548">
        <v>9784803.765</v>
      </c>
      <c r="K1377" s="220"/>
      <c r="CE1377" s="525"/>
    </row>
    <row r="1378">
      <c r="A1378" s="219"/>
      <c r="B1378" s="889" t="s">
        <v>451</v>
      </c>
      <c r="C1378" s="890" t="s">
        <v>289</v>
      </c>
      <c r="D1378" s="890" t="s">
        <v>366</v>
      </c>
      <c r="E1378" s="891">
        <v>2019.0</v>
      </c>
      <c r="F1378" s="890" t="s">
        <v>291</v>
      </c>
      <c r="G1378" s="890" t="s">
        <v>89</v>
      </c>
      <c r="H1378" s="532">
        <v>2539739.757</v>
      </c>
      <c r="I1378" s="532">
        <v>3125326.339</v>
      </c>
      <c r="J1378" s="533">
        <v>1938684.031</v>
      </c>
      <c r="K1378" s="220"/>
      <c r="CE1378" s="525"/>
    </row>
    <row r="1379">
      <c r="A1379" s="219"/>
      <c r="B1379" s="886" t="s">
        <v>451</v>
      </c>
      <c r="C1379" s="887" t="s">
        <v>289</v>
      </c>
      <c r="D1379" s="887" t="s">
        <v>368</v>
      </c>
      <c r="E1379" s="888">
        <v>2019.0</v>
      </c>
      <c r="F1379" s="887" t="s">
        <v>291</v>
      </c>
      <c r="G1379" s="887" t="s">
        <v>89</v>
      </c>
      <c r="H1379" s="547">
        <v>1.027885395E7</v>
      </c>
      <c r="I1379" s="547">
        <v>1.264884439E7</v>
      </c>
      <c r="J1379" s="548">
        <v>7846256.668</v>
      </c>
      <c r="K1379" s="220"/>
      <c r="CE1379" s="525"/>
    </row>
    <row r="1380">
      <c r="A1380" s="219"/>
      <c r="B1380" s="889" t="s">
        <v>451</v>
      </c>
      <c r="C1380" s="890" t="s">
        <v>289</v>
      </c>
      <c r="D1380" s="890" t="s">
        <v>373</v>
      </c>
      <c r="E1380" s="891">
        <v>2019.0</v>
      </c>
      <c r="F1380" s="890" t="s">
        <v>291</v>
      </c>
      <c r="G1380" s="890" t="s">
        <v>89</v>
      </c>
      <c r="H1380" s="532">
        <v>2138488.986</v>
      </c>
      <c r="I1380" s="532">
        <v>2631559.369</v>
      </c>
      <c r="J1380" s="533">
        <v>1632393.412</v>
      </c>
      <c r="K1380" s="220"/>
      <c r="CE1380" s="525"/>
    </row>
    <row r="1381">
      <c r="A1381" s="219"/>
      <c r="B1381" s="886" t="s">
        <v>451</v>
      </c>
      <c r="C1381" s="887" t="s">
        <v>289</v>
      </c>
      <c r="D1381" s="887" t="s">
        <v>379</v>
      </c>
      <c r="E1381" s="888">
        <v>2019.0</v>
      </c>
      <c r="F1381" s="887" t="s">
        <v>291</v>
      </c>
      <c r="G1381" s="887" t="s">
        <v>89</v>
      </c>
      <c r="H1381" s="547">
        <v>7722309.374</v>
      </c>
      <c r="I1381" s="547">
        <v>9501698.996</v>
      </c>
      <c r="J1381" s="548">
        <v>5893875.775</v>
      </c>
      <c r="K1381" s="220"/>
      <c r="CE1381" s="525"/>
    </row>
    <row r="1382">
      <c r="A1382" s="219"/>
      <c r="B1382" s="889" t="s">
        <v>451</v>
      </c>
      <c r="C1382" s="890" t="s">
        <v>289</v>
      </c>
      <c r="D1382" s="890" t="s">
        <v>382</v>
      </c>
      <c r="E1382" s="891">
        <v>2019.0</v>
      </c>
      <c r="F1382" s="890" t="s">
        <v>291</v>
      </c>
      <c r="G1382" s="890" t="s">
        <v>89</v>
      </c>
      <c r="H1382" s="532">
        <v>1787772.99</v>
      </c>
      <c r="I1382" s="532">
        <v>2199978.954</v>
      </c>
      <c r="J1382" s="533">
        <v>1364677.99</v>
      </c>
      <c r="K1382" s="220"/>
      <c r="CE1382" s="525"/>
    </row>
    <row r="1383">
      <c r="A1383" s="219"/>
      <c r="B1383" s="886" t="s">
        <v>451</v>
      </c>
      <c r="C1383" s="887" t="s">
        <v>289</v>
      </c>
      <c r="D1383" s="887" t="s">
        <v>387</v>
      </c>
      <c r="E1383" s="888">
        <v>2019.0</v>
      </c>
      <c r="F1383" s="887" t="s">
        <v>291</v>
      </c>
      <c r="G1383" s="887" t="s">
        <v>89</v>
      </c>
      <c r="H1383" s="547">
        <v>1513530.911</v>
      </c>
      <c r="I1383" s="547">
        <v>1862505.01</v>
      </c>
      <c r="J1383" s="548">
        <v>1155338.14</v>
      </c>
      <c r="K1383" s="220"/>
      <c r="CE1383" s="525"/>
    </row>
    <row r="1384">
      <c r="A1384" s="219"/>
      <c r="B1384" s="889" t="s">
        <v>451</v>
      </c>
      <c r="C1384" s="890" t="s">
        <v>289</v>
      </c>
      <c r="D1384" s="890" t="s">
        <v>392</v>
      </c>
      <c r="E1384" s="891">
        <v>2019.0</v>
      </c>
      <c r="F1384" s="890" t="s">
        <v>291</v>
      </c>
      <c r="G1384" s="890" t="s">
        <v>89</v>
      </c>
      <c r="H1384" s="532">
        <v>1262266.745</v>
      </c>
      <c r="I1384" s="532">
        <v>1553306.985</v>
      </c>
      <c r="J1384" s="533">
        <v>963538.2424</v>
      </c>
      <c r="K1384" s="220"/>
      <c r="CE1384" s="525"/>
    </row>
    <row r="1385">
      <c r="A1385" s="219"/>
      <c r="B1385" s="886" t="s">
        <v>451</v>
      </c>
      <c r="C1385" s="887" t="s">
        <v>289</v>
      </c>
      <c r="D1385" s="887" t="s">
        <v>398</v>
      </c>
      <c r="E1385" s="888">
        <v>2019.0</v>
      </c>
      <c r="F1385" s="887" t="s">
        <v>291</v>
      </c>
      <c r="G1385" s="887" t="s">
        <v>89</v>
      </c>
      <c r="H1385" s="547">
        <v>1019219.273</v>
      </c>
      <c r="I1385" s="547">
        <v>1254220.173</v>
      </c>
      <c r="J1385" s="548">
        <v>778010.4723</v>
      </c>
      <c r="K1385" s="220"/>
      <c r="CE1385" s="525"/>
    </row>
    <row r="1386">
      <c r="A1386" s="219"/>
      <c r="B1386" s="889" t="s">
        <v>451</v>
      </c>
      <c r="C1386" s="890" t="s">
        <v>289</v>
      </c>
      <c r="D1386" s="890" t="s">
        <v>402</v>
      </c>
      <c r="E1386" s="891">
        <v>2019.0</v>
      </c>
      <c r="F1386" s="890" t="s">
        <v>291</v>
      </c>
      <c r="G1386" s="890" t="s">
        <v>89</v>
      </c>
      <c r="H1386" s="532">
        <v>9933894.366</v>
      </c>
      <c r="I1386" s="532">
        <v>1.222288173E7</v>
      </c>
      <c r="J1386" s="533">
        <v>7581817.371</v>
      </c>
      <c r="K1386" s="220"/>
      <c r="CE1386" s="525"/>
    </row>
    <row r="1387">
      <c r="A1387" s="219"/>
      <c r="B1387" s="886" t="s">
        <v>451</v>
      </c>
      <c r="C1387" s="887" t="s">
        <v>289</v>
      </c>
      <c r="D1387" s="887" t="s">
        <v>407</v>
      </c>
      <c r="E1387" s="888">
        <v>2019.0</v>
      </c>
      <c r="F1387" s="887" t="s">
        <v>291</v>
      </c>
      <c r="G1387" s="887" t="s">
        <v>89</v>
      </c>
      <c r="H1387" s="547">
        <v>3664884.255</v>
      </c>
      <c r="I1387" s="547">
        <v>4509894.866</v>
      </c>
      <c r="J1387" s="548">
        <v>2797551.427</v>
      </c>
      <c r="K1387" s="220"/>
      <c r="CE1387" s="525"/>
    </row>
    <row r="1388">
      <c r="A1388" s="219"/>
      <c r="B1388" s="889" t="s">
        <v>451</v>
      </c>
      <c r="C1388" s="890" t="s">
        <v>289</v>
      </c>
      <c r="D1388" s="890" t="s">
        <v>414</v>
      </c>
      <c r="E1388" s="891">
        <v>2019.0</v>
      </c>
      <c r="F1388" s="890" t="s">
        <v>291</v>
      </c>
      <c r="G1388" s="890" t="s">
        <v>89</v>
      </c>
      <c r="H1388" s="532">
        <v>804920.8921</v>
      </c>
      <c r="I1388" s="532">
        <v>990511.1174</v>
      </c>
      <c r="J1388" s="533">
        <v>614428.0237</v>
      </c>
      <c r="K1388" s="220"/>
      <c r="CE1388" s="525"/>
    </row>
    <row r="1389">
      <c r="A1389" s="219"/>
      <c r="B1389" s="886" t="s">
        <v>451</v>
      </c>
      <c r="C1389" s="887" t="s">
        <v>289</v>
      </c>
      <c r="D1389" s="887" t="s">
        <v>417</v>
      </c>
      <c r="E1389" s="888">
        <v>2019.0</v>
      </c>
      <c r="F1389" s="887" t="s">
        <v>291</v>
      </c>
      <c r="G1389" s="887" t="s">
        <v>89</v>
      </c>
      <c r="H1389" s="547">
        <v>2186763.325</v>
      </c>
      <c r="I1389" s="547">
        <v>2690964.299</v>
      </c>
      <c r="J1389" s="548">
        <v>1669243.128</v>
      </c>
      <c r="K1389" s="220"/>
      <c r="CE1389" s="525"/>
    </row>
    <row r="1390">
      <c r="A1390" s="219"/>
      <c r="B1390" s="889" t="s">
        <v>451</v>
      </c>
      <c r="C1390" s="890" t="s">
        <v>289</v>
      </c>
      <c r="D1390" s="890" t="s">
        <v>300</v>
      </c>
      <c r="E1390" s="891">
        <v>2019.0</v>
      </c>
      <c r="F1390" s="890" t="s">
        <v>291</v>
      </c>
      <c r="G1390" s="890" t="s">
        <v>89</v>
      </c>
      <c r="H1390" s="532">
        <v>6987948.538</v>
      </c>
      <c r="I1390" s="532">
        <v>8599156.492</v>
      </c>
      <c r="J1390" s="533">
        <v>5334178.119</v>
      </c>
      <c r="K1390" s="220"/>
      <c r="CE1390" s="525"/>
    </row>
    <row r="1391">
      <c r="A1391" s="219"/>
      <c r="B1391" s="886" t="s">
        <v>451</v>
      </c>
      <c r="C1391" s="887" t="s">
        <v>289</v>
      </c>
      <c r="D1391" s="887" t="s">
        <v>429</v>
      </c>
      <c r="E1391" s="888">
        <v>2019.0</v>
      </c>
      <c r="F1391" s="887" t="s">
        <v>291</v>
      </c>
      <c r="G1391" s="887" t="s">
        <v>89</v>
      </c>
      <c r="H1391" s="547">
        <v>1752888.057</v>
      </c>
      <c r="I1391" s="547">
        <v>2156791.949</v>
      </c>
      <c r="J1391" s="548">
        <v>1337851.665</v>
      </c>
      <c r="K1391" s="220"/>
      <c r="CE1391" s="525"/>
    </row>
    <row r="1392">
      <c r="A1392" s="219"/>
      <c r="B1392" s="889" t="s">
        <v>451</v>
      </c>
      <c r="C1392" s="890" t="s">
        <v>289</v>
      </c>
      <c r="D1392" s="890" t="s">
        <v>432</v>
      </c>
      <c r="E1392" s="891">
        <v>2019.0</v>
      </c>
      <c r="F1392" s="890" t="s">
        <v>291</v>
      </c>
      <c r="G1392" s="890" t="s">
        <v>89</v>
      </c>
      <c r="H1392" s="532">
        <v>627977.7639</v>
      </c>
      <c r="I1392" s="532">
        <v>772770.2968</v>
      </c>
      <c r="J1392" s="533">
        <v>479360.32</v>
      </c>
      <c r="K1392" s="220"/>
      <c r="CE1392" s="525"/>
    </row>
    <row r="1393">
      <c r="A1393" s="219"/>
      <c r="B1393" s="886" t="s">
        <v>451</v>
      </c>
      <c r="C1393" s="887" t="s">
        <v>289</v>
      </c>
      <c r="D1393" s="887" t="s">
        <v>435</v>
      </c>
      <c r="E1393" s="888">
        <v>2019.0</v>
      </c>
      <c r="F1393" s="887" t="s">
        <v>291</v>
      </c>
      <c r="G1393" s="887" t="s">
        <v>89</v>
      </c>
      <c r="H1393" s="547">
        <v>460221.1762</v>
      </c>
      <c r="I1393" s="547">
        <v>566334.1528</v>
      </c>
      <c r="J1393" s="548">
        <v>351305.0668</v>
      </c>
      <c r="K1393" s="220"/>
      <c r="CE1393" s="525"/>
    </row>
    <row r="1394">
      <c r="A1394" s="219"/>
      <c r="B1394" s="889" t="s">
        <v>451</v>
      </c>
      <c r="C1394" s="890" t="s">
        <v>289</v>
      </c>
      <c r="D1394" s="890" t="s">
        <v>442</v>
      </c>
      <c r="E1394" s="891">
        <v>2019.0</v>
      </c>
      <c r="F1394" s="890" t="s">
        <v>291</v>
      </c>
      <c r="G1394" s="890" t="s">
        <v>89</v>
      </c>
      <c r="H1394" s="532">
        <v>293643.4927</v>
      </c>
      <c r="I1394" s="532">
        <v>361348.7325</v>
      </c>
      <c r="J1394" s="533">
        <v>224149.7179</v>
      </c>
      <c r="K1394" s="220"/>
      <c r="CE1394" s="525"/>
    </row>
    <row r="1395">
      <c r="A1395" s="219"/>
      <c r="B1395" s="886" t="s">
        <v>451</v>
      </c>
      <c r="C1395" s="887" t="s">
        <v>289</v>
      </c>
      <c r="D1395" s="887" t="s">
        <v>445</v>
      </c>
      <c r="E1395" s="888">
        <v>2019.0</v>
      </c>
      <c r="F1395" s="887" t="s">
        <v>291</v>
      </c>
      <c r="G1395" s="887" t="s">
        <v>89</v>
      </c>
      <c r="H1395" s="547">
        <v>475443.9606</v>
      </c>
      <c r="I1395" s="547">
        <v>584996.6875</v>
      </c>
      <c r="J1395" s="548">
        <v>362871.7144</v>
      </c>
      <c r="K1395" s="220"/>
      <c r="CE1395" s="525"/>
    </row>
    <row r="1396">
      <c r="A1396" s="219"/>
      <c r="B1396" s="889" t="s">
        <v>451</v>
      </c>
      <c r="C1396" s="890" t="s">
        <v>289</v>
      </c>
      <c r="D1396" s="890" t="s">
        <v>450</v>
      </c>
      <c r="E1396" s="891">
        <v>2019.0</v>
      </c>
      <c r="F1396" s="890" t="s">
        <v>291</v>
      </c>
      <c r="G1396" s="890" t="s">
        <v>89</v>
      </c>
      <c r="H1396" s="532">
        <v>181737.0244</v>
      </c>
      <c r="I1396" s="532">
        <v>223640.0432</v>
      </c>
      <c r="J1396" s="533">
        <v>138727.0747</v>
      </c>
      <c r="K1396" s="220"/>
      <c r="CE1396" s="525"/>
    </row>
    <row r="1397">
      <c r="A1397" s="219"/>
      <c r="B1397" s="886" t="s">
        <v>451</v>
      </c>
      <c r="C1397" s="887" t="s">
        <v>289</v>
      </c>
      <c r="D1397" s="887" t="s">
        <v>457</v>
      </c>
      <c r="E1397" s="888">
        <v>2019.0</v>
      </c>
      <c r="F1397" s="887" t="s">
        <v>291</v>
      </c>
      <c r="G1397" s="887" t="s">
        <v>89</v>
      </c>
      <c r="H1397" s="547">
        <v>370811.7175</v>
      </c>
      <c r="I1397" s="547">
        <v>456309.598</v>
      </c>
      <c r="J1397" s="548">
        <v>283055.2829</v>
      </c>
      <c r="K1397" s="220"/>
      <c r="CE1397" s="525"/>
    </row>
    <row r="1398">
      <c r="A1398" s="219"/>
      <c r="B1398" s="889" t="s">
        <v>451</v>
      </c>
      <c r="C1398" s="890" t="s">
        <v>289</v>
      </c>
      <c r="D1398" s="890" t="s">
        <v>463</v>
      </c>
      <c r="E1398" s="891">
        <v>2019.0</v>
      </c>
      <c r="F1398" s="890" t="s">
        <v>291</v>
      </c>
      <c r="G1398" s="890" t="s">
        <v>89</v>
      </c>
      <c r="H1398" s="532">
        <v>189099.9267</v>
      </c>
      <c r="I1398" s="532">
        <v>232672.7015</v>
      </c>
      <c r="J1398" s="533">
        <v>144326.1883</v>
      </c>
      <c r="K1398" s="220"/>
      <c r="CE1398" s="525"/>
    </row>
    <row r="1399">
      <c r="A1399" s="219"/>
      <c r="B1399" s="886" t="s">
        <v>451</v>
      </c>
      <c r="C1399" s="887" t="s">
        <v>289</v>
      </c>
      <c r="D1399" s="887" t="s">
        <v>467</v>
      </c>
      <c r="E1399" s="888">
        <v>2019.0</v>
      </c>
      <c r="F1399" s="887" t="s">
        <v>291</v>
      </c>
      <c r="G1399" s="887" t="s">
        <v>89</v>
      </c>
      <c r="H1399" s="547">
        <v>103518.7098</v>
      </c>
      <c r="I1399" s="547">
        <v>127386.9692</v>
      </c>
      <c r="J1399" s="548">
        <v>79019.93465</v>
      </c>
      <c r="K1399" s="220"/>
      <c r="CE1399" s="525"/>
    </row>
    <row r="1400">
      <c r="A1400" s="219"/>
      <c r="B1400" s="889" t="s">
        <v>451</v>
      </c>
      <c r="C1400" s="890" t="s">
        <v>289</v>
      </c>
      <c r="D1400" s="890" t="s">
        <v>473</v>
      </c>
      <c r="E1400" s="891">
        <v>2019.0</v>
      </c>
      <c r="F1400" s="890" t="s">
        <v>291</v>
      </c>
      <c r="G1400" s="890" t="s">
        <v>89</v>
      </c>
      <c r="H1400" s="532">
        <v>157092.7389</v>
      </c>
      <c r="I1400" s="532">
        <v>193290.3549</v>
      </c>
      <c r="J1400" s="533">
        <v>119897.4352</v>
      </c>
      <c r="K1400" s="220"/>
      <c r="CE1400" s="525"/>
    </row>
    <row r="1401">
      <c r="A1401" s="219"/>
      <c r="B1401" s="886" t="s">
        <v>451</v>
      </c>
      <c r="C1401" s="887" t="s">
        <v>289</v>
      </c>
      <c r="D1401" s="887" t="s">
        <v>477</v>
      </c>
      <c r="E1401" s="888">
        <v>2019.0</v>
      </c>
      <c r="F1401" s="887" t="s">
        <v>291</v>
      </c>
      <c r="G1401" s="887" t="s">
        <v>89</v>
      </c>
      <c r="H1401" s="547">
        <v>85555.98333</v>
      </c>
      <c r="I1401" s="547">
        <v>105282.5855</v>
      </c>
      <c r="J1401" s="548">
        <v>65308.27349</v>
      </c>
      <c r="K1401" s="220"/>
      <c r="CE1401" s="525"/>
    </row>
    <row r="1402">
      <c r="A1402" s="219"/>
      <c r="B1402" s="889" t="s">
        <v>451</v>
      </c>
      <c r="C1402" s="890" t="s">
        <v>289</v>
      </c>
      <c r="D1402" s="890" t="s">
        <v>483</v>
      </c>
      <c r="E1402" s="891">
        <v>2019.0</v>
      </c>
      <c r="F1402" s="890" t="s">
        <v>291</v>
      </c>
      <c r="G1402" s="890" t="s">
        <v>89</v>
      </c>
      <c r="H1402" s="532">
        <v>53553.06655</v>
      </c>
      <c r="I1402" s="532">
        <v>65900.7715</v>
      </c>
      <c r="J1402" s="533">
        <v>40879.17852</v>
      </c>
      <c r="K1402" s="220"/>
      <c r="CE1402" s="525"/>
    </row>
    <row r="1403">
      <c r="A1403" s="219"/>
      <c r="B1403" s="886" t="s">
        <v>451</v>
      </c>
      <c r="C1403" s="887" t="s">
        <v>289</v>
      </c>
      <c r="D1403" s="887" t="s">
        <v>489</v>
      </c>
      <c r="E1403" s="888">
        <v>2019.0</v>
      </c>
      <c r="F1403" s="887" t="s">
        <v>291</v>
      </c>
      <c r="G1403" s="887" t="s">
        <v>89</v>
      </c>
      <c r="H1403" s="547">
        <v>32007.18784</v>
      </c>
      <c r="I1403" s="547">
        <v>39382.34664</v>
      </c>
      <c r="J1403" s="548">
        <v>24428.7531</v>
      </c>
      <c r="K1403" s="220"/>
      <c r="CE1403" s="525"/>
    </row>
    <row r="1404">
      <c r="A1404" s="219"/>
      <c r="B1404" s="889" t="s">
        <v>451</v>
      </c>
      <c r="C1404" s="890" t="s">
        <v>289</v>
      </c>
      <c r="D1404" s="890" t="s">
        <v>493</v>
      </c>
      <c r="E1404" s="891">
        <v>2019.0</v>
      </c>
      <c r="F1404" s="890" t="s">
        <v>291</v>
      </c>
      <c r="G1404" s="890" t="s">
        <v>89</v>
      </c>
      <c r="H1404" s="532">
        <v>23267.0683</v>
      </c>
      <c r="I1404" s="532">
        <v>28631.74511</v>
      </c>
      <c r="J1404" s="533">
        <v>17760.67553</v>
      </c>
      <c r="K1404" s="220"/>
      <c r="CE1404" s="525"/>
    </row>
    <row r="1405">
      <c r="A1405" s="219"/>
      <c r="B1405" s="886" t="s">
        <v>451</v>
      </c>
      <c r="C1405" s="887" t="s">
        <v>289</v>
      </c>
      <c r="D1405" s="887" t="s">
        <v>496</v>
      </c>
      <c r="E1405" s="888">
        <v>2019.0</v>
      </c>
      <c r="F1405" s="887" t="s">
        <v>291</v>
      </c>
      <c r="G1405" s="887" t="s">
        <v>89</v>
      </c>
      <c r="H1405" s="547">
        <v>7153.134501</v>
      </c>
      <c r="I1405" s="547">
        <v>8802.429304</v>
      </c>
      <c r="J1405" s="548">
        <v>5460.271113</v>
      </c>
      <c r="K1405" s="220"/>
      <c r="CE1405" s="525"/>
    </row>
    <row r="1406">
      <c r="A1406" s="219"/>
      <c r="B1406" s="889" t="s">
        <v>451</v>
      </c>
      <c r="C1406" s="890" t="s">
        <v>289</v>
      </c>
      <c r="D1406" s="890" t="s">
        <v>502</v>
      </c>
      <c r="E1406" s="891">
        <v>2019.0</v>
      </c>
      <c r="F1406" s="890" t="s">
        <v>291</v>
      </c>
      <c r="G1406" s="890" t="s">
        <v>89</v>
      </c>
      <c r="H1406" s="532">
        <v>1582.713991</v>
      </c>
      <c r="I1406" s="532">
        <v>1947.639599</v>
      </c>
      <c r="J1406" s="533">
        <v>1208.148328</v>
      </c>
      <c r="K1406" s="220"/>
      <c r="CE1406" s="525"/>
    </row>
    <row r="1407">
      <c r="A1407" s="219"/>
      <c r="B1407" s="886" t="s">
        <v>451</v>
      </c>
      <c r="C1407" s="887" t="s">
        <v>289</v>
      </c>
      <c r="D1407" s="887" t="s">
        <v>332</v>
      </c>
      <c r="E1407" s="888">
        <v>2019.0</v>
      </c>
      <c r="F1407" s="887" t="s">
        <v>291</v>
      </c>
      <c r="G1407" s="887" t="s">
        <v>89</v>
      </c>
      <c r="H1407" s="547">
        <v>2.6690344E7</v>
      </c>
      <c r="I1407" s="547">
        <v>3.284432386E7</v>
      </c>
      <c r="J1407" s="548">
        <v>2.037379757E7</v>
      </c>
      <c r="K1407" s="220"/>
      <c r="CE1407" s="525"/>
    </row>
    <row r="1408">
      <c r="A1408" s="219"/>
      <c r="B1408" s="889" t="s">
        <v>451</v>
      </c>
      <c r="C1408" s="890" t="s">
        <v>289</v>
      </c>
      <c r="D1408" s="890" t="s">
        <v>510</v>
      </c>
      <c r="E1408" s="891">
        <v>2019.0</v>
      </c>
      <c r="F1408" s="890" t="s">
        <v>291</v>
      </c>
      <c r="G1408" s="890" t="s">
        <v>89</v>
      </c>
      <c r="H1408" s="532">
        <v>861811.9848</v>
      </c>
      <c r="I1408" s="532">
        <v>973268.8622</v>
      </c>
      <c r="J1408" s="533">
        <v>756948.2164</v>
      </c>
      <c r="K1408" s="220"/>
      <c r="CE1408" s="525"/>
    </row>
    <row r="1409">
      <c r="A1409" s="219"/>
      <c r="B1409" s="886" t="s">
        <v>451</v>
      </c>
      <c r="C1409" s="887" t="s">
        <v>289</v>
      </c>
      <c r="D1409" s="887" t="s">
        <v>512</v>
      </c>
      <c r="E1409" s="888">
        <v>2019.0</v>
      </c>
      <c r="F1409" s="887" t="s">
        <v>291</v>
      </c>
      <c r="G1409" s="887" t="s">
        <v>89</v>
      </c>
      <c r="H1409" s="547">
        <v>16273.97111</v>
      </c>
      <c r="I1409" s="547">
        <v>20026.25285</v>
      </c>
      <c r="J1409" s="548">
        <v>12422.56724</v>
      </c>
      <c r="K1409" s="220"/>
      <c r="CE1409" s="525"/>
    </row>
    <row r="1410">
      <c r="A1410" s="219"/>
      <c r="B1410" s="889" t="s">
        <v>451</v>
      </c>
      <c r="C1410" s="890" t="s">
        <v>289</v>
      </c>
      <c r="D1410" s="890" t="s">
        <v>515</v>
      </c>
      <c r="E1410" s="891">
        <v>2019.0</v>
      </c>
      <c r="F1410" s="890" t="s">
        <v>291</v>
      </c>
      <c r="G1410" s="890" t="s">
        <v>89</v>
      </c>
      <c r="H1410" s="532">
        <v>48215.63303</v>
      </c>
      <c r="I1410" s="532">
        <v>59332.68849</v>
      </c>
      <c r="J1410" s="533">
        <v>36804.90395</v>
      </c>
      <c r="K1410" s="220"/>
      <c r="CE1410" s="525"/>
    </row>
    <row r="1411">
      <c r="A1411" s="219"/>
      <c r="B1411" s="886" t="s">
        <v>451</v>
      </c>
      <c r="C1411" s="887" t="s">
        <v>289</v>
      </c>
      <c r="D1411" s="887" t="s">
        <v>518</v>
      </c>
      <c r="E1411" s="888">
        <v>2019.0</v>
      </c>
      <c r="F1411" s="887" t="s">
        <v>291</v>
      </c>
      <c r="G1411" s="887" t="s">
        <v>89</v>
      </c>
      <c r="H1411" s="547">
        <v>64489.60415</v>
      </c>
      <c r="I1411" s="547">
        <v>79358.94135</v>
      </c>
      <c r="J1411" s="548">
        <v>49227.47119</v>
      </c>
      <c r="K1411" s="220"/>
      <c r="CE1411" s="525"/>
    </row>
    <row r="1412">
      <c r="A1412" s="219"/>
      <c r="B1412" s="889" t="s">
        <v>451</v>
      </c>
      <c r="C1412" s="890" t="s">
        <v>289</v>
      </c>
      <c r="D1412" s="890" t="s">
        <v>522</v>
      </c>
      <c r="E1412" s="891">
        <v>2019.0</v>
      </c>
      <c r="F1412" s="890" t="s">
        <v>291</v>
      </c>
      <c r="G1412" s="890" t="s">
        <v>89</v>
      </c>
      <c r="H1412" s="532">
        <v>756661.3073</v>
      </c>
      <c r="I1412" s="532">
        <v>931124.3432</v>
      </c>
      <c r="J1412" s="533">
        <v>577589.5697</v>
      </c>
      <c r="K1412" s="220"/>
      <c r="CE1412" s="525"/>
    </row>
    <row r="1413">
      <c r="A1413" s="219"/>
      <c r="B1413" s="886" t="s">
        <v>451</v>
      </c>
      <c r="C1413" s="887" t="s">
        <v>289</v>
      </c>
      <c r="D1413" s="887" t="s">
        <v>302</v>
      </c>
      <c r="E1413" s="888">
        <v>2019.0</v>
      </c>
      <c r="F1413" s="887" t="s">
        <v>291</v>
      </c>
      <c r="G1413" s="887" t="s">
        <v>89</v>
      </c>
      <c r="H1413" s="547">
        <v>3939181.516</v>
      </c>
      <c r="I1413" s="547">
        <v>4847436.715</v>
      </c>
      <c r="J1413" s="548">
        <v>3006933.399</v>
      </c>
      <c r="K1413" s="220"/>
      <c r="CE1413" s="525"/>
    </row>
    <row r="1414">
      <c r="A1414" s="219"/>
      <c r="B1414" s="889" t="s">
        <v>410</v>
      </c>
      <c r="C1414" s="890" t="s">
        <v>289</v>
      </c>
      <c r="D1414" s="890" t="s">
        <v>290</v>
      </c>
      <c r="E1414" s="891">
        <v>2019.0</v>
      </c>
      <c r="F1414" s="890" t="s">
        <v>291</v>
      </c>
      <c r="G1414" s="890" t="s">
        <v>89</v>
      </c>
      <c r="H1414" s="532">
        <v>524249.5908</v>
      </c>
      <c r="I1414" s="532">
        <v>561287.37</v>
      </c>
      <c r="J1414" s="533">
        <v>487509.2708</v>
      </c>
      <c r="K1414" s="220"/>
      <c r="CE1414" s="525"/>
    </row>
    <row r="1415">
      <c r="A1415" s="219"/>
      <c r="B1415" s="886" t="s">
        <v>410</v>
      </c>
      <c r="C1415" s="887" t="s">
        <v>289</v>
      </c>
      <c r="D1415" s="887" t="s">
        <v>310</v>
      </c>
      <c r="E1415" s="888">
        <v>2019.0</v>
      </c>
      <c r="F1415" s="887" t="s">
        <v>291</v>
      </c>
      <c r="G1415" s="887" t="s">
        <v>89</v>
      </c>
      <c r="H1415" s="547">
        <v>1.017409322E7</v>
      </c>
      <c r="I1415" s="547">
        <v>1.089288409E7</v>
      </c>
      <c r="J1415" s="548">
        <v>9461075.131</v>
      </c>
      <c r="K1415" s="220"/>
      <c r="CE1415" s="525"/>
    </row>
    <row r="1416">
      <c r="A1416" s="219"/>
      <c r="B1416" s="889" t="s">
        <v>410</v>
      </c>
      <c r="C1416" s="890" t="s">
        <v>289</v>
      </c>
      <c r="D1416" s="890" t="s">
        <v>318</v>
      </c>
      <c r="E1416" s="891">
        <v>2019.0</v>
      </c>
      <c r="F1416" s="890" t="s">
        <v>291</v>
      </c>
      <c r="G1416" s="890" t="s">
        <v>89</v>
      </c>
      <c r="H1416" s="532">
        <v>7877896.399</v>
      </c>
      <c r="I1416" s="532">
        <v>8434462.951</v>
      </c>
      <c r="J1416" s="533">
        <v>7325799.765</v>
      </c>
      <c r="K1416" s="220"/>
      <c r="CE1416" s="525"/>
    </row>
    <row r="1417">
      <c r="A1417" s="219"/>
      <c r="B1417" s="886" t="s">
        <v>410</v>
      </c>
      <c r="C1417" s="887" t="s">
        <v>289</v>
      </c>
      <c r="D1417" s="887" t="s">
        <v>309</v>
      </c>
      <c r="E1417" s="888">
        <v>2019.0</v>
      </c>
      <c r="F1417" s="887" t="s">
        <v>291</v>
      </c>
      <c r="G1417" s="887" t="s">
        <v>89</v>
      </c>
      <c r="H1417" s="547">
        <v>2061761.216</v>
      </c>
      <c r="I1417" s="547">
        <v>2207422.859</v>
      </c>
      <c r="J1417" s="548">
        <v>1917269.416</v>
      </c>
      <c r="K1417" s="220"/>
      <c r="CE1417" s="525"/>
    </row>
    <row r="1418">
      <c r="A1418" s="219"/>
      <c r="B1418" s="889" t="s">
        <v>410</v>
      </c>
      <c r="C1418" s="890" t="s">
        <v>289</v>
      </c>
      <c r="D1418" s="890" t="s">
        <v>334</v>
      </c>
      <c r="E1418" s="891">
        <v>2019.0</v>
      </c>
      <c r="F1418" s="890" t="s">
        <v>291</v>
      </c>
      <c r="G1418" s="890" t="s">
        <v>89</v>
      </c>
      <c r="H1418" s="532">
        <v>2614289.45</v>
      </c>
      <c r="I1418" s="532">
        <v>2798986.733</v>
      </c>
      <c r="J1418" s="533">
        <v>2431075.514</v>
      </c>
      <c r="K1418" s="220"/>
      <c r="CE1418" s="525"/>
    </row>
    <row r="1419">
      <c r="A1419" s="219"/>
      <c r="B1419" s="886" t="s">
        <v>410</v>
      </c>
      <c r="C1419" s="887" t="s">
        <v>289</v>
      </c>
      <c r="D1419" s="887" t="s">
        <v>339</v>
      </c>
      <c r="E1419" s="888">
        <v>2019.0</v>
      </c>
      <c r="F1419" s="887" t="s">
        <v>291</v>
      </c>
      <c r="G1419" s="887" t="s">
        <v>89</v>
      </c>
      <c r="H1419" s="547">
        <v>4910486.269</v>
      </c>
      <c r="I1419" s="547">
        <v>5257407.867</v>
      </c>
      <c r="J1419" s="548">
        <v>4566350.88</v>
      </c>
      <c r="K1419" s="220"/>
      <c r="CE1419" s="525"/>
    </row>
    <row r="1420">
      <c r="A1420" s="219"/>
      <c r="B1420" s="889" t="s">
        <v>410</v>
      </c>
      <c r="C1420" s="890" t="s">
        <v>289</v>
      </c>
      <c r="D1420" s="890" t="s">
        <v>344</v>
      </c>
      <c r="E1420" s="891">
        <v>2019.0</v>
      </c>
      <c r="F1420" s="890" t="s">
        <v>291</v>
      </c>
      <c r="G1420" s="890" t="s">
        <v>89</v>
      </c>
      <c r="H1420" s="532">
        <v>6645386.496</v>
      </c>
      <c r="I1420" s="532">
        <v>7114877.292</v>
      </c>
      <c r="J1420" s="533">
        <v>6179666.292</v>
      </c>
      <c r="K1420" s="220"/>
      <c r="CE1420" s="525"/>
    </row>
    <row r="1421">
      <c r="A1421" s="219"/>
      <c r="B1421" s="886" t="s">
        <v>410</v>
      </c>
      <c r="C1421" s="887" t="s">
        <v>289</v>
      </c>
      <c r="D1421" s="887" t="s">
        <v>349</v>
      </c>
      <c r="E1421" s="888">
        <v>2019.0</v>
      </c>
      <c r="F1421" s="887" t="s">
        <v>291</v>
      </c>
      <c r="G1421" s="887" t="s">
        <v>89</v>
      </c>
      <c r="H1421" s="547">
        <v>2296196.819</v>
      </c>
      <c r="I1421" s="547">
        <v>2458421.134</v>
      </c>
      <c r="J1421" s="548">
        <v>2135275.366</v>
      </c>
      <c r="K1421" s="220"/>
      <c r="CE1421" s="525"/>
    </row>
    <row r="1422">
      <c r="A1422" s="219"/>
      <c r="B1422" s="889" t="s">
        <v>410</v>
      </c>
      <c r="C1422" s="890" t="s">
        <v>289</v>
      </c>
      <c r="D1422" s="890" t="s">
        <v>355</v>
      </c>
      <c r="E1422" s="891">
        <v>2019.0</v>
      </c>
      <c r="F1422" s="890" t="s">
        <v>291</v>
      </c>
      <c r="G1422" s="890" t="s">
        <v>89</v>
      </c>
      <c r="H1422" s="532">
        <v>7621979.659</v>
      </c>
      <c r="I1422" s="532">
        <v>8160817.906</v>
      </c>
      <c r="J1422" s="533">
        <v>7087930.86</v>
      </c>
      <c r="K1422" s="220"/>
      <c r="CE1422" s="525"/>
    </row>
    <row r="1423">
      <c r="A1423" s="219"/>
      <c r="B1423" s="886" t="s">
        <v>410</v>
      </c>
      <c r="C1423" s="887" t="s">
        <v>289</v>
      </c>
      <c r="D1423" s="887" t="s">
        <v>358</v>
      </c>
      <c r="E1423" s="888">
        <v>2019.0</v>
      </c>
      <c r="F1423" s="887" t="s">
        <v>291</v>
      </c>
      <c r="G1423" s="887" t="s">
        <v>89</v>
      </c>
      <c r="H1423" s="547">
        <v>8999476.376</v>
      </c>
      <c r="I1423" s="547">
        <v>9635281.581</v>
      </c>
      <c r="J1423" s="548">
        <v>8368777.473</v>
      </c>
      <c r="K1423" s="220"/>
      <c r="CE1423" s="525"/>
    </row>
    <row r="1424">
      <c r="A1424" s="219"/>
      <c r="B1424" s="889" t="s">
        <v>410</v>
      </c>
      <c r="C1424" s="890" t="s">
        <v>289</v>
      </c>
      <c r="D1424" s="890" t="s">
        <v>362</v>
      </c>
      <c r="E1424" s="891">
        <v>2019.0</v>
      </c>
      <c r="F1424" s="890" t="s">
        <v>291</v>
      </c>
      <c r="G1424" s="890" t="s">
        <v>89</v>
      </c>
      <c r="H1424" s="532">
        <v>8267968.305</v>
      </c>
      <c r="I1424" s="532">
        <v>8852474.922</v>
      </c>
      <c r="J1424" s="533">
        <v>7688657.058</v>
      </c>
      <c r="K1424" s="220"/>
      <c r="CE1424" s="525"/>
    </row>
    <row r="1425">
      <c r="A1425" s="219"/>
      <c r="B1425" s="886" t="s">
        <v>410</v>
      </c>
      <c r="C1425" s="887" t="s">
        <v>289</v>
      </c>
      <c r="D1425" s="887" t="s">
        <v>366</v>
      </c>
      <c r="E1425" s="888">
        <v>2019.0</v>
      </c>
      <c r="F1425" s="887" t="s">
        <v>291</v>
      </c>
      <c r="G1425" s="887" t="s">
        <v>89</v>
      </c>
      <c r="H1425" s="547">
        <v>1734900.228</v>
      </c>
      <c r="I1425" s="547">
        <v>1857469.425</v>
      </c>
      <c r="J1425" s="548">
        <v>1613315.413</v>
      </c>
      <c r="K1425" s="220"/>
      <c r="CE1425" s="525"/>
    </row>
    <row r="1426">
      <c r="A1426" s="219"/>
      <c r="B1426" s="889" t="s">
        <v>410</v>
      </c>
      <c r="C1426" s="890" t="s">
        <v>289</v>
      </c>
      <c r="D1426" s="890" t="s">
        <v>368</v>
      </c>
      <c r="E1426" s="891">
        <v>2019.0</v>
      </c>
      <c r="F1426" s="890" t="s">
        <v>291</v>
      </c>
      <c r="G1426" s="890" t="s">
        <v>89</v>
      </c>
      <c r="H1426" s="532">
        <v>6533245.036</v>
      </c>
      <c r="I1426" s="532">
        <v>6994813.135</v>
      </c>
      <c r="J1426" s="533">
        <v>6075383.9</v>
      </c>
      <c r="K1426" s="220"/>
      <c r="CE1426" s="525"/>
    </row>
    <row r="1427">
      <c r="A1427" s="219"/>
      <c r="B1427" s="886" t="s">
        <v>410</v>
      </c>
      <c r="C1427" s="887" t="s">
        <v>289</v>
      </c>
      <c r="D1427" s="887" t="s">
        <v>373</v>
      </c>
      <c r="E1427" s="888">
        <v>2019.0</v>
      </c>
      <c r="F1427" s="887" t="s">
        <v>291</v>
      </c>
      <c r="G1427" s="887" t="s">
        <v>89</v>
      </c>
      <c r="H1427" s="547">
        <v>1378530.288</v>
      </c>
      <c r="I1427" s="547">
        <v>1475922.258</v>
      </c>
      <c r="J1427" s="548">
        <v>1281920.496</v>
      </c>
      <c r="K1427" s="220"/>
      <c r="CE1427" s="525"/>
    </row>
    <row r="1428">
      <c r="A1428" s="219"/>
      <c r="B1428" s="889" t="s">
        <v>410</v>
      </c>
      <c r="C1428" s="890" t="s">
        <v>289</v>
      </c>
      <c r="D1428" s="890" t="s">
        <v>379</v>
      </c>
      <c r="E1428" s="891">
        <v>2019.0</v>
      </c>
      <c r="F1428" s="890" t="s">
        <v>291</v>
      </c>
      <c r="G1428" s="890" t="s">
        <v>89</v>
      </c>
      <c r="H1428" s="532">
        <v>4968272.993</v>
      </c>
      <c r="I1428" s="532">
        <v>5319506.614</v>
      </c>
      <c r="J1428" s="533">
        <v>4620161.303</v>
      </c>
      <c r="K1428" s="220"/>
      <c r="CE1428" s="525"/>
    </row>
    <row r="1429">
      <c r="A1429" s="219"/>
      <c r="B1429" s="886" t="s">
        <v>410</v>
      </c>
      <c r="C1429" s="887" t="s">
        <v>289</v>
      </c>
      <c r="D1429" s="887" t="s">
        <v>382</v>
      </c>
      <c r="E1429" s="888">
        <v>2019.0</v>
      </c>
      <c r="F1429" s="887" t="s">
        <v>291</v>
      </c>
      <c r="G1429" s="887" t="s">
        <v>89</v>
      </c>
      <c r="H1429" s="547">
        <v>1211956.083</v>
      </c>
      <c r="I1429" s="547">
        <v>1297579.73</v>
      </c>
      <c r="J1429" s="548">
        <v>1127020.1</v>
      </c>
      <c r="K1429" s="220"/>
      <c r="CE1429" s="525"/>
    </row>
    <row r="1430">
      <c r="A1430" s="219"/>
      <c r="B1430" s="889" t="s">
        <v>410</v>
      </c>
      <c r="C1430" s="890" t="s">
        <v>289</v>
      </c>
      <c r="D1430" s="890" t="s">
        <v>387</v>
      </c>
      <c r="E1430" s="891">
        <v>2019.0</v>
      </c>
      <c r="F1430" s="890" t="s">
        <v>291</v>
      </c>
      <c r="G1430" s="890" t="s">
        <v>89</v>
      </c>
      <c r="H1430" s="532">
        <v>1000559.374</v>
      </c>
      <c r="I1430" s="532">
        <v>1071248.027</v>
      </c>
      <c r="J1430" s="533">
        <v>930438.4388</v>
      </c>
      <c r="K1430" s="220"/>
      <c r="CE1430" s="525"/>
    </row>
    <row r="1431">
      <c r="A1431" s="219"/>
      <c r="B1431" s="886" t="s">
        <v>410</v>
      </c>
      <c r="C1431" s="887" t="s">
        <v>289</v>
      </c>
      <c r="D1431" s="887" t="s">
        <v>392</v>
      </c>
      <c r="E1431" s="888">
        <v>2019.0</v>
      </c>
      <c r="F1431" s="887" t="s">
        <v>291</v>
      </c>
      <c r="G1431" s="887" t="s">
        <v>89</v>
      </c>
      <c r="H1431" s="547">
        <v>780332.8801</v>
      </c>
      <c r="I1431" s="547">
        <v>835462.7217</v>
      </c>
      <c r="J1431" s="548">
        <v>725645.7993</v>
      </c>
      <c r="K1431" s="220"/>
      <c r="CE1431" s="525"/>
    </row>
    <row r="1432">
      <c r="A1432" s="219"/>
      <c r="B1432" s="889" t="s">
        <v>410</v>
      </c>
      <c r="C1432" s="890" t="s">
        <v>289</v>
      </c>
      <c r="D1432" s="890" t="s">
        <v>398</v>
      </c>
      <c r="E1432" s="891">
        <v>2019.0</v>
      </c>
      <c r="F1432" s="890" t="s">
        <v>291</v>
      </c>
      <c r="G1432" s="890" t="s">
        <v>89</v>
      </c>
      <c r="H1432" s="532">
        <v>597000.7038</v>
      </c>
      <c r="I1432" s="532">
        <v>639178.2861</v>
      </c>
      <c r="J1432" s="533">
        <v>555161.8597</v>
      </c>
      <c r="K1432" s="220"/>
      <c r="CE1432" s="525"/>
    </row>
    <row r="1433">
      <c r="A1433" s="219"/>
      <c r="B1433" s="886" t="s">
        <v>410</v>
      </c>
      <c r="C1433" s="887" t="s">
        <v>289</v>
      </c>
      <c r="D1433" s="887" t="s">
        <v>402</v>
      </c>
      <c r="E1433" s="888">
        <v>2019.0</v>
      </c>
      <c r="F1433" s="887" t="s">
        <v>291</v>
      </c>
      <c r="G1433" s="887" t="s">
        <v>89</v>
      </c>
      <c r="H1433" s="547">
        <v>7587920.007</v>
      </c>
      <c r="I1433" s="547">
        <v>8124350.397</v>
      </c>
      <c r="J1433" s="548">
        <v>7056257.665</v>
      </c>
      <c r="K1433" s="220"/>
      <c r="CE1433" s="525"/>
    </row>
    <row r="1434">
      <c r="A1434" s="219"/>
      <c r="B1434" s="889" t="s">
        <v>410</v>
      </c>
      <c r="C1434" s="890" t="s">
        <v>289</v>
      </c>
      <c r="D1434" s="890" t="s">
        <v>407</v>
      </c>
      <c r="E1434" s="891">
        <v>2019.0</v>
      </c>
      <c r="F1434" s="890" t="s">
        <v>291</v>
      </c>
      <c r="G1434" s="890" t="s">
        <v>89</v>
      </c>
      <c r="H1434" s="532">
        <v>2677596.143</v>
      </c>
      <c r="I1434" s="532">
        <v>2866765.989</v>
      </c>
      <c r="J1434" s="533">
        <v>2489945.564</v>
      </c>
      <c r="K1434" s="220"/>
      <c r="CE1434" s="525"/>
    </row>
    <row r="1435">
      <c r="A1435" s="219"/>
      <c r="B1435" s="886" t="s">
        <v>410</v>
      </c>
      <c r="C1435" s="887" t="s">
        <v>289</v>
      </c>
      <c r="D1435" s="887" t="s">
        <v>414</v>
      </c>
      <c r="E1435" s="888">
        <v>2019.0</v>
      </c>
      <c r="F1435" s="887" t="s">
        <v>291</v>
      </c>
      <c r="G1435" s="887" t="s">
        <v>89</v>
      </c>
      <c r="H1435" s="547">
        <v>422239.1704</v>
      </c>
      <c r="I1435" s="547">
        <v>452070.0018</v>
      </c>
      <c r="J1435" s="548">
        <v>392647.9175</v>
      </c>
      <c r="K1435" s="220"/>
      <c r="CE1435" s="525"/>
    </row>
    <row r="1436">
      <c r="A1436" s="219"/>
      <c r="B1436" s="889" t="s">
        <v>410</v>
      </c>
      <c r="C1436" s="890" t="s">
        <v>289</v>
      </c>
      <c r="D1436" s="890" t="s">
        <v>417</v>
      </c>
      <c r="E1436" s="891">
        <v>2019.0</v>
      </c>
      <c r="F1436" s="890" t="s">
        <v>291</v>
      </c>
      <c r="G1436" s="890" t="s">
        <v>89</v>
      </c>
      <c r="H1436" s="532">
        <v>1243971.289</v>
      </c>
      <c r="I1436" s="532">
        <v>1331856.782</v>
      </c>
      <c r="J1436" s="533">
        <v>1156791.625</v>
      </c>
      <c r="K1436" s="220"/>
      <c r="CE1436" s="525"/>
    </row>
    <row r="1437">
      <c r="A1437" s="219"/>
      <c r="B1437" s="886" t="s">
        <v>410</v>
      </c>
      <c r="C1437" s="887" t="s">
        <v>289</v>
      </c>
      <c r="D1437" s="887" t="s">
        <v>300</v>
      </c>
      <c r="E1437" s="888">
        <v>2019.0</v>
      </c>
      <c r="F1437" s="887" t="s">
        <v>291</v>
      </c>
      <c r="G1437" s="887" t="s">
        <v>89</v>
      </c>
      <c r="H1437" s="547">
        <v>5291885.593</v>
      </c>
      <c r="I1437" s="547">
        <v>5665752.723</v>
      </c>
      <c r="J1437" s="548">
        <v>4921021.078</v>
      </c>
      <c r="K1437" s="220"/>
      <c r="CE1437" s="525"/>
    </row>
    <row r="1438">
      <c r="A1438" s="219"/>
      <c r="B1438" s="889" t="s">
        <v>410</v>
      </c>
      <c r="C1438" s="890" t="s">
        <v>289</v>
      </c>
      <c r="D1438" s="890" t="s">
        <v>429</v>
      </c>
      <c r="E1438" s="891">
        <v>2019.0</v>
      </c>
      <c r="F1438" s="890" t="s">
        <v>291</v>
      </c>
      <c r="G1438" s="890" t="s">
        <v>89</v>
      </c>
      <c r="H1438" s="532">
        <v>1142602.081</v>
      </c>
      <c r="I1438" s="532">
        <v>1223378.695</v>
      </c>
      <c r="J1438" s="533">
        <v>1062543.449</v>
      </c>
      <c r="K1438" s="220"/>
      <c r="CE1438" s="525"/>
    </row>
    <row r="1439">
      <c r="A1439" s="219"/>
      <c r="B1439" s="886" t="s">
        <v>410</v>
      </c>
      <c r="C1439" s="887" t="s">
        <v>289</v>
      </c>
      <c r="D1439" s="887" t="s">
        <v>432</v>
      </c>
      <c r="E1439" s="888">
        <v>2019.0</v>
      </c>
      <c r="F1439" s="887" t="s">
        <v>291</v>
      </c>
      <c r="G1439" s="887" t="s">
        <v>89</v>
      </c>
      <c r="H1439" s="547">
        <v>324364.9148</v>
      </c>
      <c r="I1439" s="547">
        <v>347281.0149</v>
      </c>
      <c r="J1439" s="548">
        <v>301632.8593</v>
      </c>
      <c r="K1439" s="220"/>
      <c r="CE1439" s="525"/>
    </row>
    <row r="1440">
      <c r="A1440" s="219"/>
      <c r="B1440" s="889" t="s">
        <v>410</v>
      </c>
      <c r="C1440" s="890" t="s">
        <v>289</v>
      </c>
      <c r="D1440" s="890" t="s">
        <v>435</v>
      </c>
      <c r="E1440" s="891">
        <v>2019.0</v>
      </c>
      <c r="F1440" s="890" t="s">
        <v>291</v>
      </c>
      <c r="G1440" s="890" t="s">
        <v>89</v>
      </c>
      <c r="H1440" s="532">
        <v>274967.944</v>
      </c>
      <c r="I1440" s="532">
        <v>294394.1909</v>
      </c>
      <c r="J1440" s="533">
        <v>255697.7139</v>
      </c>
      <c r="K1440" s="220"/>
      <c r="CE1440" s="525"/>
    </row>
    <row r="1441">
      <c r="A1441" s="219"/>
      <c r="B1441" s="886" t="s">
        <v>410</v>
      </c>
      <c r="C1441" s="887" t="s">
        <v>289</v>
      </c>
      <c r="D1441" s="887" t="s">
        <v>442</v>
      </c>
      <c r="E1441" s="888">
        <v>2019.0</v>
      </c>
      <c r="F1441" s="887" t="s">
        <v>291</v>
      </c>
      <c r="G1441" s="887" t="s">
        <v>89</v>
      </c>
      <c r="H1441" s="547">
        <v>222399.2595</v>
      </c>
      <c r="I1441" s="547">
        <v>238111.5744</v>
      </c>
      <c r="J1441" s="548">
        <v>206813.1339</v>
      </c>
      <c r="K1441" s="220"/>
      <c r="CE1441" s="525"/>
    </row>
    <row r="1442">
      <c r="A1442" s="219"/>
      <c r="B1442" s="889" t="s">
        <v>410</v>
      </c>
      <c r="C1442" s="890" t="s">
        <v>289</v>
      </c>
      <c r="D1442" s="890" t="s">
        <v>445</v>
      </c>
      <c r="E1442" s="891">
        <v>2019.0</v>
      </c>
      <c r="F1442" s="890" t="s">
        <v>291</v>
      </c>
      <c r="G1442" s="890" t="s">
        <v>89</v>
      </c>
      <c r="H1442" s="532">
        <v>376011.735</v>
      </c>
      <c r="I1442" s="532">
        <v>402594.0027</v>
      </c>
      <c r="J1442" s="533">
        <v>349665.743</v>
      </c>
      <c r="K1442" s="220"/>
      <c r="CE1442" s="525"/>
    </row>
    <row r="1443">
      <c r="A1443" s="219"/>
      <c r="B1443" s="886" t="s">
        <v>410</v>
      </c>
      <c r="C1443" s="887" t="s">
        <v>289</v>
      </c>
      <c r="D1443" s="887" t="s">
        <v>450</v>
      </c>
      <c r="E1443" s="888">
        <v>2019.0</v>
      </c>
      <c r="F1443" s="887" t="s">
        <v>291</v>
      </c>
      <c r="G1443" s="887" t="s">
        <v>89</v>
      </c>
      <c r="H1443" s="547">
        <v>153620.5232</v>
      </c>
      <c r="I1443" s="547">
        <v>164473.68</v>
      </c>
      <c r="J1443" s="548">
        <v>142854.5307</v>
      </c>
      <c r="K1443" s="220"/>
      <c r="CE1443" s="525"/>
    </row>
    <row r="1444">
      <c r="A1444" s="219"/>
      <c r="B1444" s="889" t="s">
        <v>410</v>
      </c>
      <c r="C1444" s="890" t="s">
        <v>289</v>
      </c>
      <c r="D1444" s="890" t="s">
        <v>457</v>
      </c>
      <c r="E1444" s="891">
        <v>2019.0</v>
      </c>
      <c r="F1444" s="890" t="s">
        <v>291</v>
      </c>
      <c r="G1444" s="890" t="s">
        <v>89</v>
      </c>
      <c r="H1444" s="532">
        <v>320894.4183</v>
      </c>
      <c r="I1444" s="532">
        <v>343565.3308</v>
      </c>
      <c r="J1444" s="533">
        <v>298405.5812</v>
      </c>
      <c r="K1444" s="220"/>
      <c r="CE1444" s="525"/>
    </row>
    <row r="1445">
      <c r="A1445" s="219"/>
      <c r="B1445" s="886" t="s">
        <v>410</v>
      </c>
      <c r="C1445" s="887" t="s">
        <v>289</v>
      </c>
      <c r="D1445" s="887" t="s">
        <v>463</v>
      </c>
      <c r="E1445" s="888">
        <v>2019.0</v>
      </c>
      <c r="F1445" s="887" t="s">
        <v>291</v>
      </c>
      <c r="G1445" s="887" t="s">
        <v>89</v>
      </c>
      <c r="H1445" s="547">
        <v>167270.315</v>
      </c>
      <c r="I1445" s="547">
        <v>179095.5424</v>
      </c>
      <c r="J1445" s="548">
        <v>155550.1957</v>
      </c>
      <c r="K1445" s="220"/>
      <c r="CE1445" s="525"/>
    </row>
    <row r="1446">
      <c r="A1446" s="219"/>
      <c r="B1446" s="889" t="s">
        <v>410</v>
      </c>
      <c r="C1446" s="890" t="s">
        <v>289</v>
      </c>
      <c r="D1446" s="890" t="s">
        <v>467</v>
      </c>
      <c r="E1446" s="891">
        <v>2019.0</v>
      </c>
      <c r="F1446" s="890" t="s">
        <v>291</v>
      </c>
      <c r="G1446" s="890" t="s">
        <v>89</v>
      </c>
      <c r="H1446" s="532">
        <v>90217.95875</v>
      </c>
      <c r="I1446" s="532">
        <v>96591.77934</v>
      </c>
      <c r="J1446" s="533">
        <v>83895.32783</v>
      </c>
      <c r="K1446" s="220"/>
      <c r="CE1446" s="525"/>
    </row>
    <row r="1447">
      <c r="A1447" s="219"/>
      <c r="B1447" s="886" t="s">
        <v>410</v>
      </c>
      <c r="C1447" s="887" t="s">
        <v>289</v>
      </c>
      <c r="D1447" s="887" t="s">
        <v>473</v>
      </c>
      <c r="E1447" s="888">
        <v>2019.0</v>
      </c>
      <c r="F1447" s="887" t="s">
        <v>291</v>
      </c>
      <c r="G1447" s="887" t="s">
        <v>89</v>
      </c>
      <c r="H1447" s="547">
        <v>136537.8249</v>
      </c>
      <c r="I1447" s="547">
        <v>146190.4094</v>
      </c>
      <c r="J1447" s="548">
        <v>126971.0372</v>
      </c>
      <c r="K1447" s="220"/>
      <c r="CE1447" s="525"/>
    </row>
    <row r="1448">
      <c r="A1448" s="219"/>
      <c r="B1448" s="889" t="s">
        <v>410</v>
      </c>
      <c r="C1448" s="890" t="s">
        <v>289</v>
      </c>
      <c r="D1448" s="890" t="s">
        <v>477</v>
      </c>
      <c r="E1448" s="891">
        <v>2019.0</v>
      </c>
      <c r="F1448" s="890" t="s">
        <v>291</v>
      </c>
      <c r="G1448" s="890" t="s">
        <v>89</v>
      </c>
      <c r="H1448" s="532">
        <v>77055.93629</v>
      </c>
      <c r="I1448" s="532">
        <v>82499.87139</v>
      </c>
      <c r="J1448" s="533">
        <v>71655.72271</v>
      </c>
      <c r="K1448" s="220"/>
      <c r="CE1448" s="525"/>
    </row>
    <row r="1449">
      <c r="A1449" s="219"/>
      <c r="B1449" s="886" t="s">
        <v>410</v>
      </c>
      <c r="C1449" s="887" t="s">
        <v>289</v>
      </c>
      <c r="D1449" s="887" t="s">
        <v>483</v>
      </c>
      <c r="E1449" s="888">
        <v>2019.0</v>
      </c>
      <c r="F1449" s="887" t="s">
        <v>291</v>
      </c>
      <c r="G1449" s="887" t="s">
        <v>89</v>
      </c>
      <c r="H1449" s="547">
        <v>46322.7885</v>
      </c>
      <c r="I1449" s="547">
        <v>49595.45336</v>
      </c>
      <c r="J1449" s="548">
        <v>43076.40719</v>
      </c>
      <c r="K1449" s="220"/>
      <c r="CE1449" s="525"/>
    </row>
    <row r="1450">
      <c r="A1450" s="219"/>
      <c r="B1450" s="889" t="s">
        <v>410</v>
      </c>
      <c r="C1450" s="890" t="s">
        <v>289</v>
      </c>
      <c r="D1450" s="890" t="s">
        <v>489</v>
      </c>
      <c r="E1450" s="891">
        <v>2019.0</v>
      </c>
      <c r="F1450" s="890" t="s">
        <v>291</v>
      </c>
      <c r="G1450" s="890" t="s">
        <v>89</v>
      </c>
      <c r="H1450" s="532">
        <v>30732.49002</v>
      </c>
      <c r="I1450" s="532">
        <v>32905.13306</v>
      </c>
      <c r="J1450" s="533">
        <v>28579.15846</v>
      </c>
      <c r="K1450" s="220"/>
      <c r="CE1450" s="525"/>
    </row>
    <row r="1451">
      <c r="A1451" s="219"/>
      <c r="B1451" s="886" t="s">
        <v>410</v>
      </c>
      <c r="C1451" s="887" t="s">
        <v>289</v>
      </c>
      <c r="D1451" s="887" t="s">
        <v>493</v>
      </c>
      <c r="E1451" s="888">
        <v>2019.0</v>
      </c>
      <c r="F1451" s="887" t="s">
        <v>291</v>
      </c>
      <c r="G1451" s="887" t="s">
        <v>89</v>
      </c>
      <c r="H1451" s="547">
        <v>20993.97858</v>
      </c>
      <c r="I1451" s="547">
        <v>22477.18497</v>
      </c>
      <c r="J1451" s="548">
        <v>19522.68418</v>
      </c>
      <c r="K1451" s="220"/>
      <c r="CE1451" s="525"/>
    </row>
    <row r="1452">
      <c r="A1452" s="219"/>
      <c r="B1452" s="889" t="s">
        <v>410</v>
      </c>
      <c r="C1452" s="890" t="s">
        <v>289</v>
      </c>
      <c r="D1452" s="890" t="s">
        <v>496</v>
      </c>
      <c r="E1452" s="891">
        <v>2019.0</v>
      </c>
      <c r="F1452" s="890" t="s">
        <v>291</v>
      </c>
      <c r="G1452" s="890" t="s">
        <v>89</v>
      </c>
      <c r="H1452" s="532">
        <v>7725.449393</v>
      </c>
      <c r="I1452" s="532">
        <v>8271.245697</v>
      </c>
      <c r="J1452" s="533">
        <v>7184.036509</v>
      </c>
      <c r="K1452" s="220"/>
      <c r="CE1452" s="525"/>
    </row>
    <row r="1453">
      <c r="A1453" s="219"/>
      <c r="B1453" s="886" t="s">
        <v>410</v>
      </c>
      <c r="C1453" s="887" t="s">
        <v>289</v>
      </c>
      <c r="D1453" s="887" t="s">
        <v>502</v>
      </c>
      <c r="E1453" s="888">
        <v>2019.0</v>
      </c>
      <c r="F1453" s="887" t="s">
        <v>291</v>
      </c>
      <c r="G1453" s="887" t="s">
        <v>89</v>
      </c>
      <c r="H1453" s="547">
        <v>2013.719808</v>
      </c>
      <c r="I1453" s="547">
        <v>2155.987366</v>
      </c>
      <c r="J1453" s="548">
        <v>1872.594833</v>
      </c>
      <c r="K1453" s="220"/>
      <c r="CE1453" s="525"/>
    </row>
    <row r="1454">
      <c r="A1454" s="219"/>
      <c r="B1454" s="889" t="s">
        <v>410</v>
      </c>
      <c r="C1454" s="890" t="s">
        <v>289</v>
      </c>
      <c r="D1454" s="890" t="s">
        <v>332</v>
      </c>
      <c r="E1454" s="891">
        <v>2019.0</v>
      </c>
      <c r="F1454" s="890" t="s">
        <v>291</v>
      </c>
      <c r="G1454" s="890" t="s">
        <v>89</v>
      </c>
      <c r="H1454" s="532">
        <v>1.844223848E7</v>
      </c>
      <c r="I1454" s="532">
        <v>1.974516665E7</v>
      </c>
      <c r="J1454" s="533">
        <v>1.714977444E7</v>
      </c>
      <c r="K1454" s="220"/>
      <c r="CE1454" s="525"/>
    </row>
    <row r="1455">
      <c r="A1455" s="219"/>
      <c r="B1455" s="886" t="s">
        <v>410</v>
      </c>
      <c r="C1455" s="887" t="s">
        <v>289</v>
      </c>
      <c r="D1455" s="887" t="s">
        <v>510</v>
      </c>
      <c r="E1455" s="888">
        <v>2019.0</v>
      </c>
      <c r="F1455" s="887" t="s">
        <v>291</v>
      </c>
      <c r="G1455" s="887" t="s">
        <v>89</v>
      </c>
      <c r="H1455" s="547">
        <v>545117.3018</v>
      </c>
      <c r="I1455" s="547">
        <v>600718.3616</v>
      </c>
      <c r="J1455" s="548">
        <v>498506.5718</v>
      </c>
      <c r="K1455" s="220"/>
      <c r="CE1455" s="525"/>
    </row>
    <row r="1456">
      <c r="A1456" s="219"/>
      <c r="B1456" s="889" t="s">
        <v>410</v>
      </c>
      <c r="C1456" s="890" t="s">
        <v>289</v>
      </c>
      <c r="D1456" s="890" t="s">
        <v>512</v>
      </c>
      <c r="E1456" s="891">
        <v>2019.0</v>
      </c>
      <c r="F1456" s="890" t="s">
        <v>291</v>
      </c>
      <c r="G1456" s="890" t="s">
        <v>89</v>
      </c>
      <c r="H1456" s="532">
        <v>10430.22958</v>
      </c>
      <c r="I1456" s="532">
        <v>11167.11626</v>
      </c>
      <c r="J1456" s="533">
        <v>9699.261009</v>
      </c>
      <c r="K1456" s="220"/>
      <c r="CE1456" s="525"/>
    </row>
    <row r="1457">
      <c r="A1457" s="219"/>
      <c r="B1457" s="886" t="s">
        <v>410</v>
      </c>
      <c r="C1457" s="887" t="s">
        <v>289</v>
      </c>
      <c r="D1457" s="887" t="s">
        <v>515</v>
      </c>
      <c r="E1457" s="888">
        <v>2019.0</v>
      </c>
      <c r="F1457" s="887" t="s">
        <v>291</v>
      </c>
      <c r="G1457" s="887" t="s">
        <v>89</v>
      </c>
      <c r="H1457" s="547">
        <v>30860.30188</v>
      </c>
      <c r="I1457" s="547">
        <v>33040.55546</v>
      </c>
      <c r="J1457" s="548">
        <v>28697.55843</v>
      </c>
      <c r="K1457" s="220"/>
      <c r="CE1457" s="525"/>
    </row>
    <row r="1458">
      <c r="A1458" s="219"/>
      <c r="B1458" s="889" t="s">
        <v>410</v>
      </c>
      <c r="C1458" s="890" t="s">
        <v>289</v>
      </c>
      <c r="D1458" s="890" t="s">
        <v>518</v>
      </c>
      <c r="E1458" s="891">
        <v>2019.0</v>
      </c>
      <c r="F1458" s="890" t="s">
        <v>291</v>
      </c>
      <c r="G1458" s="890" t="s">
        <v>89</v>
      </c>
      <c r="H1458" s="532">
        <v>41290.53145</v>
      </c>
      <c r="I1458" s="532">
        <v>44207.67171</v>
      </c>
      <c r="J1458" s="533">
        <v>38396.81944</v>
      </c>
      <c r="K1458" s="220"/>
      <c r="CE1458" s="525"/>
    </row>
    <row r="1459">
      <c r="A1459" s="219"/>
      <c r="B1459" s="886" t="s">
        <v>410</v>
      </c>
      <c r="C1459" s="887" t="s">
        <v>289</v>
      </c>
      <c r="D1459" s="887" t="s">
        <v>522</v>
      </c>
      <c r="E1459" s="888">
        <v>2019.0</v>
      </c>
      <c r="F1459" s="887" t="s">
        <v>291</v>
      </c>
      <c r="G1459" s="887" t="s">
        <v>89</v>
      </c>
      <c r="H1459" s="547">
        <v>482959.0593</v>
      </c>
      <c r="I1459" s="547">
        <v>517079.6983</v>
      </c>
      <c r="J1459" s="548">
        <v>449112.4513</v>
      </c>
      <c r="K1459" s="220"/>
      <c r="CE1459" s="525"/>
    </row>
    <row r="1460">
      <c r="A1460" s="219"/>
      <c r="B1460" s="889" t="s">
        <v>410</v>
      </c>
      <c r="C1460" s="890" t="s">
        <v>289</v>
      </c>
      <c r="D1460" s="890" t="s">
        <v>302</v>
      </c>
      <c r="E1460" s="891">
        <v>2019.0</v>
      </c>
      <c r="F1460" s="890" t="s">
        <v>291</v>
      </c>
      <c r="G1460" s="890" t="s">
        <v>89</v>
      </c>
      <c r="H1460" s="532">
        <v>2586010.807</v>
      </c>
      <c r="I1460" s="532">
        <v>2768710.229</v>
      </c>
      <c r="J1460" s="533">
        <v>2404778.687</v>
      </c>
      <c r="K1460" s="220"/>
      <c r="CE1460" s="525"/>
    </row>
    <row r="1461">
      <c r="A1461" s="219"/>
      <c r="B1461" s="886" t="s">
        <v>465</v>
      </c>
      <c r="C1461" s="887" t="s">
        <v>289</v>
      </c>
      <c r="D1461" s="887" t="s">
        <v>290</v>
      </c>
      <c r="E1461" s="888">
        <v>2019.0</v>
      </c>
      <c r="F1461" s="887" t="s">
        <v>291</v>
      </c>
      <c r="G1461" s="887" t="s">
        <v>89</v>
      </c>
      <c r="H1461" s="547">
        <v>902015.0283</v>
      </c>
      <c r="I1461" s="547">
        <v>1023462.044</v>
      </c>
      <c r="J1461" s="548">
        <v>787136.1344</v>
      </c>
      <c r="K1461" s="220"/>
      <c r="CE1461" s="525"/>
    </row>
    <row r="1462">
      <c r="A1462" s="219"/>
      <c r="B1462" s="889" t="s">
        <v>465</v>
      </c>
      <c r="C1462" s="890" t="s">
        <v>289</v>
      </c>
      <c r="D1462" s="890" t="s">
        <v>310</v>
      </c>
      <c r="E1462" s="891">
        <v>2019.0</v>
      </c>
      <c r="F1462" s="890" t="s">
        <v>291</v>
      </c>
      <c r="G1462" s="890" t="s">
        <v>89</v>
      </c>
      <c r="H1462" s="532">
        <v>1.277574858E7</v>
      </c>
      <c r="I1462" s="532">
        <v>1.44958713E7</v>
      </c>
      <c r="J1462" s="533">
        <v>1.114865389E7</v>
      </c>
      <c r="K1462" s="220"/>
      <c r="CE1462" s="525"/>
    </row>
    <row r="1463">
      <c r="A1463" s="219"/>
      <c r="B1463" s="886" t="s">
        <v>465</v>
      </c>
      <c r="C1463" s="887" t="s">
        <v>289</v>
      </c>
      <c r="D1463" s="887" t="s">
        <v>318</v>
      </c>
      <c r="E1463" s="888">
        <v>2019.0</v>
      </c>
      <c r="F1463" s="887" t="s">
        <v>291</v>
      </c>
      <c r="G1463" s="887" t="s">
        <v>89</v>
      </c>
      <c r="H1463" s="547">
        <v>1.032664194E7</v>
      </c>
      <c r="I1463" s="547">
        <v>1.171701772E7</v>
      </c>
      <c r="J1463" s="548">
        <v>9011460.743</v>
      </c>
      <c r="K1463" s="220"/>
      <c r="CE1463" s="525"/>
    </row>
    <row r="1464">
      <c r="A1464" s="219"/>
      <c r="B1464" s="889" t="s">
        <v>465</v>
      </c>
      <c r="C1464" s="890" t="s">
        <v>289</v>
      </c>
      <c r="D1464" s="890" t="s">
        <v>309</v>
      </c>
      <c r="E1464" s="891">
        <v>2019.0</v>
      </c>
      <c r="F1464" s="890" t="s">
        <v>291</v>
      </c>
      <c r="G1464" s="890" t="s">
        <v>89</v>
      </c>
      <c r="H1464" s="532">
        <v>3162317.063</v>
      </c>
      <c r="I1464" s="532">
        <v>3588090.425</v>
      </c>
      <c r="J1464" s="533">
        <v>2759570.462</v>
      </c>
      <c r="K1464" s="220"/>
      <c r="CE1464" s="525"/>
    </row>
    <row r="1465">
      <c r="A1465" s="219"/>
      <c r="B1465" s="886" t="s">
        <v>465</v>
      </c>
      <c r="C1465" s="887" t="s">
        <v>289</v>
      </c>
      <c r="D1465" s="887" t="s">
        <v>334</v>
      </c>
      <c r="E1465" s="888">
        <v>2019.0</v>
      </c>
      <c r="F1465" s="887" t="s">
        <v>291</v>
      </c>
      <c r="G1465" s="887" t="s">
        <v>89</v>
      </c>
      <c r="H1465" s="547">
        <v>2875320.503</v>
      </c>
      <c r="I1465" s="547">
        <v>3262452.74</v>
      </c>
      <c r="J1465" s="548">
        <v>2509125.231</v>
      </c>
      <c r="K1465" s="220"/>
      <c r="CE1465" s="525"/>
    </row>
    <row r="1466">
      <c r="A1466" s="219"/>
      <c r="B1466" s="889" t="s">
        <v>465</v>
      </c>
      <c r="C1466" s="890" t="s">
        <v>289</v>
      </c>
      <c r="D1466" s="890" t="s">
        <v>339</v>
      </c>
      <c r="E1466" s="891">
        <v>2019.0</v>
      </c>
      <c r="F1466" s="890" t="s">
        <v>291</v>
      </c>
      <c r="G1466" s="890" t="s">
        <v>89</v>
      </c>
      <c r="H1466" s="532">
        <v>5324427.148</v>
      </c>
      <c r="I1466" s="532">
        <v>6041306.323</v>
      </c>
      <c r="J1466" s="533">
        <v>4646318.378</v>
      </c>
      <c r="K1466" s="220"/>
      <c r="CE1466" s="525"/>
    </row>
    <row r="1467">
      <c r="A1467" s="219"/>
      <c r="B1467" s="886" t="s">
        <v>465</v>
      </c>
      <c r="C1467" s="887" t="s">
        <v>289</v>
      </c>
      <c r="D1467" s="887" t="s">
        <v>344</v>
      </c>
      <c r="E1467" s="888">
        <v>2019.0</v>
      </c>
      <c r="F1467" s="887" t="s">
        <v>291</v>
      </c>
      <c r="G1467" s="887" t="s">
        <v>89</v>
      </c>
      <c r="H1467" s="547">
        <v>7296845.167</v>
      </c>
      <c r="I1467" s="547">
        <v>8279290.076</v>
      </c>
      <c r="J1467" s="548">
        <v>6367533.043</v>
      </c>
      <c r="K1467" s="220"/>
      <c r="CE1467" s="525"/>
    </row>
    <row r="1468">
      <c r="A1468" s="219"/>
      <c r="B1468" s="889" t="s">
        <v>465</v>
      </c>
      <c r="C1468" s="890" t="s">
        <v>289</v>
      </c>
      <c r="D1468" s="890" t="s">
        <v>349</v>
      </c>
      <c r="E1468" s="891">
        <v>2019.0</v>
      </c>
      <c r="F1468" s="890" t="s">
        <v>291</v>
      </c>
      <c r="G1468" s="890" t="s">
        <v>89</v>
      </c>
      <c r="H1468" s="532">
        <v>2449106.645</v>
      </c>
      <c r="I1468" s="532">
        <v>2778853.583</v>
      </c>
      <c r="J1468" s="533">
        <v>2137193.147</v>
      </c>
      <c r="K1468" s="220"/>
      <c r="CE1468" s="525"/>
    </row>
    <row r="1469">
      <c r="A1469" s="219"/>
      <c r="B1469" s="886" t="s">
        <v>465</v>
      </c>
      <c r="C1469" s="887" t="s">
        <v>289</v>
      </c>
      <c r="D1469" s="887" t="s">
        <v>355</v>
      </c>
      <c r="E1469" s="888">
        <v>2019.0</v>
      </c>
      <c r="F1469" s="887" t="s">
        <v>291</v>
      </c>
      <c r="G1469" s="887" t="s">
        <v>89</v>
      </c>
      <c r="H1469" s="547">
        <v>8173574.488</v>
      </c>
      <c r="I1469" s="547">
        <v>9275162.007</v>
      </c>
      <c r="J1469" s="548">
        <v>7132993.324</v>
      </c>
      <c r="K1469" s="220"/>
      <c r="CE1469" s="525"/>
    </row>
    <row r="1470">
      <c r="A1470" s="219"/>
      <c r="B1470" s="889" t="s">
        <v>465</v>
      </c>
      <c r="C1470" s="890" t="s">
        <v>289</v>
      </c>
      <c r="D1470" s="890" t="s">
        <v>358</v>
      </c>
      <c r="E1470" s="891">
        <v>2019.0</v>
      </c>
      <c r="F1470" s="890" t="s">
        <v>291</v>
      </c>
      <c r="G1470" s="890" t="s">
        <v>89</v>
      </c>
      <c r="H1470" s="532">
        <v>9656297.865</v>
      </c>
      <c r="I1470" s="532">
        <v>1.095641873E7</v>
      </c>
      <c r="J1470" s="533">
        <v>8426490.398</v>
      </c>
      <c r="K1470" s="220"/>
      <c r="CE1470" s="525"/>
    </row>
    <row r="1471">
      <c r="A1471" s="219"/>
      <c r="B1471" s="886" t="s">
        <v>465</v>
      </c>
      <c r="C1471" s="887" t="s">
        <v>289</v>
      </c>
      <c r="D1471" s="887" t="s">
        <v>362</v>
      </c>
      <c r="E1471" s="888">
        <v>2019.0</v>
      </c>
      <c r="F1471" s="887" t="s">
        <v>291</v>
      </c>
      <c r="G1471" s="887" t="s">
        <v>89</v>
      </c>
      <c r="H1471" s="547">
        <v>9140955.268</v>
      </c>
      <c r="I1471" s="547">
        <v>1.037292082E7</v>
      </c>
      <c r="J1471" s="548">
        <v>7977216.455</v>
      </c>
      <c r="K1471" s="220"/>
      <c r="CE1471" s="525"/>
    </row>
    <row r="1472">
      <c r="A1472" s="219"/>
      <c r="B1472" s="889" t="s">
        <v>465</v>
      </c>
      <c r="C1472" s="890" t="s">
        <v>289</v>
      </c>
      <c r="D1472" s="890" t="s">
        <v>366</v>
      </c>
      <c r="E1472" s="891">
        <v>2019.0</v>
      </c>
      <c r="F1472" s="890" t="s">
        <v>291</v>
      </c>
      <c r="G1472" s="890" t="s">
        <v>89</v>
      </c>
      <c r="H1472" s="532">
        <v>1972418.019</v>
      </c>
      <c r="I1472" s="532">
        <v>2237983.753</v>
      </c>
      <c r="J1472" s="533">
        <v>1721214.665</v>
      </c>
      <c r="K1472" s="220"/>
      <c r="CE1472" s="525"/>
    </row>
    <row r="1473">
      <c r="A1473" s="219"/>
      <c r="B1473" s="886" t="s">
        <v>465</v>
      </c>
      <c r="C1473" s="887" t="s">
        <v>289</v>
      </c>
      <c r="D1473" s="887" t="s">
        <v>368</v>
      </c>
      <c r="E1473" s="888">
        <v>2019.0</v>
      </c>
      <c r="F1473" s="887" t="s">
        <v>291</v>
      </c>
      <c r="G1473" s="887" t="s">
        <v>89</v>
      </c>
      <c r="H1473" s="547">
        <v>7169300.384</v>
      </c>
      <c r="I1473" s="547">
        <v>8134572.704</v>
      </c>
      <c r="J1473" s="548">
        <v>6256232.118</v>
      </c>
      <c r="K1473" s="220"/>
      <c r="CE1473" s="525"/>
    </row>
    <row r="1474">
      <c r="A1474" s="219"/>
      <c r="B1474" s="889" t="s">
        <v>465</v>
      </c>
      <c r="C1474" s="890" t="s">
        <v>289</v>
      </c>
      <c r="D1474" s="890" t="s">
        <v>373</v>
      </c>
      <c r="E1474" s="891">
        <v>2019.0</v>
      </c>
      <c r="F1474" s="890" t="s">
        <v>291</v>
      </c>
      <c r="G1474" s="890" t="s">
        <v>89</v>
      </c>
      <c r="H1474" s="532">
        <v>1539766.998</v>
      </c>
      <c r="I1474" s="532">
        <v>1747080.736</v>
      </c>
      <c r="J1474" s="533">
        <v>1343665.244</v>
      </c>
      <c r="K1474" s="220"/>
      <c r="CE1474" s="525"/>
    </row>
    <row r="1475">
      <c r="A1475" s="219"/>
      <c r="B1475" s="886" t="s">
        <v>465</v>
      </c>
      <c r="C1475" s="887" t="s">
        <v>289</v>
      </c>
      <c r="D1475" s="887" t="s">
        <v>379</v>
      </c>
      <c r="E1475" s="888">
        <v>2019.0</v>
      </c>
      <c r="F1475" s="887" t="s">
        <v>291</v>
      </c>
      <c r="G1475" s="887" t="s">
        <v>89</v>
      </c>
      <c r="H1475" s="547">
        <v>5234336.212</v>
      </c>
      <c r="I1475" s="547">
        <v>5939790.043</v>
      </c>
      <c r="J1475" s="548">
        <v>4567950.693</v>
      </c>
      <c r="K1475" s="220"/>
      <c r="CE1475" s="525"/>
    </row>
    <row r="1476">
      <c r="A1476" s="219"/>
      <c r="B1476" s="889" t="s">
        <v>465</v>
      </c>
      <c r="C1476" s="890" t="s">
        <v>289</v>
      </c>
      <c r="D1476" s="890" t="s">
        <v>382</v>
      </c>
      <c r="E1476" s="891">
        <v>2019.0</v>
      </c>
      <c r="F1476" s="890" t="s">
        <v>291</v>
      </c>
      <c r="G1476" s="890" t="s">
        <v>89</v>
      </c>
      <c r="H1476" s="532">
        <v>1218996.013</v>
      </c>
      <c r="I1476" s="532">
        <v>1383121.248</v>
      </c>
      <c r="J1476" s="533">
        <v>1063747.033</v>
      </c>
      <c r="K1476" s="220"/>
      <c r="CE1476" s="525"/>
    </row>
    <row r="1477">
      <c r="A1477" s="219"/>
      <c r="B1477" s="886" t="s">
        <v>465</v>
      </c>
      <c r="C1477" s="887" t="s">
        <v>289</v>
      </c>
      <c r="D1477" s="887" t="s">
        <v>387</v>
      </c>
      <c r="E1477" s="888">
        <v>2019.0</v>
      </c>
      <c r="F1477" s="887" t="s">
        <v>291</v>
      </c>
      <c r="G1477" s="887" t="s">
        <v>89</v>
      </c>
      <c r="H1477" s="547">
        <v>993969.1856</v>
      </c>
      <c r="I1477" s="547">
        <v>1127796.88</v>
      </c>
      <c r="J1477" s="548">
        <v>867379.1877</v>
      </c>
      <c r="K1477" s="220"/>
      <c r="CE1477" s="525"/>
    </row>
    <row r="1478">
      <c r="A1478" s="219"/>
      <c r="B1478" s="889" t="s">
        <v>465</v>
      </c>
      <c r="C1478" s="890" t="s">
        <v>289</v>
      </c>
      <c r="D1478" s="890" t="s">
        <v>392</v>
      </c>
      <c r="E1478" s="891">
        <v>2019.0</v>
      </c>
      <c r="F1478" s="890" t="s">
        <v>291</v>
      </c>
      <c r="G1478" s="890" t="s">
        <v>89</v>
      </c>
      <c r="H1478" s="532">
        <v>818125.4342</v>
      </c>
      <c r="I1478" s="532">
        <v>928277.5821</v>
      </c>
      <c r="J1478" s="533">
        <v>713930.5572</v>
      </c>
      <c r="K1478" s="220"/>
      <c r="CE1478" s="525"/>
    </row>
    <row r="1479">
      <c r="A1479" s="219"/>
      <c r="B1479" s="886" t="s">
        <v>465</v>
      </c>
      <c r="C1479" s="887" t="s">
        <v>289</v>
      </c>
      <c r="D1479" s="887" t="s">
        <v>398</v>
      </c>
      <c r="E1479" s="888">
        <v>2019.0</v>
      </c>
      <c r="F1479" s="887" t="s">
        <v>291</v>
      </c>
      <c r="G1479" s="887" t="s">
        <v>89</v>
      </c>
      <c r="H1479" s="547">
        <v>663915.5701</v>
      </c>
      <c r="I1479" s="547">
        <v>753304.9509</v>
      </c>
      <c r="J1479" s="548">
        <v>579360.5639</v>
      </c>
      <c r="K1479" s="220"/>
      <c r="CE1479" s="525"/>
    </row>
    <row r="1480">
      <c r="A1480" s="219"/>
      <c r="B1480" s="889" t="s">
        <v>465</v>
      </c>
      <c r="C1480" s="890" t="s">
        <v>289</v>
      </c>
      <c r="D1480" s="890" t="s">
        <v>402</v>
      </c>
      <c r="E1480" s="891">
        <v>2019.0</v>
      </c>
      <c r="F1480" s="890" t="s">
        <v>291</v>
      </c>
      <c r="G1480" s="890" t="s">
        <v>89</v>
      </c>
      <c r="H1480" s="532">
        <v>8710689.279</v>
      </c>
      <c r="I1480" s="532">
        <v>9884666.05</v>
      </c>
      <c r="J1480" s="533">
        <v>7601727.807</v>
      </c>
      <c r="K1480" s="220"/>
      <c r="CE1480" s="525"/>
    </row>
    <row r="1481">
      <c r="A1481" s="219"/>
      <c r="B1481" s="886" t="s">
        <v>465</v>
      </c>
      <c r="C1481" s="887" t="s">
        <v>289</v>
      </c>
      <c r="D1481" s="887" t="s">
        <v>407</v>
      </c>
      <c r="E1481" s="888">
        <v>2019.0</v>
      </c>
      <c r="F1481" s="887" t="s">
        <v>291</v>
      </c>
      <c r="G1481" s="887" t="s">
        <v>89</v>
      </c>
      <c r="H1481" s="547">
        <v>3386989.345</v>
      </c>
      <c r="I1481" s="547">
        <v>3843012.511</v>
      </c>
      <c r="J1481" s="548">
        <v>2955628.916</v>
      </c>
      <c r="K1481" s="220"/>
      <c r="CE1481" s="525"/>
    </row>
    <row r="1482">
      <c r="A1482" s="219"/>
      <c r="B1482" s="889" t="s">
        <v>465</v>
      </c>
      <c r="C1482" s="890" t="s">
        <v>289</v>
      </c>
      <c r="D1482" s="890" t="s">
        <v>414</v>
      </c>
      <c r="E1482" s="891">
        <v>2019.0</v>
      </c>
      <c r="F1482" s="890" t="s">
        <v>291</v>
      </c>
      <c r="G1482" s="890" t="s">
        <v>89</v>
      </c>
      <c r="H1482" s="532">
        <v>538983.5318</v>
      </c>
      <c r="I1482" s="532">
        <v>611552.1028</v>
      </c>
      <c r="J1482" s="533">
        <v>470339.629</v>
      </c>
      <c r="K1482" s="220"/>
      <c r="CE1482" s="525"/>
    </row>
    <row r="1483">
      <c r="A1483" s="219"/>
      <c r="B1483" s="886" t="s">
        <v>465</v>
      </c>
      <c r="C1483" s="887" t="s">
        <v>289</v>
      </c>
      <c r="D1483" s="887" t="s">
        <v>417</v>
      </c>
      <c r="E1483" s="888">
        <v>2019.0</v>
      </c>
      <c r="F1483" s="887" t="s">
        <v>291</v>
      </c>
      <c r="G1483" s="887" t="s">
        <v>89</v>
      </c>
      <c r="H1483" s="547">
        <v>1559181.296</v>
      </c>
      <c r="I1483" s="547">
        <v>1769108.969</v>
      </c>
      <c r="J1483" s="548">
        <v>1360606.974</v>
      </c>
      <c r="K1483" s="220"/>
      <c r="CE1483" s="525"/>
    </row>
    <row r="1484">
      <c r="A1484" s="219"/>
      <c r="B1484" s="889" t="s">
        <v>465</v>
      </c>
      <c r="C1484" s="890" t="s">
        <v>289</v>
      </c>
      <c r="D1484" s="890" t="s">
        <v>300</v>
      </c>
      <c r="E1484" s="891">
        <v>2019.0</v>
      </c>
      <c r="F1484" s="890" t="s">
        <v>291</v>
      </c>
      <c r="G1484" s="890" t="s">
        <v>89</v>
      </c>
      <c r="H1484" s="532">
        <v>6262309.848</v>
      </c>
      <c r="I1484" s="532">
        <v>7105465.251</v>
      </c>
      <c r="J1484" s="533">
        <v>5464754.147</v>
      </c>
      <c r="K1484" s="220"/>
      <c r="CE1484" s="525"/>
    </row>
    <row r="1485">
      <c r="A1485" s="219"/>
      <c r="B1485" s="886" t="s">
        <v>465</v>
      </c>
      <c r="C1485" s="887" t="s">
        <v>289</v>
      </c>
      <c r="D1485" s="887" t="s">
        <v>429</v>
      </c>
      <c r="E1485" s="888">
        <v>2019.0</v>
      </c>
      <c r="F1485" s="887" t="s">
        <v>291</v>
      </c>
      <c r="G1485" s="887" t="s">
        <v>89</v>
      </c>
      <c r="H1485" s="547">
        <v>1395427.154</v>
      </c>
      <c r="I1485" s="547">
        <v>1583494.827</v>
      </c>
      <c r="J1485" s="548">
        <v>1217774.743</v>
      </c>
      <c r="K1485" s="220"/>
      <c r="CE1485" s="525"/>
    </row>
    <row r="1486">
      <c r="A1486" s="219"/>
      <c r="B1486" s="889" t="s">
        <v>465</v>
      </c>
      <c r="C1486" s="890" t="s">
        <v>289</v>
      </c>
      <c r="D1486" s="890" t="s">
        <v>432</v>
      </c>
      <c r="E1486" s="891">
        <v>2019.0</v>
      </c>
      <c r="F1486" s="890" t="s">
        <v>291</v>
      </c>
      <c r="G1486" s="890" t="s">
        <v>89</v>
      </c>
      <c r="H1486" s="532">
        <v>432362.5744</v>
      </c>
      <c r="I1486" s="532">
        <v>490575.7337</v>
      </c>
      <c r="J1486" s="533">
        <v>377297.711</v>
      </c>
      <c r="K1486" s="220"/>
      <c r="CE1486" s="525"/>
    </row>
    <row r="1487">
      <c r="A1487" s="219"/>
      <c r="B1487" s="886" t="s">
        <v>465</v>
      </c>
      <c r="C1487" s="887" t="s">
        <v>289</v>
      </c>
      <c r="D1487" s="887" t="s">
        <v>435</v>
      </c>
      <c r="E1487" s="888">
        <v>2019.0</v>
      </c>
      <c r="F1487" s="887" t="s">
        <v>291</v>
      </c>
      <c r="G1487" s="887" t="s">
        <v>89</v>
      </c>
      <c r="H1487" s="547">
        <v>338143.5444</v>
      </c>
      <c r="I1487" s="547">
        <v>383671.0835</v>
      </c>
      <c r="J1487" s="548">
        <v>295078.2349</v>
      </c>
      <c r="K1487" s="220"/>
      <c r="CE1487" s="525"/>
    </row>
    <row r="1488">
      <c r="A1488" s="219"/>
      <c r="B1488" s="889" t="s">
        <v>465</v>
      </c>
      <c r="C1488" s="890" t="s">
        <v>289</v>
      </c>
      <c r="D1488" s="890" t="s">
        <v>442</v>
      </c>
      <c r="E1488" s="891">
        <v>2019.0</v>
      </c>
      <c r="F1488" s="890" t="s">
        <v>291</v>
      </c>
      <c r="G1488" s="890" t="s">
        <v>89</v>
      </c>
      <c r="H1488" s="532">
        <v>249691.6451</v>
      </c>
      <c r="I1488" s="532">
        <v>283310.0487</v>
      </c>
      <c r="J1488" s="533">
        <v>217891.3989</v>
      </c>
      <c r="K1488" s="220"/>
      <c r="CE1488" s="525"/>
    </row>
    <row r="1489">
      <c r="A1489" s="219"/>
      <c r="B1489" s="886" t="s">
        <v>465</v>
      </c>
      <c r="C1489" s="887" t="s">
        <v>289</v>
      </c>
      <c r="D1489" s="887" t="s">
        <v>445</v>
      </c>
      <c r="E1489" s="888">
        <v>2019.0</v>
      </c>
      <c r="F1489" s="887" t="s">
        <v>291</v>
      </c>
      <c r="G1489" s="887" t="s">
        <v>89</v>
      </c>
      <c r="H1489" s="547">
        <v>422400.553</v>
      </c>
      <c r="I1489" s="547">
        <v>479329.2783</v>
      </c>
      <c r="J1489" s="548">
        <v>368624.563</v>
      </c>
      <c r="K1489" s="220"/>
      <c r="CE1489" s="525"/>
    </row>
    <row r="1490">
      <c r="A1490" s="219"/>
      <c r="B1490" s="889" t="s">
        <v>465</v>
      </c>
      <c r="C1490" s="890" t="s">
        <v>289</v>
      </c>
      <c r="D1490" s="890" t="s">
        <v>450</v>
      </c>
      <c r="E1490" s="891">
        <v>2019.0</v>
      </c>
      <c r="F1490" s="890" t="s">
        <v>291</v>
      </c>
      <c r="G1490" s="890" t="s">
        <v>89</v>
      </c>
      <c r="H1490" s="532">
        <v>172744.1721</v>
      </c>
      <c r="I1490" s="532">
        <v>196002.3923</v>
      </c>
      <c r="J1490" s="533">
        <v>150743.8075</v>
      </c>
      <c r="K1490" s="220"/>
      <c r="CE1490" s="525"/>
    </row>
    <row r="1491">
      <c r="A1491" s="219"/>
      <c r="B1491" s="886" t="s">
        <v>465</v>
      </c>
      <c r="C1491" s="887" t="s">
        <v>289</v>
      </c>
      <c r="D1491" s="887" t="s">
        <v>457</v>
      </c>
      <c r="E1491" s="888">
        <v>2019.0</v>
      </c>
      <c r="F1491" s="887" t="s">
        <v>291</v>
      </c>
      <c r="G1491" s="887" t="s">
        <v>89</v>
      </c>
      <c r="H1491" s="547">
        <v>375345.8872</v>
      </c>
      <c r="I1491" s="547">
        <v>425882.3379</v>
      </c>
      <c r="J1491" s="548">
        <v>327542.5591</v>
      </c>
      <c r="K1491" s="220"/>
      <c r="CE1491" s="525"/>
    </row>
    <row r="1492">
      <c r="A1492" s="219"/>
      <c r="B1492" s="889" t="s">
        <v>465</v>
      </c>
      <c r="C1492" s="890" t="s">
        <v>289</v>
      </c>
      <c r="D1492" s="890" t="s">
        <v>463</v>
      </c>
      <c r="E1492" s="891">
        <v>2019.0</v>
      </c>
      <c r="F1492" s="890" t="s">
        <v>291</v>
      </c>
      <c r="G1492" s="890" t="s">
        <v>89</v>
      </c>
      <c r="H1492" s="532">
        <v>202584.8023</v>
      </c>
      <c r="I1492" s="532">
        <v>229888.0208</v>
      </c>
      <c r="J1492" s="533">
        <v>176793.647</v>
      </c>
      <c r="K1492" s="220"/>
      <c r="CE1492" s="525"/>
    </row>
    <row r="1493">
      <c r="A1493" s="219"/>
      <c r="B1493" s="886" t="s">
        <v>465</v>
      </c>
      <c r="C1493" s="887" t="s">
        <v>289</v>
      </c>
      <c r="D1493" s="887" t="s">
        <v>467</v>
      </c>
      <c r="E1493" s="888">
        <v>2019.0</v>
      </c>
      <c r="F1493" s="887" t="s">
        <v>291</v>
      </c>
      <c r="G1493" s="887" t="s">
        <v>89</v>
      </c>
      <c r="H1493" s="547">
        <v>106532.5832</v>
      </c>
      <c r="I1493" s="547">
        <v>120876.0963</v>
      </c>
      <c r="J1493" s="548">
        <v>92964.79892</v>
      </c>
      <c r="K1493" s="220"/>
      <c r="CE1493" s="525"/>
    </row>
    <row r="1494">
      <c r="A1494" s="219"/>
      <c r="B1494" s="889" t="s">
        <v>465</v>
      </c>
      <c r="C1494" s="890" t="s">
        <v>289</v>
      </c>
      <c r="D1494" s="890" t="s">
        <v>473</v>
      </c>
      <c r="E1494" s="891">
        <v>2019.0</v>
      </c>
      <c r="F1494" s="890" t="s">
        <v>291</v>
      </c>
      <c r="G1494" s="890" t="s">
        <v>89</v>
      </c>
      <c r="H1494" s="532">
        <v>164996.1029</v>
      </c>
      <c r="I1494" s="532">
        <v>187233.3319</v>
      </c>
      <c r="J1494" s="533">
        <v>143990.3804</v>
      </c>
      <c r="K1494" s="220"/>
      <c r="CE1494" s="525"/>
    </row>
    <row r="1495">
      <c r="A1495" s="219"/>
      <c r="B1495" s="886" t="s">
        <v>465</v>
      </c>
      <c r="C1495" s="887" t="s">
        <v>289</v>
      </c>
      <c r="D1495" s="887" t="s">
        <v>477</v>
      </c>
      <c r="E1495" s="888">
        <v>2019.0</v>
      </c>
      <c r="F1495" s="887" t="s">
        <v>291</v>
      </c>
      <c r="G1495" s="887" t="s">
        <v>89</v>
      </c>
      <c r="H1495" s="547">
        <v>96069.13196</v>
      </c>
      <c r="I1495" s="547">
        <v>109003.8493</v>
      </c>
      <c r="J1495" s="548">
        <v>83833.95265</v>
      </c>
      <c r="K1495" s="220"/>
      <c r="CE1495" s="525"/>
    </row>
    <row r="1496">
      <c r="A1496" s="219"/>
      <c r="B1496" s="889" t="s">
        <v>465</v>
      </c>
      <c r="C1496" s="890" t="s">
        <v>289</v>
      </c>
      <c r="D1496" s="890" t="s">
        <v>483</v>
      </c>
      <c r="E1496" s="891">
        <v>2019.0</v>
      </c>
      <c r="F1496" s="890" t="s">
        <v>291</v>
      </c>
      <c r="G1496" s="890" t="s">
        <v>89</v>
      </c>
      <c r="H1496" s="532">
        <v>58477.29441</v>
      </c>
      <c r="I1496" s="532">
        <v>66350.6587</v>
      </c>
      <c r="J1496" s="533">
        <v>51029.739</v>
      </c>
      <c r="K1496" s="220"/>
      <c r="CE1496" s="525"/>
    </row>
    <row r="1497">
      <c r="A1497" s="219"/>
      <c r="B1497" s="886" t="s">
        <v>465</v>
      </c>
      <c r="C1497" s="887" t="s">
        <v>289</v>
      </c>
      <c r="D1497" s="887" t="s">
        <v>489</v>
      </c>
      <c r="E1497" s="888">
        <v>2019.0</v>
      </c>
      <c r="F1497" s="887" t="s">
        <v>291</v>
      </c>
      <c r="G1497" s="887" t="s">
        <v>89</v>
      </c>
      <c r="H1497" s="547">
        <v>37588.69945</v>
      </c>
      <c r="I1497" s="547">
        <v>42654.6889</v>
      </c>
      <c r="J1497" s="548">
        <v>32803.2665</v>
      </c>
      <c r="K1497" s="220"/>
      <c r="CE1497" s="525"/>
    </row>
    <row r="1498">
      <c r="A1498" s="219"/>
      <c r="B1498" s="889" t="s">
        <v>465</v>
      </c>
      <c r="C1498" s="890" t="s">
        <v>289</v>
      </c>
      <c r="D1498" s="890" t="s">
        <v>493</v>
      </c>
      <c r="E1498" s="891">
        <v>2019.0</v>
      </c>
      <c r="F1498" s="890" t="s">
        <v>291</v>
      </c>
      <c r="G1498" s="890" t="s">
        <v>89</v>
      </c>
      <c r="H1498" s="532">
        <v>26629.64949</v>
      </c>
      <c r="I1498" s="532">
        <v>30215.05702</v>
      </c>
      <c r="J1498" s="533">
        <v>23238.14871</v>
      </c>
      <c r="K1498" s="220"/>
      <c r="CE1498" s="525"/>
    </row>
    <row r="1499">
      <c r="A1499" s="219"/>
      <c r="B1499" s="886" t="s">
        <v>465</v>
      </c>
      <c r="C1499" s="887" t="s">
        <v>289</v>
      </c>
      <c r="D1499" s="887" t="s">
        <v>496</v>
      </c>
      <c r="E1499" s="888">
        <v>2019.0</v>
      </c>
      <c r="F1499" s="887" t="s">
        <v>291</v>
      </c>
      <c r="G1499" s="887" t="s">
        <v>89</v>
      </c>
      <c r="H1499" s="547">
        <v>8978.341128</v>
      </c>
      <c r="I1499" s="547">
        <v>10187.18212</v>
      </c>
      <c r="J1499" s="548">
        <v>7834.876922</v>
      </c>
      <c r="K1499" s="220"/>
      <c r="CE1499" s="525"/>
    </row>
    <row r="1500">
      <c r="A1500" s="219"/>
      <c r="B1500" s="889" t="s">
        <v>465</v>
      </c>
      <c r="C1500" s="890" t="s">
        <v>289</v>
      </c>
      <c r="D1500" s="890" t="s">
        <v>502</v>
      </c>
      <c r="E1500" s="891">
        <v>2019.0</v>
      </c>
      <c r="F1500" s="890" t="s">
        <v>291</v>
      </c>
      <c r="G1500" s="890" t="s">
        <v>89</v>
      </c>
      <c r="H1500" s="532">
        <v>1983.846932</v>
      </c>
      <c r="I1500" s="532">
        <v>2250.95145</v>
      </c>
      <c r="J1500" s="533">
        <v>1731.188013</v>
      </c>
      <c r="K1500" s="220"/>
      <c r="CE1500" s="525"/>
    </row>
    <row r="1501">
      <c r="A1501" s="219"/>
      <c r="B1501" s="886" t="s">
        <v>465</v>
      </c>
      <c r="C1501" s="887" t="s">
        <v>289</v>
      </c>
      <c r="D1501" s="887" t="s">
        <v>332</v>
      </c>
      <c r="E1501" s="888">
        <v>2019.0</v>
      </c>
      <c r="F1501" s="887" t="s">
        <v>291</v>
      </c>
      <c r="G1501" s="887" t="s">
        <v>89</v>
      </c>
      <c r="H1501" s="547">
        <v>2.191746699E7</v>
      </c>
      <c r="I1501" s="547">
        <v>2.486842776E7</v>
      </c>
      <c r="J1501" s="548">
        <v>1.912610067E7</v>
      </c>
      <c r="K1501" s="220"/>
      <c r="CE1501" s="525"/>
    </row>
    <row r="1502">
      <c r="A1502" s="219"/>
      <c r="B1502" s="889" t="s">
        <v>465</v>
      </c>
      <c r="C1502" s="890" t="s">
        <v>289</v>
      </c>
      <c r="D1502" s="890" t="s">
        <v>510</v>
      </c>
      <c r="E1502" s="891">
        <v>2019.0</v>
      </c>
      <c r="F1502" s="890" t="s">
        <v>291</v>
      </c>
      <c r="G1502" s="890" t="s">
        <v>89</v>
      </c>
      <c r="H1502" s="532">
        <v>961061.0008</v>
      </c>
      <c r="I1502" s="532">
        <v>1023637.326</v>
      </c>
      <c r="J1502" s="533">
        <v>902383.0976</v>
      </c>
      <c r="K1502" s="220"/>
      <c r="CE1502" s="525"/>
    </row>
    <row r="1503">
      <c r="A1503" s="219"/>
      <c r="B1503" s="886" t="s">
        <v>465</v>
      </c>
      <c r="C1503" s="887" t="s">
        <v>289</v>
      </c>
      <c r="D1503" s="887" t="s">
        <v>512</v>
      </c>
      <c r="E1503" s="888">
        <v>2019.0</v>
      </c>
      <c r="F1503" s="887" t="s">
        <v>291</v>
      </c>
      <c r="G1503" s="887" t="s">
        <v>89</v>
      </c>
      <c r="H1503" s="547">
        <v>18323.79469</v>
      </c>
      <c r="I1503" s="547">
        <v>20790.90457</v>
      </c>
      <c r="J1503" s="548">
        <v>15990.11155</v>
      </c>
      <c r="K1503" s="220"/>
      <c r="CE1503" s="525"/>
    </row>
    <row r="1504">
      <c r="A1504" s="219"/>
      <c r="B1504" s="889" t="s">
        <v>465</v>
      </c>
      <c r="C1504" s="890" t="s">
        <v>289</v>
      </c>
      <c r="D1504" s="890" t="s">
        <v>515</v>
      </c>
      <c r="E1504" s="891">
        <v>2019.0</v>
      </c>
      <c r="F1504" s="890" t="s">
        <v>291</v>
      </c>
      <c r="G1504" s="890" t="s">
        <v>89</v>
      </c>
      <c r="H1504" s="532">
        <v>53784.0773</v>
      </c>
      <c r="I1504" s="532">
        <v>61025.54834</v>
      </c>
      <c r="J1504" s="533">
        <v>46934.24098</v>
      </c>
      <c r="K1504" s="220"/>
      <c r="CE1504" s="525"/>
    </row>
    <row r="1505">
      <c r="A1505" s="219"/>
      <c r="B1505" s="886" t="s">
        <v>465</v>
      </c>
      <c r="C1505" s="887" t="s">
        <v>289</v>
      </c>
      <c r="D1505" s="887" t="s">
        <v>518</v>
      </c>
      <c r="E1505" s="888">
        <v>2019.0</v>
      </c>
      <c r="F1505" s="887" t="s">
        <v>291</v>
      </c>
      <c r="G1505" s="887" t="s">
        <v>89</v>
      </c>
      <c r="H1505" s="547">
        <v>72107.872</v>
      </c>
      <c r="I1505" s="547">
        <v>81816.45291</v>
      </c>
      <c r="J1505" s="548">
        <v>62924.35253</v>
      </c>
      <c r="K1505" s="220"/>
      <c r="CE1505" s="525"/>
    </row>
    <row r="1506">
      <c r="A1506" s="219"/>
      <c r="B1506" s="889" t="s">
        <v>465</v>
      </c>
      <c r="C1506" s="890" t="s">
        <v>289</v>
      </c>
      <c r="D1506" s="890" t="s">
        <v>522</v>
      </c>
      <c r="E1506" s="891">
        <v>2019.0</v>
      </c>
      <c r="F1506" s="890" t="s">
        <v>291</v>
      </c>
      <c r="G1506" s="890" t="s">
        <v>89</v>
      </c>
      <c r="H1506" s="532">
        <v>829907.1563</v>
      </c>
      <c r="I1506" s="532">
        <v>941645.5914</v>
      </c>
      <c r="J1506" s="533">
        <v>724211.7819</v>
      </c>
      <c r="K1506" s="220"/>
      <c r="CE1506" s="525"/>
    </row>
    <row r="1507">
      <c r="A1507" s="219"/>
      <c r="B1507" s="886" t="s">
        <v>465</v>
      </c>
      <c r="C1507" s="887" t="s">
        <v>289</v>
      </c>
      <c r="D1507" s="887" t="s">
        <v>302</v>
      </c>
      <c r="E1507" s="888">
        <v>2019.0</v>
      </c>
      <c r="F1507" s="887" t="s">
        <v>291</v>
      </c>
      <c r="G1507" s="887" t="s">
        <v>89</v>
      </c>
      <c r="H1507" s="547">
        <v>4064332.091</v>
      </c>
      <c r="I1507" s="547">
        <v>4611552.469</v>
      </c>
      <c r="J1507" s="548">
        <v>3546706.597</v>
      </c>
      <c r="K1507" s="220"/>
      <c r="CE1507" s="525"/>
    </row>
    <row r="1508">
      <c r="A1508" s="219"/>
      <c r="B1508" s="889" t="s">
        <v>469</v>
      </c>
      <c r="C1508" s="890" t="s">
        <v>289</v>
      </c>
      <c r="D1508" s="890" t="s">
        <v>290</v>
      </c>
      <c r="E1508" s="891">
        <v>2019.0</v>
      </c>
      <c r="F1508" s="890" t="s">
        <v>291</v>
      </c>
      <c r="G1508" s="890" t="s">
        <v>89</v>
      </c>
      <c r="H1508" s="532">
        <v>105592.8694</v>
      </c>
      <c r="I1508" s="532">
        <v>116843.9214</v>
      </c>
      <c r="J1508" s="533">
        <v>93693.12712</v>
      </c>
      <c r="K1508" s="220"/>
      <c r="CE1508" s="525"/>
    </row>
    <row r="1509">
      <c r="A1509" s="219"/>
      <c r="B1509" s="886" t="s">
        <v>469</v>
      </c>
      <c r="C1509" s="887" t="s">
        <v>289</v>
      </c>
      <c r="D1509" s="887" t="s">
        <v>310</v>
      </c>
      <c r="E1509" s="888">
        <v>2019.0</v>
      </c>
      <c r="F1509" s="887" t="s">
        <v>291</v>
      </c>
      <c r="G1509" s="887" t="s">
        <v>89</v>
      </c>
      <c r="H1509" s="547">
        <v>2062286.661</v>
      </c>
      <c r="I1509" s="547">
        <v>2282025.878</v>
      </c>
      <c r="J1509" s="548">
        <v>1829878.166</v>
      </c>
      <c r="K1509" s="220"/>
      <c r="CE1509" s="525"/>
    </row>
    <row r="1510">
      <c r="A1510" s="219"/>
      <c r="B1510" s="889" t="s">
        <v>469</v>
      </c>
      <c r="C1510" s="890" t="s">
        <v>289</v>
      </c>
      <c r="D1510" s="890" t="s">
        <v>318</v>
      </c>
      <c r="E1510" s="891">
        <v>2019.0</v>
      </c>
      <c r="F1510" s="890" t="s">
        <v>291</v>
      </c>
      <c r="G1510" s="890" t="s">
        <v>89</v>
      </c>
      <c r="H1510" s="532">
        <v>1612605.485</v>
      </c>
      <c r="I1510" s="532">
        <v>1784430.611</v>
      </c>
      <c r="J1510" s="533">
        <v>1430873.614</v>
      </c>
      <c r="K1510" s="220"/>
      <c r="CE1510" s="525"/>
    </row>
    <row r="1511">
      <c r="A1511" s="219"/>
      <c r="B1511" s="886" t="s">
        <v>469</v>
      </c>
      <c r="C1511" s="887" t="s">
        <v>289</v>
      </c>
      <c r="D1511" s="887" t="s">
        <v>309</v>
      </c>
      <c r="E1511" s="888">
        <v>2019.0</v>
      </c>
      <c r="F1511" s="887" t="s">
        <v>291</v>
      </c>
      <c r="G1511" s="887" t="s">
        <v>89</v>
      </c>
      <c r="H1511" s="547">
        <v>425634.6129</v>
      </c>
      <c r="I1511" s="547">
        <v>470986.512</v>
      </c>
      <c r="J1511" s="548">
        <v>377667.9061</v>
      </c>
      <c r="K1511" s="220"/>
      <c r="CE1511" s="525"/>
    </row>
    <row r="1512">
      <c r="A1512" s="219"/>
      <c r="B1512" s="889" t="s">
        <v>469</v>
      </c>
      <c r="C1512" s="890" t="s">
        <v>289</v>
      </c>
      <c r="D1512" s="890" t="s">
        <v>334</v>
      </c>
      <c r="E1512" s="891">
        <v>2019.0</v>
      </c>
      <c r="F1512" s="890" t="s">
        <v>291</v>
      </c>
      <c r="G1512" s="890" t="s">
        <v>89</v>
      </c>
      <c r="H1512" s="532">
        <v>527022.0734</v>
      </c>
      <c r="I1512" s="532">
        <v>583176.9329</v>
      </c>
      <c r="J1512" s="533">
        <v>467629.5511</v>
      </c>
      <c r="K1512" s="220"/>
      <c r="CE1512" s="525"/>
    </row>
    <row r="1513">
      <c r="A1513" s="219"/>
      <c r="B1513" s="886" t="s">
        <v>469</v>
      </c>
      <c r="C1513" s="887" t="s">
        <v>289</v>
      </c>
      <c r="D1513" s="887" t="s">
        <v>339</v>
      </c>
      <c r="E1513" s="888">
        <v>2019.0</v>
      </c>
      <c r="F1513" s="887" t="s">
        <v>291</v>
      </c>
      <c r="G1513" s="887" t="s">
        <v>89</v>
      </c>
      <c r="H1513" s="547">
        <v>976703.2494</v>
      </c>
      <c r="I1513" s="547">
        <v>1080772.199</v>
      </c>
      <c r="J1513" s="548">
        <v>866634.1033</v>
      </c>
      <c r="K1513" s="220"/>
      <c r="CE1513" s="525"/>
    </row>
    <row r="1514">
      <c r="A1514" s="219"/>
      <c r="B1514" s="889" t="s">
        <v>469</v>
      </c>
      <c r="C1514" s="890" t="s">
        <v>289</v>
      </c>
      <c r="D1514" s="890" t="s">
        <v>344</v>
      </c>
      <c r="E1514" s="891">
        <v>2019.0</v>
      </c>
      <c r="F1514" s="890" t="s">
        <v>291</v>
      </c>
      <c r="G1514" s="890" t="s">
        <v>89</v>
      </c>
      <c r="H1514" s="532">
        <v>1346980.89</v>
      </c>
      <c r="I1514" s="532">
        <v>1490503.385</v>
      </c>
      <c r="J1514" s="533">
        <v>1195183.467</v>
      </c>
      <c r="K1514" s="220"/>
      <c r="CE1514" s="525"/>
    </row>
    <row r="1515">
      <c r="A1515" s="219"/>
      <c r="B1515" s="886" t="s">
        <v>469</v>
      </c>
      <c r="C1515" s="887" t="s">
        <v>289</v>
      </c>
      <c r="D1515" s="887" t="s">
        <v>349</v>
      </c>
      <c r="E1515" s="888">
        <v>2019.0</v>
      </c>
      <c r="F1515" s="887" t="s">
        <v>291</v>
      </c>
      <c r="G1515" s="887" t="s">
        <v>89</v>
      </c>
      <c r="H1515" s="547">
        <v>449681.1759</v>
      </c>
      <c r="I1515" s="547">
        <v>497595.2663</v>
      </c>
      <c r="J1515" s="548">
        <v>399004.5522</v>
      </c>
      <c r="K1515" s="220"/>
      <c r="CE1515" s="525"/>
    </row>
    <row r="1516">
      <c r="A1516" s="219"/>
      <c r="B1516" s="889" t="s">
        <v>469</v>
      </c>
      <c r="C1516" s="890" t="s">
        <v>289</v>
      </c>
      <c r="D1516" s="890" t="s">
        <v>355</v>
      </c>
      <c r="E1516" s="891">
        <v>2019.0</v>
      </c>
      <c r="F1516" s="890" t="s">
        <v>291</v>
      </c>
      <c r="G1516" s="890" t="s">
        <v>89</v>
      </c>
      <c r="H1516" s="532">
        <v>1606864.16</v>
      </c>
      <c r="I1516" s="532">
        <v>1778058.576</v>
      </c>
      <c r="J1516" s="533">
        <v>1425643.599</v>
      </c>
      <c r="K1516" s="220"/>
      <c r="CE1516" s="525"/>
    </row>
    <row r="1517">
      <c r="A1517" s="219"/>
      <c r="B1517" s="886" t="s">
        <v>469</v>
      </c>
      <c r="C1517" s="887" t="s">
        <v>289</v>
      </c>
      <c r="D1517" s="887" t="s">
        <v>358</v>
      </c>
      <c r="E1517" s="888">
        <v>2019.0</v>
      </c>
      <c r="F1517" s="887" t="s">
        <v>291</v>
      </c>
      <c r="G1517" s="887" t="s">
        <v>89</v>
      </c>
      <c r="H1517" s="547">
        <v>1937221.615</v>
      </c>
      <c r="I1517" s="547">
        <v>2143634.995</v>
      </c>
      <c r="J1517" s="548">
        <v>1718907.271</v>
      </c>
      <c r="K1517" s="220"/>
      <c r="CE1517" s="525"/>
    </row>
    <row r="1518">
      <c r="A1518" s="219"/>
      <c r="B1518" s="889" t="s">
        <v>469</v>
      </c>
      <c r="C1518" s="890" t="s">
        <v>289</v>
      </c>
      <c r="D1518" s="890" t="s">
        <v>362</v>
      </c>
      <c r="E1518" s="891">
        <v>2019.0</v>
      </c>
      <c r="F1518" s="890" t="s">
        <v>291</v>
      </c>
      <c r="G1518" s="890" t="s">
        <v>89</v>
      </c>
      <c r="H1518" s="532">
        <v>1952055.907</v>
      </c>
      <c r="I1518" s="532">
        <v>2160026.86</v>
      </c>
      <c r="J1518" s="533">
        <v>1731904.96</v>
      </c>
      <c r="K1518" s="220"/>
      <c r="CE1518" s="525"/>
    </row>
    <row r="1519">
      <c r="A1519" s="219"/>
      <c r="B1519" s="886" t="s">
        <v>469</v>
      </c>
      <c r="C1519" s="887" t="s">
        <v>289</v>
      </c>
      <c r="D1519" s="887" t="s">
        <v>366</v>
      </c>
      <c r="E1519" s="888">
        <v>2019.0</v>
      </c>
      <c r="F1519" s="887" t="s">
        <v>291</v>
      </c>
      <c r="G1519" s="887" t="s">
        <v>89</v>
      </c>
      <c r="H1519" s="547">
        <v>370277.6411</v>
      </c>
      <c r="I1519" s="547">
        <v>409731.1857</v>
      </c>
      <c r="J1519" s="548">
        <v>328549.3641</v>
      </c>
      <c r="K1519" s="220"/>
      <c r="CE1519" s="525"/>
    </row>
    <row r="1520">
      <c r="A1520" s="219"/>
      <c r="B1520" s="889" t="s">
        <v>469</v>
      </c>
      <c r="C1520" s="890" t="s">
        <v>289</v>
      </c>
      <c r="D1520" s="890" t="s">
        <v>368</v>
      </c>
      <c r="E1520" s="891">
        <v>2019.0</v>
      </c>
      <c r="F1520" s="890" t="s">
        <v>291</v>
      </c>
      <c r="G1520" s="890" t="s">
        <v>89</v>
      </c>
      <c r="H1520" s="532">
        <v>1581709.148</v>
      </c>
      <c r="I1520" s="532">
        <v>1750242.231</v>
      </c>
      <c r="J1520" s="533">
        <v>1403459.127</v>
      </c>
      <c r="K1520" s="220"/>
      <c r="CE1520" s="525"/>
    </row>
    <row r="1521">
      <c r="A1521" s="219"/>
      <c r="B1521" s="886" t="s">
        <v>469</v>
      </c>
      <c r="C1521" s="887" t="s">
        <v>289</v>
      </c>
      <c r="D1521" s="887" t="s">
        <v>373</v>
      </c>
      <c r="E1521" s="888">
        <v>2019.0</v>
      </c>
      <c r="F1521" s="887" t="s">
        <v>291</v>
      </c>
      <c r="G1521" s="887" t="s">
        <v>89</v>
      </c>
      <c r="H1521" s="547">
        <v>308121.8545</v>
      </c>
      <c r="I1521" s="547">
        <v>340952.6226</v>
      </c>
      <c r="J1521" s="548">
        <v>273398.1967</v>
      </c>
      <c r="K1521" s="220"/>
      <c r="CE1521" s="525"/>
    </row>
    <row r="1522">
      <c r="A1522" s="219"/>
      <c r="B1522" s="889" t="s">
        <v>469</v>
      </c>
      <c r="C1522" s="890" t="s">
        <v>289</v>
      </c>
      <c r="D1522" s="890" t="s">
        <v>379</v>
      </c>
      <c r="E1522" s="891">
        <v>2019.0</v>
      </c>
      <c r="F1522" s="890" t="s">
        <v>291</v>
      </c>
      <c r="G1522" s="890" t="s">
        <v>89</v>
      </c>
      <c r="H1522" s="532">
        <v>1117302.359</v>
      </c>
      <c r="I1522" s="532">
        <v>1236339.133</v>
      </c>
      <c r="J1522" s="533">
        <v>991294.0972</v>
      </c>
      <c r="K1522" s="220"/>
      <c r="CE1522" s="525"/>
    </row>
    <row r="1523">
      <c r="A1523" s="219"/>
      <c r="B1523" s="886" t="s">
        <v>469</v>
      </c>
      <c r="C1523" s="887" t="s">
        <v>289</v>
      </c>
      <c r="D1523" s="887" t="s">
        <v>382</v>
      </c>
      <c r="E1523" s="888">
        <v>2019.0</v>
      </c>
      <c r="F1523" s="887" t="s">
        <v>291</v>
      </c>
      <c r="G1523" s="887" t="s">
        <v>89</v>
      </c>
      <c r="H1523" s="547">
        <v>260689.1997</v>
      </c>
      <c r="I1523" s="547">
        <v>288465.9591</v>
      </c>
      <c r="J1523" s="548">
        <v>231310.9442</v>
      </c>
      <c r="K1523" s="220"/>
      <c r="CE1523" s="525"/>
    </row>
    <row r="1524">
      <c r="A1524" s="219"/>
      <c r="B1524" s="889" t="s">
        <v>469</v>
      </c>
      <c r="C1524" s="890" t="s">
        <v>289</v>
      </c>
      <c r="D1524" s="890" t="s">
        <v>387</v>
      </c>
      <c r="E1524" s="891">
        <v>2019.0</v>
      </c>
      <c r="F1524" s="890" t="s">
        <v>291</v>
      </c>
      <c r="G1524" s="890" t="s">
        <v>89</v>
      </c>
      <c r="H1524" s="532">
        <v>218037.3928</v>
      </c>
      <c r="I1524" s="532">
        <v>241269.5491</v>
      </c>
      <c r="J1524" s="533">
        <v>193465.7641</v>
      </c>
      <c r="K1524" s="220"/>
      <c r="CE1524" s="525"/>
    </row>
    <row r="1525">
      <c r="A1525" s="219"/>
      <c r="B1525" s="886" t="s">
        <v>469</v>
      </c>
      <c r="C1525" s="887" t="s">
        <v>289</v>
      </c>
      <c r="D1525" s="887" t="s">
        <v>392</v>
      </c>
      <c r="E1525" s="888">
        <v>2019.0</v>
      </c>
      <c r="F1525" s="887" t="s">
        <v>291</v>
      </c>
      <c r="G1525" s="887" t="s">
        <v>89</v>
      </c>
      <c r="H1525" s="547">
        <v>181034.374</v>
      </c>
      <c r="I1525" s="547">
        <v>200323.8124</v>
      </c>
      <c r="J1525" s="548">
        <v>160632.7843</v>
      </c>
      <c r="K1525" s="220"/>
      <c r="CE1525" s="525"/>
    </row>
    <row r="1526">
      <c r="A1526" s="219"/>
      <c r="B1526" s="889" t="s">
        <v>469</v>
      </c>
      <c r="C1526" s="890" t="s">
        <v>289</v>
      </c>
      <c r="D1526" s="890" t="s">
        <v>398</v>
      </c>
      <c r="E1526" s="891">
        <v>2019.0</v>
      </c>
      <c r="F1526" s="890" t="s">
        <v>291</v>
      </c>
      <c r="G1526" s="890" t="s">
        <v>89</v>
      </c>
      <c r="H1526" s="532">
        <v>149379.977</v>
      </c>
      <c r="I1526" s="532">
        <v>165296.5999</v>
      </c>
      <c r="J1526" s="533">
        <v>132545.6657</v>
      </c>
      <c r="K1526" s="220"/>
      <c r="CE1526" s="525"/>
    </row>
    <row r="1527">
      <c r="A1527" s="219"/>
      <c r="B1527" s="886" t="s">
        <v>469</v>
      </c>
      <c r="C1527" s="887" t="s">
        <v>289</v>
      </c>
      <c r="D1527" s="887" t="s">
        <v>402</v>
      </c>
      <c r="E1527" s="888">
        <v>2019.0</v>
      </c>
      <c r="F1527" s="887" t="s">
        <v>291</v>
      </c>
      <c r="G1527" s="887" t="s">
        <v>89</v>
      </c>
      <c r="H1527" s="547">
        <v>1531113.392</v>
      </c>
      <c r="I1527" s="547">
        <v>1694237.363</v>
      </c>
      <c r="J1527" s="548">
        <v>1358435.928</v>
      </c>
      <c r="K1527" s="220"/>
      <c r="CE1527" s="525"/>
    </row>
    <row r="1528">
      <c r="A1528" s="219"/>
      <c r="B1528" s="889" t="s">
        <v>469</v>
      </c>
      <c r="C1528" s="890" t="s">
        <v>289</v>
      </c>
      <c r="D1528" s="890" t="s">
        <v>407</v>
      </c>
      <c r="E1528" s="891">
        <v>2019.0</v>
      </c>
      <c r="F1528" s="890" t="s">
        <v>291</v>
      </c>
      <c r="G1528" s="890" t="s">
        <v>89</v>
      </c>
      <c r="H1528" s="532">
        <v>554355.9292</v>
      </c>
      <c r="I1528" s="532">
        <v>613423.2451</v>
      </c>
      <c r="J1528" s="533">
        <v>491883.0299</v>
      </c>
      <c r="K1528" s="220"/>
      <c r="CE1528" s="525"/>
    </row>
    <row r="1529">
      <c r="A1529" s="219"/>
      <c r="B1529" s="886" t="s">
        <v>469</v>
      </c>
      <c r="C1529" s="887" t="s">
        <v>289</v>
      </c>
      <c r="D1529" s="887" t="s">
        <v>414</v>
      </c>
      <c r="E1529" s="888">
        <v>2019.0</v>
      </c>
      <c r="F1529" s="887" t="s">
        <v>291</v>
      </c>
      <c r="G1529" s="887" t="s">
        <v>89</v>
      </c>
      <c r="H1529" s="547">
        <v>121320.6053</v>
      </c>
      <c r="I1529" s="547">
        <v>134247.4671</v>
      </c>
      <c r="J1529" s="548">
        <v>107648.4327</v>
      </c>
      <c r="K1529" s="220"/>
      <c r="CE1529" s="525"/>
    </row>
    <row r="1530">
      <c r="A1530" s="219"/>
      <c r="B1530" s="889" t="s">
        <v>469</v>
      </c>
      <c r="C1530" s="890" t="s">
        <v>289</v>
      </c>
      <c r="D1530" s="890" t="s">
        <v>417</v>
      </c>
      <c r="E1530" s="891">
        <v>2019.0</v>
      </c>
      <c r="F1530" s="890" t="s">
        <v>291</v>
      </c>
      <c r="G1530" s="890" t="s">
        <v>89</v>
      </c>
      <c r="H1530" s="532">
        <v>363770.2885</v>
      </c>
      <c r="I1530" s="532">
        <v>402530.4666</v>
      </c>
      <c r="J1530" s="533">
        <v>322775.3547</v>
      </c>
      <c r="K1530" s="220"/>
      <c r="CE1530" s="525"/>
    </row>
    <row r="1531">
      <c r="A1531" s="219"/>
      <c r="B1531" s="886" t="s">
        <v>469</v>
      </c>
      <c r="C1531" s="887" t="s">
        <v>289</v>
      </c>
      <c r="D1531" s="887" t="s">
        <v>300</v>
      </c>
      <c r="E1531" s="888">
        <v>2019.0</v>
      </c>
      <c r="F1531" s="887" t="s">
        <v>291</v>
      </c>
      <c r="G1531" s="887" t="s">
        <v>89</v>
      </c>
      <c r="H1531" s="547">
        <v>1081378.003</v>
      </c>
      <c r="I1531" s="547">
        <v>1196600.178</v>
      </c>
      <c r="J1531" s="548">
        <v>959512.581</v>
      </c>
      <c r="K1531" s="220"/>
      <c r="CE1531" s="525"/>
    </row>
    <row r="1532">
      <c r="A1532" s="219"/>
      <c r="B1532" s="889" t="s">
        <v>469</v>
      </c>
      <c r="C1532" s="890" t="s">
        <v>289</v>
      </c>
      <c r="D1532" s="890" t="s">
        <v>429</v>
      </c>
      <c r="E1532" s="891">
        <v>2019.0</v>
      </c>
      <c r="F1532" s="890" t="s">
        <v>291</v>
      </c>
      <c r="G1532" s="890" t="s">
        <v>89</v>
      </c>
      <c r="H1532" s="532">
        <v>343137.8946</v>
      </c>
      <c r="I1532" s="532">
        <v>379695.6155</v>
      </c>
      <c r="J1532" s="533">
        <v>304439.1401</v>
      </c>
      <c r="K1532" s="220"/>
      <c r="CE1532" s="525"/>
    </row>
    <row r="1533">
      <c r="A1533" s="219"/>
      <c r="B1533" s="886" t="s">
        <v>469</v>
      </c>
      <c r="C1533" s="887" t="s">
        <v>289</v>
      </c>
      <c r="D1533" s="887" t="s">
        <v>432</v>
      </c>
      <c r="E1533" s="888">
        <v>2019.0</v>
      </c>
      <c r="F1533" s="887" t="s">
        <v>291</v>
      </c>
      <c r="G1533" s="887" t="s">
        <v>89</v>
      </c>
      <c r="H1533" s="547">
        <v>99706.56211</v>
      </c>
      <c r="I1533" s="547">
        <v>110330.4207</v>
      </c>
      <c r="J1533" s="548">
        <v>88470.17465</v>
      </c>
      <c r="K1533" s="220"/>
      <c r="CE1533" s="525"/>
    </row>
    <row r="1534">
      <c r="A1534" s="219"/>
      <c r="B1534" s="889" t="s">
        <v>469</v>
      </c>
      <c r="C1534" s="890" t="s">
        <v>289</v>
      </c>
      <c r="D1534" s="890" t="s">
        <v>435</v>
      </c>
      <c r="E1534" s="891">
        <v>2019.0</v>
      </c>
      <c r="F1534" s="890" t="s">
        <v>291</v>
      </c>
      <c r="G1534" s="890" t="s">
        <v>89</v>
      </c>
      <c r="H1534" s="532">
        <v>80996.45898</v>
      </c>
      <c r="I1534" s="532">
        <v>89626.73274</v>
      </c>
      <c r="J1534" s="533">
        <v>71868.59841</v>
      </c>
      <c r="K1534" s="220"/>
      <c r="CE1534" s="525"/>
    </row>
    <row r="1535">
      <c r="A1535" s="219"/>
      <c r="B1535" s="886" t="s">
        <v>469</v>
      </c>
      <c r="C1535" s="887" t="s">
        <v>289</v>
      </c>
      <c r="D1535" s="887" t="s">
        <v>442</v>
      </c>
      <c r="E1535" s="888">
        <v>2019.0</v>
      </c>
      <c r="F1535" s="887" t="s">
        <v>291</v>
      </c>
      <c r="G1535" s="887" t="s">
        <v>89</v>
      </c>
      <c r="H1535" s="547">
        <v>61746.6621</v>
      </c>
      <c r="I1535" s="547">
        <v>68325.84598</v>
      </c>
      <c r="J1535" s="548">
        <v>54788.14898</v>
      </c>
      <c r="K1535" s="220"/>
      <c r="CE1535" s="525"/>
    </row>
    <row r="1536">
      <c r="A1536" s="219"/>
      <c r="B1536" s="889" t="s">
        <v>469</v>
      </c>
      <c r="C1536" s="890" t="s">
        <v>289</v>
      </c>
      <c r="D1536" s="890" t="s">
        <v>445</v>
      </c>
      <c r="E1536" s="891">
        <v>2019.0</v>
      </c>
      <c r="F1536" s="890" t="s">
        <v>291</v>
      </c>
      <c r="G1536" s="890" t="s">
        <v>89</v>
      </c>
      <c r="H1536" s="532">
        <v>104631.2635</v>
      </c>
      <c r="I1536" s="532">
        <v>115778.6203</v>
      </c>
      <c r="J1536" s="533">
        <v>92831.05246</v>
      </c>
      <c r="K1536" s="220"/>
      <c r="CE1536" s="525"/>
    </row>
    <row r="1537">
      <c r="A1537" s="219"/>
      <c r="B1537" s="886" t="s">
        <v>469</v>
      </c>
      <c r="C1537" s="887" t="s">
        <v>289</v>
      </c>
      <c r="D1537" s="887" t="s">
        <v>450</v>
      </c>
      <c r="E1537" s="888">
        <v>2019.0</v>
      </c>
      <c r="F1537" s="887" t="s">
        <v>291</v>
      </c>
      <c r="G1537" s="887" t="s">
        <v>89</v>
      </c>
      <c r="H1537" s="547">
        <v>42880.89667</v>
      </c>
      <c r="I1537" s="547">
        <v>47449.90971</v>
      </c>
      <c r="J1537" s="548">
        <v>38048.45275</v>
      </c>
      <c r="K1537" s="220"/>
      <c r="CE1537" s="525"/>
    </row>
    <row r="1538">
      <c r="A1538" s="219"/>
      <c r="B1538" s="889" t="s">
        <v>469</v>
      </c>
      <c r="C1538" s="890" t="s">
        <v>289</v>
      </c>
      <c r="D1538" s="890" t="s">
        <v>457</v>
      </c>
      <c r="E1538" s="891">
        <v>2019.0</v>
      </c>
      <c r="F1538" s="890" t="s">
        <v>291</v>
      </c>
      <c r="G1538" s="890" t="s">
        <v>89</v>
      </c>
      <c r="H1538" s="532">
        <v>100676.0616</v>
      </c>
      <c r="I1538" s="532">
        <v>111403.2216</v>
      </c>
      <c r="J1538" s="533">
        <v>89330.41683</v>
      </c>
      <c r="K1538" s="220"/>
      <c r="CE1538" s="525"/>
    </row>
    <row r="1539">
      <c r="A1539" s="219"/>
      <c r="B1539" s="886" t="s">
        <v>469</v>
      </c>
      <c r="C1539" s="887" t="s">
        <v>289</v>
      </c>
      <c r="D1539" s="887" t="s">
        <v>463</v>
      </c>
      <c r="E1539" s="888">
        <v>2019.0</v>
      </c>
      <c r="F1539" s="887" t="s">
        <v>291</v>
      </c>
      <c r="G1539" s="887" t="s">
        <v>89</v>
      </c>
      <c r="H1539" s="547">
        <v>57797.21143</v>
      </c>
      <c r="I1539" s="547">
        <v>63954.89426</v>
      </c>
      <c r="J1539" s="548">
        <v>51278.89872</v>
      </c>
      <c r="K1539" s="220"/>
      <c r="CE1539" s="525"/>
    </row>
    <row r="1540">
      <c r="A1540" s="219"/>
      <c r="B1540" s="889" t="s">
        <v>469</v>
      </c>
      <c r="C1540" s="890" t="s">
        <v>289</v>
      </c>
      <c r="D1540" s="890" t="s">
        <v>467</v>
      </c>
      <c r="E1540" s="891">
        <v>2019.0</v>
      </c>
      <c r="F1540" s="890" t="s">
        <v>291</v>
      </c>
      <c r="G1540" s="890" t="s">
        <v>89</v>
      </c>
      <c r="H1540" s="532">
        <v>28694.44245</v>
      </c>
      <c r="I1540" s="532">
        <v>31751.8711</v>
      </c>
      <c r="J1540" s="533">
        <v>25460.7348</v>
      </c>
      <c r="K1540" s="220"/>
      <c r="CE1540" s="525"/>
    </row>
    <row r="1541">
      <c r="A1541" s="219"/>
      <c r="B1541" s="886" t="s">
        <v>469</v>
      </c>
      <c r="C1541" s="887" t="s">
        <v>289</v>
      </c>
      <c r="D1541" s="887" t="s">
        <v>473</v>
      </c>
      <c r="E1541" s="888">
        <v>2019.0</v>
      </c>
      <c r="F1541" s="887" t="s">
        <v>291</v>
      </c>
      <c r="G1541" s="887" t="s">
        <v>89</v>
      </c>
      <c r="H1541" s="547">
        <v>45843.97597</v>
      </c>
      <c r="I1541" s="547">
        <v>50728.16773</v>
      </c>
      <c r="J1541" s="548">
        <v>40673.73741</v>
      </c>
      <c r="K1541" s="220"/>
      <c r="CE1541" s="525"/>
    </row>
    <row r="1542">
      <c r="A1542" s="219"/>
      <c r="B1542" s="889" t="s">
        <v>469</v>
      </c>
      <c r="C1542" s="890" t="s">
        <v>289</v>
      </c>
      <c r="D1542" s="890" t="s">
        <v>477</v>
      </c>
      <c r="E1542" s="891">
        <v>2019.0</v>
      </c>
      <c r="F1542" s="890" t="s">
        <v>291</v>
      </c>
      <c r="G1542" s="890" t="s">
        <v>89</v>
      </c>
      <c r="H1542" s="532">
        <v>29100.72249</v>
      </c>
      <c r="I1542" s="532">
        <v>32201.44078</v>
      </c>
      <c r="J1542" s="533">
        <v>25821.22928</v>
      </c>
      <c r="K1542" s="220"/>
      <c r="CE1542" s="525"/>
    </row>
    <row r="1543">
      <c r="A1543" s="219"/>
      <c r="B1543" s="886" t="s">
        <v>469</v>
      </c>
      <c r="C1543" s="887" t="s">
        <v>289</v>
      </c>
      <c r="D1543" s="887" t="s">
        <v>483</v>
      </c>
      <c r="E1543" s="888">
        <v>2019.0</v>
      </c>
      <c r="F1543" s="887" t="s">
        <v>291</v>
      </c>
      <c r="G1543" s="887" t="s">
        <v>89</v>
      </c>
      <c r="H1543" s="547">
        <v>17147.91028</v>
      </c>
      <c r="I1543" s="547">
        <v>18975.04151</v>
      </c>
      <c r="J1543" s="548">
        <v>15215.43402</v>
      </c>
      <c r="K1543" s="220"/>
      <c r="CE1543" s="525"/>
    </row>
    <row r="1544">
      <c r="A1544" s="219"/>
      <c r="B1544" s="889" t="s">
        <v>469</v>
      </c>
      <c r="C1544" s="890" t="s">
        <v>289</v>
      </c>
      <c r="D1544" s="890" t="s">
        <v>489</v>
      </c>
      <c r="E1544" s="891">
        <v>2019.0</v>
      </c>
      <c r="F1544" s="890" t="s">
        <v>291</v>
      </c>
      <c r="G1544" s="890" t="s">
        <v>89</v>
      </c>
      <c r="H1544" s="532">
        <v>11953.23546</v>
      </c>
      <c r="I1544" s="532">
        <v>13226.72653</v>
      </c>
      <c r="J1544" s="533">
        <v>10605.16131</v>
      </c>
      <c r="K1544" s="220"/>
      <c r="CE1544" s="525"/>
    </row>
    <row r="1545">
      <c r="A1545" s="219"/>
      <c r="B1545" s="886" t="s">
        <v>469</v>
      </c>
      <c r="C1545" s="887" t="s">
        <v>289</v>
      </c>
      <c r="D1545" s="887" t="s">
        <v>493</v>
      </c>
      <c r="E1545" s="888">
        <v>2019.0</v>
      </c>
      <c r="F1545" s="887" t="s">
        <v>291</v>
      </c>
      <c r="G1545" s="887" t="s">
        <v>89</v>
      </c>
      <c r="H1545" s="547">
        <v>8637.806355</v>
      </c>
      <c r="I1545" s="547">
        <v>9558.175399</v>
      </c>
      <c r="J1545" s="548">
        <v>7664.372541</v>
      </c>
      <c r="K1545" s="220"/>
      <c r="CE1545" s="525"/>
    </row>
    <row r="1546">
      <c r="A1546" s="219"/>
      <c r="B1546" s="889" t="s">
        <v>469</v>
      </c>
      <c r="C1546" s="890" t="s">
        <v>289</v>
      </c>
      <c r="D1546" s="890" t="s">
        <v>496</v>
      </c>
      <c r="E1546" s="891">
        <v>2019.0</v>
      </c>
      <c r="F1546" s="890" t="s">
        <v>291</v>
      </c>
      <c r="G1546" s="890" t="s">
        <v>89</v>
      </c>
      <c r="H1546" s="532">
        <v>2525.98769</v>
      </c>
      <c r="I1546" s="532">
        <v>2795.13483</v>
      </c>
      <c r="J1546" s="533">
        <v>2241.322611</v>
      </c>
      <c r="K1546" s="220"/>
      <c r="CE1546" s="525"/>
    </row>
    <row r="1547">
      <c r="A1547" s="219"/>
      <c r="B1547" s="886" t="s">
        <v>469</v>
      </c>
      <c r="C1547" s="887" t="s">
        <v>289</v>
      </c>
      <c r="D1547" s="887" t="s">
        <v>502</v>
      </c>
      <c r="E1547" s="888">
        <v>2019.0</v>
      </c>
      <c r="F1547" s="887" t="s">
        <v>291</v>
      </c>
      <c r="G1547" s="887" t="s">
        <v>89</v>
      </c>
      <c r="H1547" s="547">
        <v>789.0181731</v>
      </c>
      <c r="I1547" s="547">
        <v>873.0890439</v>
      </c>
      <c r="J1547" s="548">
        <v>700.1001147</v>
      </c>
      <c r="K1547" s="220"/>
      <c r="CE1547" s="525"/>
    </row>
    <row r="1548">
      <c r="A1548" s="219"/>
      <c r="B1548" s="889" t="s">
        <v>469</v>
      </c>
      <c r="C1548" s="890" t="s">
        <v>289</v>
      </c>
      <c r="D1548" s="890" t="s">
        <v>332</v>
      </c>
      <c r="E1548" s="891">
        <v>2019.0</v>
      </c>
      <c r="F1548" s="890" t="s">
        <v>291</v>
      </c>
      <c r="G1548" s="890" t="s">
        <v>89</v>
      </c>
      <c r="H1548" s="532">
        <v>4014273.45</v>
      </c>
      <c r="I1548" s="532">
        <v>4441999.295</v>
      </c>
      <c r="J1548" s="533">
        <v>3561886.657</v>
      </c>
      <c r="K1548" s="220"/>
      <c r="CE1548" s="525"/>
    </row>
    <row r="1549">
      <c r="A1549" s="219"/>
      <c r="B1549" s="886" t="s">
        <v>469</v>
      </c>
      <c r="C1549" s="887" t="s">
        <v>289</v>
      </c>
      <c r="D1549" s="887" t="s">
        <v>510</v>
      </c>
      <c r="E1549" s="888">
        <v>2019.0</v>
      </c>
      <c r="F1549" s="887" t="s">
        <v>291</v>
      </c>
      <c r="G1549" s="887" t="s">
        <v>89</v>
      </c>
      <c r="H1549" s="547">
        <v>109001.6792</v>
      </c>
      <c r="I1549" s="547">
        <v>121981.4942</v>
      </c>
      <c r="J1549" s="548">
        <v>98053.8729</v>
      </c>
      <c r="K1549" s="220"/>
      <c r="CE1549" s="525"/>
    </row>
    <row r="1550">
      <c r="A1550" s="219"/>
      <c r="B1550" s="889" t="s">
        <v>469</v>
      </c>
      <c r="C1550" s="890" t="s">
        <v>289</v>
      </c>
      <c r="D1550" s="890" t="s">
        <v>512</v>
      </c>
      <c r="E1550" s="891">
        <v>2019.0</v>
      </c>
      <c r="F1550" s="890" t="s">
        <v>291</v>
      </c>
      <c r="G1550" s="890" t="s">
        <v>89</v>
      </c>
      <c r="H1550" s="532">
        <v>2082.742091</v>
      </c>
      <c r="I1550" s="532">
        <v>2304.660859</v>
      </c>
      <c r="J1550" s="533">
        <v>1848.028381</v>
      </c>
      <c r="K1550" s="220"/>
      <c r="CE1550" s="525"/>
    </row>
    <row r="1551">
      <c r="A1551" s="219"/>
      <c r="B1551" s="886" t="s">
        <v>469</v>
      </c>
      <c r="C1551" s="887" t="s">
        <v>289</v>
      </c>
      <c r="D1551" s="887" t="s">
        <v>515</v>
      </c>
      <c r="E1551" s="888">
        <v>2019.0</v>
      </c>
      <c r="F1551" s="887" t="s">
        <v>291</v>
      </c>
      <c r="G1551" s="887" t="s">
        <v>89</v>
      </c>
      <c r="H1551" s="547">
        <v>6168.375969</v>
      </c>
      <c r="I1551" s="547">
        <v>6825.624124</v>
      </c>
      <c r="J1551" s="548">
        <v>5473.233533</v>
      </c>
      <c r="K1551" s="220"/>
      <c r="CE1551" s="525"/>
    </row>
    <row r="1552">
      <c r="A1552" s="219"/>
      <c r="B1552" s="889" t="s">
        <v>469</v>
      </c>
      <c r="C1552" s="890" t="s">
        <v>289</v>
      </c>
      <c r="D1552" s="890" t="s">
        <v>518</v>
      </c>
      <c r="E1552" s="891">
        <v>2019.0</v>
      </c>
      <c r="F1552" s="890" t="s">
        <v>291</v>
      </c>
      <c r="G1552" s="890" t="s">
        <v>89</v>
      </c>
      <c r="H1552" s="532">
        <v>8251.11806</v>
      </c>
      <c r="I1552" s="532">
        <v>9130.284983</v>
      </c>
      <c r="J1552" s="533">
        <v>7321.261914</v>
      </c>
      <c r="K1552" s="220"/>
      <c r="CE1552" s="525"/>
    </row>
    <row r="1553">
      <c r="A1553" s="219"/>
      <c r="B1553" s="886" t="s">
        <v>469</v>
      </c>
      <c r="C1553" s="887" t="s">
        <v>289</v>
      </c>
      <c r="D1553" s="887" t="s">
        <v>522</v>
      </c>
      <c r="E1553" s="888">
        <v>2019.0</v>
      </c>
      <c r="F1553" s="887" t="s">
        <v>291</v>
      </c>
      <c r="G1553" s="887" t="s">
        <v>89</v>
      </c>
      <c r="H1553" s="547">
        <v>97341.75136</v>
      </c>
      <c r="I1553" s="547">
        <v>107713.6364</v>
      </c>
      <c r="J1553" s="548">
        <v>86371.86521</v>
      </c>
      <c r="K1553" s="220"/>
      <c r="CE1553" s="525"/>
    </row>
    <row r="1554">
      <c r="A1554" s="219"/>
      <c r="B1554" s="889" t="s">
        <v>469</v>
      </c>
      <c r="C1554" s="890" t="s">
        <v>289</v>
      </c>
      <c r="D1554" s="890" t="s">
        <v>302</v>
      </c>
      <c r="E1554" s="891">
        <v>2019.0</v>
      </c>
      <c r="F1554" s="890" t="s">
        <v>291</v>
      </c>
      <c r="G1554" s="890" t="s">
        <v>89</v>
      </c>
      <c r="H1554" s="532">
        <v>531227.4823</v>
      </c>
      <c r="I1554" s="532">
        <v>587830.4334</v>
      </c>
      <c r="J1554" s="533">
        <v>471361.0332</v>
      </c>
      <c r="K1554" s="220"/>
      <c r="CE1554" s="525"/>
    </row>
    <row r="1555">
      <c r="A1555" s="219"/>
      <c r="B1555" s="886" t="s">
        <v>6</v>
      </c>
      <c r="C1555" s="887" t="s">
        <v>289</v>
      </c>
      <c r="D1555" s="887" t="s">
        <v>290</v>
      </c>
      <c r="E1555" s="888">
        <v>2019.0</v>
      </c>
      <c r="F1555" s="887" t="s">
        <v>291</v>
      </c>
      <c r="G1555" s="887" t="s">
        <v>89</v>
      </c>
      <c r="H1555" s="547">
        <v>1067798.745</v>
      </c>
      <c r="I1555" s="547">
        <v>1150259.418</v>
      </c>
      <c r="J1555" s="548">
        <v>978473.4116</v>
      </c>
      <c r="K1555" s="220"/>
      <c r="CE1555" s="525"/>
    </row>
    <row r="1556">
      <c r="A1556" s="219"/>
      <c r="B1556" s="889" t="s">
        <v>6</v>
      </c>
      <c r="C1556" s="890" t="s">
        <v>289</v>
      </c>
      <c r="D1556" s="890" t="s">
        <v>310</v>
      </c>
      <c r="E1556" s="891">
        <v>2019.0</v>
      </c>
      <c r="F1556" s="890" t="s">
        <v>291</v>
      </c>
      <c r="G1556" s="890" t="s">
        <v>89</v>
      </c>
      <c r="H1556" s="532">
        <v>1.701303235E7</v>
      </c>
      <c r="I1556" s="532">
        <v>1.832686243E7</v>
      </c>
      <c r="J1556" s="533">
        <v>1.558982897E7</v>
      </c>
      <c r="K1556" s="220"/>
      <c r="CE1556" s="525"/>
    </row>
    <row r="1557">
      <c r="A1557" s="219"/>
      <c r="B1557" s="886" t="s">
        <v>6</v>
      </c>
      <c r="C1557" s="887" t="s">
        <v>289</v>
      </c>
      <c r="D1557" s="887" t="s">
        <v>318</v>
      </c>
      <c r="E1557" s="888">
        <v>2019.0</v>
      </c>
      <c r="F1557" s="887" t="s">
        <v>291</v>
      </c>
      <c r="G1557" s="887" t="s">
        <v>89</v>
      </c>
      <c r="H1557" s="547">
        <v>1.376314871E7</v>
      </c>
      <c r="I1557" s="547">
        <v>1.482600678E7</v>
      </c>
      <c r="J1557" s="548">
        <v>1.261181018E7</v>
      </c>
      <c r="K1557" s="220"/>
      <c r="CE1557" s="525"/>
    </row>
    <row r="1558">
      <c r="A1558" s="219"/>
      <c r="B1558" s="889" t="s">
        <v>6</v>
      </c>
      <c r="C1558" s="890" t="s">
        <v>289</v>
      </c>
      <c r="D1558" s="890" t="s">
        <v>309</v>
      </c>
      <c r="E1558" s="891">
        <v>2019.0</v>
      </c>
      <c r="F1558" s="890" t="s">
        <v>291</v>
      </c>
      <c r="G1558" s="890" t="s">
        <v>89</v>
      </c>
      <c r="H1558" s="532">
        <v>4037237.425</v>
      </c>
      <c r="I1558" s="532">
        <v>4349012.765</v>
      </c>
      <c r="J1558" s="533">
        <v>3699507.512</v>
      </c>
      <c r="K1558" s="220"/>
      <c r="CE1558" s="525"/>
    </row>
    <row r="1559">
      <c r="A1559" s="219"/>
      <c r="B1559" s="886" t="s">
        <v>6</v>
      </c>
      <c r="C1559" s="887" t="s">
        <v>289</v>
      </c>
      <c r="D1559" s="887" t="s">
        <v>334</v>
      </c>
      <c r="E1559" s="888">
        <v>2019.0</v>
      </c>
      <c r="F1559" s="887" t="s">
        <v>291</v>
      </c>
      <c r="G1559" s="887" t="s">
        <v>89</v>
      </c>
      <c r="H1559" s="547">
        <v>3939121.962</v>
      </c>
      <c r="I1559" s="547">
        <v>4243320.343</v>
      </c>
      <c r="J1559" s="548">
        <v>3609599.772</v>
      </c>
      <c r="K1559" s="220"/>
      <c r="CE1559" s="525"/>
    </row>
    <row r="1560">
      <c r="A1560" s="219"/>
      <c r="B1560" s="889" t="s">
        <v>6</v>
      </c>
      <c r="C1560" s="890" t="s">
        <v>289</v>
      </c>
      <c r="D1560" s="890" t="s">
        <v>339</v>
      </c>
      <c r="E1560" s="891">
        <v>2019.0</v>
      </c>
      <c r="F1560" s="890" t="s">
        <v>291</v>
      </c>
      <c r="G1560" s="890" t="s">
        <v>89</v>
      </c>
      <c r="H1560" s="532">
        <v>7189005.599</v>
      </c>
      <c r="I1560" s="532">
        <v>7744175.987</v>
      </c>
      <c r="J1560" s="533">
        <v>6587618.565</v>
      </c>
      <c r="K1560" s="220"/>
      <c r="CE1560" s="525"/>
    </row>
    <row r="1561">
      <c r="A1561" s="219"/>
      <c r="B1561" s="886" t="s">
        <v>6</v>
      </c>
      <c r="C1561" s="887" t="s">
        <v>289</v>
      </c>
      <c r="D1561" s="887" t="s">
        <v>344</v>
      </c>
      <c r="E1561" s="888">
        <v>2019.0</v>
      </c>
      <c r="F1561" s="887" t="s">
        <v>291</v>
      </c>
      <c r="G1561" s="887" t="s">
        <v>89</v>
      </c>
      <c r="H1561" s="547">
        <v>9876316.141</v>
      </c>
      <c r="I1561" s="547">
        <v>1.063901387E7</v>
      </c>
      <c r="J1561" s="548">
        <v>9050125.595</v>
      </c>
      <c r="K1561" s="220"/>
      <c r="CE1561" s="525"/>
    </row>
    <row r="1562">
      <c r="A1562" s="219"/>
      <c r="B1562" s="889" t="s">
        <v>6</v>
      </c>
      <c r="C1562" s="890" t="s">
        <v>289</v>
      </c>
      <c r="D1562" s="890" t="s">
        <v>349</v>
      </c>
      <c r="E1562" s="891">
        <v>2019.0</v>
      </c>
      <c r="F1562" s="890" t="s">
        <v>291</v>
      </c>
      <c r="G1562" s="890" t="s">
        <v>89</v>
      </c>
      <c r="H1562" s="532">
        <v>3249883.637</v>
      </c>
      <c r="I1562" s="532">
        <v>3500855.643</v>
      </c>
      <c r="J1562" s="533">
        <v>2978018.794</v>
      </c>
      <c r="K1562" s="220"/>
      <c r="CE1562" s="525"/>
    </row>
    <row r="1563">
      <c r="A1563" s="219"/>
      <c r="B1563" s="886" t="s">
        <v>6</v>
      </c>
      <c r="C1563" s="887" t="s">
        <v>289</v>
      </c>
      <c r="D1563" s="887" t="s">
        <v>355</v>
      </c>
      <c r="E1563" s="888">
        <v>2019.0</v>
      </c>
      <c r="F1563" s="887" t="s">
        <v>291</v>
      </c>
      <c r="G1563" s="887" t="s">
        <v>89</v>
      </c>
      <c r="H1563" s="547">
        <v>1.122363022E7</v>
      </c>
      <c r="I1563" s="547">
        <v>1.209095353E7</v>
      </c>
      <c r="J1563" s="548">
        <v>1.02850901E7</v>
      </c>
      <c r="K1563" s="220"/>
      <c r="CE1563" s="525"/>
    </row>
    <row r="1564">
      <c r="A1564" s="219"/>
      <c r="B1564" s="889" t="s">
        <v>6</v>
      </c>
      <c r="C1564" s="890" t="s">
        <v>289</v>
      </c>
      <c r="D1564" s="890" t="s">
        <v>358</v>
      </c>
      <c r="E1564" s="891">
        <v>2019.0</v>
      </c>
      <c r="F1564" s="890" t="s">
        <v>291</v>
      </c>
      <c r="G1564" s="890" t="s">
        <v>89</v>
      </c>
      <c r="H1564" s="532">
        <v>1.33236521E7</v>
      </c>
      <c r="I1564" s="532">
        <v>1.435257008E7</v>
      </c>
      <c r="J1564" s="533">
        <v>1.220907909E7</v>
      </c>
      <c r="K1564" s="220"/>
      <c r="CE1564" s="525"/>
    </row>
    <row r="1565">
      <c r="A1565" s="219"/>
      <c r="B1565" s="886" t="s">
        <v>6</v>
      </c>
      <c r="C1565" s="887" t="s">
        <v>289</v>
      </c>
      <c r="D1565" s="887" t="s">
        <v>362</v>
      </c>
      <c r="E1565" s="888">
        <v>2019.0</v>
      </c>
      <c r="F1565" s="887" t="s">
        <v>291</v>
      </c>
      <c r="G1565" s="887" t="s">
        <v>89</v>
      </c>
      <c r="H1565" s="547">
        <v>1.251450278E7</v>
      </c>
      <c r="I1565" s="547">
        <v>1.348158026E7</v>
      </c>
      <c r="J1565" s="548">
        <v>1.146801758E7</v>
      </c>
      <c r="K1565" s="220"/>
      <c r="CE1565" s="525"/>
    </row>
    <row r="1566">
      <c r="A1566" s="219"/>
      <c r="B1566" s="889" t="s">
        <v>6</v>
      </c>
      <c r="C1566" s="890" t="s">
        <v>289</v>
      </c>
      <c r="D1566" s="890" t="s">
        <v>366</v>
      </c>
      <c r="E1566" s="891">
        <v>2019.0</v>
      </c>
      <c r="F1566" s="890" t="s">
        <v>291</v>
      </c>
      <c r="G1566" s="890" t="s">
        <v>89</v>
      </c>
      <c r="H1566" s="532">
        <v>2687310.542</v>
      </c>
      <c r="I1566" s="532">
        <v>2894837.886</v>
      </c>
      <c r="J1566" s="533">
        <v>2462507.029</v>
      </c>
      <c r="K1566" s="220"/>
      <c r="CE1566" s="525"/>
    </row>
    <row r="1567">
      <c r="A1567" s="219"/>
      <c r="B1567" s="886" t="s">
        <v>6</v>
      </c>
      <c r="C1567" s="887" t="s">
        <v>289</v>
      </c>
      <c r="D1567" s="887" t="s">
        <v>368</v>
      </c>
      <c r="E1567" s="888">
        <v>2019.0</v>
      </c>
      <c r="F1567" s="887" t="s">
        <v>291</v>
      </c>
      <c r="G1567" s="887" t="s">
        <v>89</v>
      </c>
      <c r="H1567" s="547">
        <v>9827693.979</v>
      </c>
      <c r="I1567" s="547">
        <v>1.058663687E7</v>
      </c>
      <c r="J1567" s="548">
        <v>9005570.857</v>
      </c>
      <c r="K1567" s="220"/>
      <c r="CE1567" s="525"/>
    </row>
    <row r="1568">
      <c r="A1568" s="219"/>
      <c r="B1568" s="889" t="s">
        <v>6</v>
      </c>
      <c r="C1568" s="890" t="s">
        <v>289</v>
      </c>
      <c r="D1568" s="890" t="s">
        <v>373</v>
      </c>
      <c r="E1568" s="891">
        <v>2019.0</v>
      </c>
      <c r="F1568" s="890" t="s">
        <v>291</v>
      </c>
      <c r="G1568" s="890" t="s">
        <v>89</v>
      </c>
      <c r="H1568" s="532">
        <v>2176260.676</v>
      </c>
      <c r="I1568" s="532">
        <v>2344322.234</v>
      </c>
      <c r="J1568" s="533">
        <v>1994208.383</v>
      </c>
      <c r="K1568" s="220"/>
      <c r="CE1568" s="525"/>
    </row>
    <row r="1569">
      <c r="A1569" s="219"/>
      <c r="B1569" s="886" t="s">
        <v>6</v>
      </c>
      <c r="C1569" s="887" t="s">
        <v>289</v>
      </c>
      <c r="D1569" s="887" t="s">
        <v>379</v>
      </c>
      <c r="E1569" s="888">
        <v>2019.0</v>
      </c>
      <c r="F1569" s="887" t="s">
        <v>291</v>
      </c>
      <c r="G1569" s="887" t="s">
        <v>89</v>
      </c>
      <c r="H1569" s="547">
        <v>7386161.791</v>
      </c>
      <c r="I1569" s="547">
        <v>7956938.822</v>
      </c>
      <c r="J1569" s="548">
        <v>6768517.675</v>
      </c>
      <c r="K1569" s="220"/>
      <c r="CE1569" s="525"/>
    </row>
    <row r="1570">
      <c r="A1570" s="219"/>
      <c r="B1570" s="889" t="s">
        <v>6</v>
      </c>
      <c r="C1570" s="890" t="s">
        <v>289</v>
      </c>
      <c r="D1570" s="890" t="s">
        <v>382</v>
      </c>
      <c r="E1570" s="891">
        <v>2019.0</v>
      </c>
      <c r="F1570" s="890" t="s">
        <v>291</v>
      </c>
      <c r="G1570" s="890" t="s">
        <v>89</v>
      </c>
      <c r="H1570" s="532">
        <v>1680722.253</v>
      </c>
      <c r="I1570" s="532">
        <v>1810515.896</v>
      </c>
      <c r="J1570" s="533">
        <v>1540123.591</v>
      </c>
      <c r="K1570" s="220"/>
      <c r="CE1570" s="525"/>
    </row>
    <row r="1571">
      <c r="A1571" s="219"/>
      <c r="B1571" s="886" t="s">
        <v>6</v>
      </c>
      <c r="C1571" s="887" t="s">
        <v>289</v>
      </c>
      <c r="D1571" s="887" t="s">
        <v>387</v>
      </c>
      <c r="E1571" s="888">
        <v>2019.0</v>
      </c>
      <c r="F1571" s="887" t="s">
        <v>291</v>
      </c>
      <c r="G1571" s="887" t="s">
        <v>89</v>
      </c>
      <c r="H1571" s="547">
        <v>1429903.098</v>
      </c>
      <c r="I1571" s="547">
        <v>1540327.251</v>
      </c>
      <c r="J1571" s="548">
        <v>1310286.39</v>
      </c>
      <c r="K1571" s="220"/>
      <c r="CE1571" s="525"/>
    </row>
    <row r="1572">
      <c r="A1572" s="219"/>
      <c r="B1572" s="889" t="s">
        <v>6</v>
      </c>
      <c r="C1572" s="890" t="s">
        <v>289</v>
      </c>
      <c r="D1572" s="890" t="s">
        <v>392</v>
      </c>
      <c r="E1572" s="891">
        <v>2019.0</v>
      </c>
      <c r="F1572" s="890" t="s">
        <v>291</v>
      </c>
      <c r="G1572" s="890" t="s">
        <v>89</v>
      </c>
      <c r="H1572" s="532">
        <v>1160389.445</v>
      </c>
      <c r="I1572" s="532">
        <v>1250000.428</v>
      </c>
      <c r="J1572" s="533">
        <v>1063318.556</v>
      </c>
      <c r="K1572" s="220"/>
      <c r="CE1572" s="525"/>
    </row>
    <row r="1573">
      <c r="A1573" s="219"/>
      <c r="B1573" s="886" t="s">
        <v>6</v>
      </c>
      <c r="C1573" s="887" t="s">
        <v>289</v>
      </c>
      <c r="D1573" s="887" t="s">
        <v>398</v>
      </c>
      <c r="E1573" s="888">
        <v>2019.0</v>
      </c>
      <c r="F1573" s="887" t="s">
        <v>291</v>
      </c>
      <c r="G1573" s="887" t="s">
        <v>89</v>
      </c>
      <c r="H1573" s="547">
        <v>939182.4525</v>
      </c>
      <c r="I1573" s="547">
        <v>1011710.743</v>
      </c>
      <c r="J1573" s="548">
        <v>860616.3503</v>
      </c>
      <c r="K1573" s="220"/>
      <c r="CE1573" s="525"/>
    </row>
    <row r="1574">
      <c r="A1574" s="219"/>
      <c r="B1574" s="889" t="s">
        <v>6</v>
      </c>
      <c r="C1574" s="890" t="s">
        <v>289</v>
      </c>
      <c r="D1574" s="890" t="s">
        <v>402</v>
      </c>
      <c r="E1574" s="891">
        <v>2019.0</v>
      </c>
      <c r="F1574" s="890" t="s">
        <v>291</v>
      </c>
      <c r="G1574" s="890" t="s">
        <v>89</v>
      </c>
      <c r="H1574" s="532">
        <v>1.190751877E7</v>
      </c>
      <c r="I1574" s="532">
        <v>1.282769063E7</v>
      </c>
      <c r="J1574" s="533">
        <v>1.091179066E7</v>
      </c>
      <c r="K1574" s="220"/>
      <c r="CE1574" s="525"/>
    </row>
    <row r="1575">
      <c r="A1575" s="219"/>
      <c r="B1575" s="886" t="s">
        <v>6</v>
      </c>
      <c r="C1575" s="887" t="s">
        <v>289</v>
      </c>
      <c r="D1575" s="887" t="s">
        <v>407</v>
      </c>
      <c r="E1575" s="888">
        <v>2019.0</v>
      </c>
      <c r="F1575" s="887" t="s">
        <v>291</v>
      </c>
      <c r="G1575" s="887" t="s">
        <v>89</v>
      </c>
      <c r="H1575" s="547">
        <v>4718990.582</v>
      </c>
      <c r="I1575" s="547">
        <v>5083414.256</v>
      </c>
      <c r="J1575" s="548">
        <v>4324229.483</v>
      </c>
      <c r="K1575" s="220"/>
      <c r="CE1575" s="525"/>
    </row>
    <row r="1576">
      <c r="A1576" s="219"/>
      <c r="B1576" s="889" t="s">
        <v>6</v>
      </c>
      <c r="C1576" s="890" t="s">
        <v>289</v>
      </c>
      <c r="D1576" s="890" t="s">
        <v>414</v>
      </c>
      <c r="E1576" s="891">
        <v>2019.0</v>
      </c>
      <c r="F1576" s="890" t="s">
        <v>291</v>
      </c>
      <c r="G1576" s="890" t="s">
        <v>89</v>
      </c>
      <c r="H1576" s="532">
        <v>706179.6441</v>
      </c>
      <c r="I1576" s="532">
        <v>760714.3112</v>
      </c>
      <c r="J1576" s="533">
        <v>647105.0927</v>
      </c>
      <c r="K1576" s="220"/>
      <c r="CE1576" s="525"/>
    </row>
    <row r="1577">
      <c r="A1577" s="219"/>
      <c r="B1577" s="886" t="s">
        <v>6</v>
      </c>
      <c r="C1577" s="887" t="s">
        <v>289</v>
      </c>
      <c r="D1577" s="887" t="s">
        <v>417</v>
      </c>
      <c r="E1577" s="888">
        <v>2019.0</v>
      </c>
      <c r="F1577" s="887" t="s">
        <v>291</v>
      </c>
      <c r="G1577" s="887" t="s">
        <v>89</v>
      </c>
      <c r="H1577" s="547">
        <v>1992825.262</v>
      </c>
      <c r="I1577" s="547">
        <v>2146721.035</v>
      </c>
      <c r="J1577" s="548">
        <v>1826118.023</v>
      </c>
      <c r="K1577" s="220"/>
      <c r="CE1577" s="525"/>
    </row>
    <row r="1578">
      <c r="A1578" s="219"/>
      <c r="B1578" s="889" t="s">
        <v>6</v>
      </c>
      <c r="C1578" s="890" t="s">
        <v>289</v>
      </c>
      <c r="D1578" s="890" t="s">
        <v>300</v>
      </c>
      <c r="E1578" s="891">
        <v>2019.0</v>
      </c>
      <c r="F1578" s="890" t="s">
        <v>291</v>
      </c>
      <c r="G1578" s="890" t="s">
        <v>89</v>
      </c>
      <c r="H1578" s="532">
        <v>8658112.544</v>
      </c>
      <c r="I1578" s="532">
        <v>9326734.599</v>
      </c>
      <c r="J1578" s="533">
        <v>7933829.255</v>
      </c>
      <c r="K1578" s="220"/>
      <c r="CE1578" s="525"/>
    </row>
    <row r="1579">
      <c r="A1579" s="219"/>
      <c r="B1579" s="886" t="s">
        <v>6</v>
      </c>
      <c r="C1579" s="887" t="s">
        <v>289</v>
      </c>
      <c r="D1579" s="887" t="s">
        <v>429</v>
      </c>
      <c r="E1579" s="888">
        <v>2019.0</v>
      </c>
      <c r="F1579" s="887" t="s">
        <v>291</v>
      </c>
      <c r="G1579" s="887" t="s">
        <v>89</v>
      </c>
      <c r="H1579" s="547">
        <v>1734986.85</v>
      </c>
      <c r="I1579" s="547">
        <v>1869060.631</v>
      </c>
      <c r="J1579" s="548">
        <v>1589904.133</v>
      </c>
      <c r="K1579" s="220"/>
      <c r="CE1579" s="525"/>
    </row>
    <row r="1580">
      <c r="A1580" s="219"/>
      <c r="B1580" s="889" t="s">
        <v>6</v>
      </c>
      <c r="C1580" s="890" t="s">
        <v>289</v>
      </c>
      <c r="D1580" s="890" t="s">
        <v>432</v>
      </c>
      <c r="E1580" s="891">
        <v>2019.0</v>
      </c>
      <c r="F1580" s="890" t="s">
        <v>291</v>
      </c>
      <c r="G1580" s="890" t="s">
        <v>89</v>
      </c>
      <c r="H1580" s="532">
        <v>540706.1762</v>
      </c>
      <c r="I1580" s="532">
        <v>582462.1679</v>
      </c>
      <c r="J1580" s="533">
        <v>495474.0953</v>
      </c>
      <c r="K1580" s="220"/>
      <c r="CE1580" s="525"/>
    </row>
    <row r="1581">
      <c r="A1581" s="219"/>
      <c r="B1581" s="886" t="s">
        <v>6</v>
      </c>
      <c r="C1581" s="887" t="s">
        <v>289</v>
      </c>
      <c r="D1581" s="887" t="s">
        <v>435</v>
      </c>
      <c r="E1581" s="888">
        <v>2019.0</v>
      </c>
      <c r="F1581" s="887" t="s">
        <v>291</v>
      </c>
      <c r="G1581" s="887" t="s">
        <v>89</v>
      </c>
      <c r="H1581" s="547">
        <v>424363.0849</v>
      </c>
      <c r="I1581" s="547">
        <v>457134.4906</v>
      </c>
      <c r="J1581" s="548">
        <v>388863.5359</v>
      </c>
      <c r="K1581" s="220"/>
      <c r="CE1581" s="525"/>
    </row>
    <row r="1582">
      <c r="A1582" s="219"/>
      <c r="B1582" s="889" t="s">
        <v>6</v>
      </c>
      <c r="C1582" s="890" t="s">
        <v>289</v>
      </c>
      <c r="D1582" s="890" t="s">
        <v>442</v>
      </c>
      <c r="E1582" s="891">
        <v>2019.0</v>
      </c>
      <c r="F1582" s="890" t="s">
        <v>291</v>
      </c>
      <c r="G1582" s="890" t="s">
        <v>89</v>
      </c>
      <c r="H1582" s="532">
        <v>321576.3564</v>
      </c>
      <c r="I1582" s="532">
        <v>346410.0651</v>
      </c>
      <c r="J1582" s="533">
        <v>294675.2992</v>
      </c>
      <c r="K1582" s="220"/>
      <c r="CE1582" s="525"/>
    </row>
    <row r="1583">
      <c r="A1583" s="219"/>
      <c r="B1583" s="886" t="s">
        <v>6</v>
      </c>
      <c r="C1583" s="887" t="s">
        <v>289</v>
      </c>
      <c r="D1583" s="887" t="s">
        <v>445</v>
      </c>
      <c r="E1583" s="888">
        <v>2019.0</v>
      </c>
      <c r="F1583" s="887" t="s">
        <v>291</v>
      </c>
      <c r="G1583" s="887" t="s">
        <v>89</v>
      </c>
      <c r="H1583" s="547">
        <v>539514.4594</v>
      </c>
      <c r="I1583" s="547">
        <v>581206.2703</v>
      </c>
      <c r="J1583" s="548">
        <v>494399.2912</v>
      </c>
      <c r="K1583" s="220"/>
      <c r="CE1583" s="525"/>
    </row>
    <row r="1584">
      <c r="A1584" s="219"/>
      <c r="B1584" s="889" t="s">
        <v>6</v>
      </c>
      <c r="C1584" s="890" t="s">
        <v>289</v>
      </c>
      <c r="D1584" s="890" t="s">
        <v>450</v>
      </c>
      <c r="E1584" s="891">
        <v>2019.0</v>
      </c>
      <c r="F1584" s="890" t="s">
        <v>291</v>
      </c>
      <c r="G1584" s="890" t="s">
        <v>89</v>
      </c>
      <c r="H1584" s="532">
        <v>217959.7337</v>
      </c>
      <c r="I1584" s="532">
        <v>234791.6569</v>
      </c>
      <c r="J1584" s="533">
        <v>199726.592</v>
      </c>
      <c r="K1584" s="220"/>
      <c r="CE1584" s="525"/>
    </row>
    <row r="1585">
      <c r="A1585" s="219"/>
      <c r="B1585" s="886" t="s">
        <v>6</v>
      </c>
      <c r="C1585" s="887" t="s">
        <v>289</v>
      </c>
      <c r="D1585" s="887" t="s">
        <v>457</v>
      </c>
      <c r="E1585" s="888">
        <v>2019.0</v>
      </c>
      <c r="F1585" s="887" t="s">
        <v>291</v>
      </c>
      <c r="G1585" s="887" t="s">
        <v>89</v>
      </c>
      <c r="H1585" s="547">
        <v>448410.793</v>
      </c>
      <c r="I1585" s="547">
        <v>483039.281</v>
      </c>
      <c r="J1585" s="548">
        <v>410899.5639</v>
      </c>
      <c r="K1585" s="220"/>
      <c r="CE1585" s="525"/>
    </row>
    <row r="1586">
      <c r="A1586" s="219"/>
      <c r="B1586" s="889" t="s">
        <v>6</v>
      </c>
      <c r="C1586" s="890" t="s">
        <v>289</v>
      </c>
      <c r="D1586" s="890" t="s">
        <v>463</v>
      </c>
      <c r="E1586" s="891">
        <v>2019.0</v>
      </c>
      <c r="F1586" s="890" t="s">
        <v>291</v>
      </c>
      <c r="G1586" s="890" t="s">
        <v>89</v>
      </c>
      <c r="H1586" s="532">
        <v>230441.8202</v>
      </c>
      <c r="I1586" s="532">
        <v>248249.5669</v>
      </c>
      <c r="J1586" s="533">
        <v>211171.8613</v>
      </c>
      <c r="K1586" s="220"/>
      <c r="CE1586" s="525"/>
    </row>
    <row r="1587">
      <c r="A1587" s="219"/>
      <c r="B1587" s="886" t="s">
        <v>6</v>
      </c>
      <c r="C1587" s="887" t="s">
        <v>289</v>
      </c>
      <c r="D1587" s="887" t="s">
        <v>467</v>
      </c>
      <c r="E1587" s="888">
        <v>2019.0</v>
      </c>
      <c r="F1587" s="887" t="s">
        <v>291</v>
      </c>
      <c r="G1587" s="887" t="s">
        <v>89</v>
      </c>
      <c r="H1587" s="547">
        <v>125186.8388</v>
      </c>
      <c r="I1587" s="547">
        <v>134854.3825</v>
      </c>
      <c r="J1587" s="548">
        <v>114714.4946</v>
      </c>
      <c r="K1587" s="220"/>
      <c r="CE1587" s="525"/>
    </row>
    <row r="1588">
      <c r="A1588" s="219"/>
      <c r="B1588" s="889" t="s">
        <v>6</v>
      </c>
      <c r="C1588" s="890" t="s">
        <v>289</v>
      </c>
      <c r="D1588" s="890" t="s">
        <v>473</v>
      </c>
      <c r="E1588" s="891">
        <v>2019.0</v>
      </c>
      <c r="F1588" s="890" t="s">
        <v>291</v>
      </c>
      <c r="G1588" s="890" t="s">
        <v>89</v>
      </c>
      <c r="H1588" s="532">
        <v>191684.7919</v>
      </c>
      <c r="I1588" s="532">
        <v>206497.5295</v>
      </c>
      <c r="J1588" s="533">
        <v>175655.7653</v>
      </c>
      <c r="K1588" s="220"/>
      <c r="CE1588" s="525"/>
    </row>
    <row r="1589">
      <c r="A1589" s="219"/>
      <c r="B1589" s="886" t="s">
        <v>6</v>
      </c>
      <c r="C1589" s="887" t="s">
        <v>289</v>
      </c>
      <c r="D1589" s="887" t="s">
        <v>477</v>
      </c>
      <c r="E1589" s="888">
        <v>2019.0</v>
      </c>
      <c r="F1589" s="887" t="s">
        <v>291</v>
      </c>
      <c r="G1589" s="887" t="s">
        <v>89</v>
      </c>
      <c r="H1589" s="547">
        <v>105264.2205</v>
      </c>
      <c r="I1589" s="547">
        <v>113393.2416</v>
      </c>
      <c r="J1589" s="548">
        <v>96458.47728</v>
      </c>
      <c r="K1589" s="220"/>
      <c r="CE1589" s="525"/>
    </row>
    <row r="1590">
      <c r="A1590" s="219"/>
      <c r="B1590" s="889" t="s">
        <v>6</v>
      </c>
      <c r="C1590" s="890" t="s">
        <v>289</v>
      </c>
      <c r="D1590" s="890" t="s">
        <v>483</v>
      </c>
      <c r="E1590" s="891">
        <v>2019.0</v>
      </c>
      <c r="F1590" s="890" t="s">
        <v>291</v>
      </c>
      <c r="G1590" s="890" t="s">
        <v>89</v>
      </c>
      <c r="H1590" s="532">
        <v>66505.6383</v>
      </c>
      <c r="I1590" s="532">
        <v>71641.53095</v>
      </c>
      <c r="J1590" s="533">
        <v>60942.19451</v>
      </c>
      <c r="K1590" s="220"/>
      <c r="CE1590" s="525"/>
    </row>
    <row r="1591">
      <c r="A1591" s="219"/>
      <c r="B1591" s="886" t="s">
        <v>6</v>
      </c>
      <c r="C1591" s="887" t="s">
        <v>289</v>
      </c>
      <c r="D1591" s="887" t="s">
        <v>489</v>
      </c>
      <c r="E1591" s="888">
        <v>2019.0</v>
      </c>
      <c r="F1591" s="887" t="s">
        <v>291</v>
      </c>
      <c r="G1591" s="887" t="s">
        <v>89</v>
      </c>
      <c r="H1591" s="547">
        <v>38757.02831</v>
      </c>
      <c r="I1591" s="547">
        <v>41752.03738</v>
      </c>
      <c r="J1591" s="548">
        <v>35516.09599</v>
      </c>
      <c r="K1591" s="220"/>
      <c r="CE1591" s="525"/>
    </row>
    <row r="1592">
      <c r="A1592" s="219"/>
      <c r="B1592" s="889" t="s">
        <v>6</v>
      </c>
      <c r="C1592" s="890" t="s">
        <v>289</v>
      </c>
      <c r="D1592" s="890" t="s">
        <v>493</v>
      </c>
      <c r="E1592" s="891">
        <v>2019.0</v>
      </c>
      <c r="F1592" s="890" t="s">
        <v>291</v>
      </c>
      <c r="G1592" s="890" t="s">
        <v>89</v>
      </c>
      <c r="H1592" s="532">
        <v>27172.88091</v>
      </c>
      <c r="I1592" s="532">
        <v>29271.30449</v>
      </c>
      <c r="J1592" s="533">
        <v>24899.76845</v>
      </c>
      <c r="K1592" s="220"/>
      <c r="CE1592" s="525"/>
    </row>
    <row r="1593">
      <c r="A1593" s="219"/>
      <c r="B1593" s="886" t="s">
        <v>6</v>
      </c>
      <c r="C1593" s="887" t="s">
        <v>289</v>
      </c>
      <c r="D1593" s="887" t="s">
        <v>496</v>
      </c>
      <c r="E1593" s="888">
        <v>2019.0</v>
      </c>
      <c r="F1593" s="887" t="s">
        <v>291</v>
      </c>
      <c r="G1593" s="887" t="s">
        <v>89</v>
      </c>
      <c r="H1593" s="547">
        <v>9123.27976</v>
      </c>
      <c r="I1593" s="547">
        <v>9827.824316</v>
      </c>
      <c r="J1593" s="548">
        <v>8360.083505</v>
      </c>
      <c r="K1593" s="220"/>
      <c r="CE1593" s="525"/>
    </row>
    <row r="1594">
      <c r="A1594" s="219"/>
      <c r="B1594" s="889" t="s">
        <v>6</v>
      </c>
      <c r="C1594" s="890" t="s">
        <v>289</v>
      </c>
      <c r="D1594" s="890" t="s">
        <v>502</v>
      </c>
      <c r="E1594" s="891">
        <v>2019.0</v>
      </c>
      <c r="F1594" s="890" t="s">
        <v>291</v>
      </c>
      <c r="G1594" s="890" t="s">
        <v>89</v>
      </c>
      <c r="H1594" s="532">
        <v>2462.421524</v>
      </c>
      <c r="I1594" s="532">
        <v>2652.581831</v>
      </c>
      <c r="J1594" s="533">
        <v>2256.430813</v>
      </c>
      <c r="K1594" s="220"/>
      <c r="CE1594" s="525"/>
    </row>
    <row r="1595">
      <c r="A1595" s="219"/>
      <c r="B1595" s="886" t="s">
        <v>6</v>
      </c>
      <c r="C1595" s="887" t="s">
        <v>289</v>
      </c>
      <c r="D1595" s="887" t="s">
        <v>332</v>
      </c>
      <c r="E1595" s="888">
        <v>2019.0</v>
      </c>
      <c r="F1595" s="887" t="s">
        <v>291</v>
      </c>
      <c r="G1595" s="887" t="s">
        <v>89</v>
      </c>
      <c r="H1595" s="547">
        <v>2.952803687E7</v>
      </c>
      <c r="I1595" s="547">
        <v>3.180833718E7</v>
      </c>
      <c r="J1595" s="548">
        <v>2.705790686E7</v>
      </c>
      <c r="K1595" s="220"/>
      <c r="CE1595" s="525"/>
    </row>
    <row r="1596">
      <c r="A1596" s="219"/>
      <c r="B1596" s="889" t="s">
        <v>6</v>
      </c>
      <c r="C1596" s="890" t="s">
        <v>289</v>
      </c>
      <c r="D1596" s="890" t="s">
        <v>510</v>
      </c>
      <c r="E1596" s="891">
        <v>2019.0</v>
      </c>
      <c r="F1596" s="890" t="s">
        <v>291</v>
      </c>
      <c r="G1596" s="890" t="s">
        <v>89</v>
      </c>
      <c r="H1596" s="532">
        <v>1124743.559</v>
      </c>
      <c r="I1596" s="532">
        <v>1206165.504</v>
      </c>
      <c r="J1596" s="533">
        <v>1045272.111</v>
      </c>
      <c r="K1596" s="220"/>
      <c r="CE1596" s="525"/>
    </row>
    <row r="1597">
      <c r="A1597" s="219"/>
      <c r="B1597" s="886" t="s">
        <v>6</v>
      </c>
      <c r="C1597" s="887" t="s">
        <v>289</v>
      </c>
      <c r="D1597" s="887" t="s">
        <v>512</v>
      </c>
      <c r="E1597" s="888">
        <v>2019.0</v>
      </c>
      <c r="F1597" s="887" t="s">
        <v>291</v>
      </c>
      <c r="G1597" s="887" t="s">
        <v>89</v>
      </c>
      <c r="H1597" s="547">
        <v>21354.79452</v>
      </c>
      <c r="I1597" s="547">
        <v>23003.91684</v>
      </c>
      <c r="J1597" s="548">
        <v>19568.3866</v>
      </c>
      <c r="K1597" s="220"/>
      <c r="CE1597" s="525"/>
    </row>
    <row r="1598">
      <c r="A1598" s="219"/>
      <c r="B1598" s="889" t="s">
        <v>6</v>
      </c>
      <c r="C1598" s="890" t="s">
        <v>289</v>
      </c>
      <c r="D1598" s="890" t="s">
        <v>515</v>
      </c>
      <c r="E1598" s="891">
        <v>2019.0</v>
      </c>
      <c r="F1598" s="890" t="s">
        <v>291</v>
      </c>
      <c r="G1598" s="890" t="s">
        <v>89</v>
      </c>
      <c r="H1598" s="532">
        <v>63156.44286</v>
      </c>
      <c r="I1598" s="532">
        <v>68033.69416</v>
      </c>
      <c r="J1598" s="533">
        <v>57873.17172</v>
      </c>
      <c r="K1598" s="220"/>
      <c r="CE1598" s="525"/>
    </row>
    <row r="1599">
      <c r="A1599" s="219"/>
      <c r="B1599" s="886" t="s">
        <v>6</v>
      </c>
      <c r="C1599" s="887" t="s">
        <v>289</v>
      </c>
      <c r="D1599" s="887" t="s">
        <v>518</v>
      </c>
      <c r="E1599" s="888">
        <v>2019.0</v>
      </c>
      <c r="F1599" s="887" t="s">
        <v>291</v>
      </c>
      <c r="G1599" s="887" t="s">
        <v>89</v>
      </c>
      <c r="H1599" s="547">
        <v>84511.23739</v>
      </c>
      <c r="I1599" s="547">
        <v>91037.611</v>
      </c>
      <c r="J1599" s="548">
        <v>77441.55833</v>
      </c>
      <c r="K1599" s="220"/>
      <c r="CE1599" s="525"/>
    </row>
    <row r="1600">
      <c r="A1600" s="219"/>
      <c r="B1600" s="889" t="s">
        <v>6</v>
      </c>
      <c r="C1600" s="890" t="s">
        <v>289</v>
      </c>
      <c r="D1600" s="890" t="s">
        <v>522</v>
      </c>
      <c r="E1600" s="891">
        <v>2019.0</v>
      </c>
      <c r="F1600" s="890" t="s">
        <v>291</v>
      </c>
      <c r="G1600" s="890" t="s">
        <v>89</v>
      </c>
      <c r="H1600" s="532">
        <v>983287.5073</v>
      </c>
      <c r="I1600" s="532">
        <v>1059221.807</v>
      </c>
      <c r="J1600" s="533">
        <v>901031.8533</v>
      </c>
      <c r="K1600" s="220"/>
      <c r="CE1600" s="525"/>
    </row>
    <row r="1601">
      <c r="A1601" s="219"/>
      <c r="B1601" s="886" t="s">
        <v>6</v>
      </c>
      <c r="C1601" s="887" t="s">
        <v>289</v>
      </c>
      <c r="D1601" s="887" t="s">
        <v>302</v>
      </c>
      <c r="E1601" s="888">
        <v>2019.0</v>
      </c>
      <c r="F1601" s="887" t="s">
        <v>291</v>
      </c>
      <c r="G1601" s="887" t="s">
        <v>89</v>
      </c>
      <c r="H1601" s="547">
        <v>5105036.17</v>
      </c>
      <c r="I1601" s="547">
        <v>5499272.183</v>
      </c>
      <c r="J1601" s="548">
        <v>4677980.923</v>
      </c>
      <c r="K1601" s="220"/>
      <c r="CE1601" s="525"/>
    </row>
    <row r="1602">
      <c r="A1602" s="219"/>
      <c r="B1602" s="889" t="s">
        <v>479</v>
      </c>
      <c r="C1602" s="890" t="s">
        <v>289</v>
      </c>
      <c r="D1602" s="890" t="s">
        <v>290</v>
      </c>
      <c r="E1602" s="891">
        <v>2019.0</v>
      </c>
      <c r="F1602" s="890" t="s">
        <v>291</v>
      </c>
      <c r="G1602" s="890" t="s">
        <v>89</v>
      </c>
      <c r="H1602" s="532">
        <v>60853.77684</v>
      </c>
      <c r="I1602" s="532">
        <v>67993.19425</v>
      </c>
      <c r="J1602" s="533">
        <v>53499.94378</v>
      </c>
      <c r="K1602" s="220"/>
      <c r="CE1602" s="525"/>
    </row>
    <row r="1603">
      <c r="A1603" s="219"/>
      <c r="B1603" s="886" t="s">
        <v>479</v>
      </c>
      <c r="C1603" s="887" t="s">
        <v>289</v>
      </c>
      <c r="D1603" s="887" t="s">
        <v>310</v>
      </c>
      <c r="E1603" s="888">
        <v>2019.0</v>
      </c>
      <c r="F1603" s="887" t="s">
        <v>291</v>
      </c>
      <c r="G1603" s="887" t="s">
        <v>89</v>
      </c>
      <c r="H1603" s="547">
        <v>1077865.646</v>
      </c>
      <c r="I1603" s="547">
        <v>1204321.77</v>
      </c>
      <c r="J1603" s="548">
        <v>947611.7085</v>
      </c>
      <c r="K1603" s="220"/>
      <c r="CE1603" s="525"/>
    </row>
    <row r="1604">
      <c r="A1604" s="219"/>
      <c r="B1604" s="889" t="s">
        <v>479</v>
      </c>
      <c r="C1604" s="890" t="s">
        <v>289</v>
      </c>
      <c r="D1604" s="890" t="s">
        <v>318</v>
      </c>
      <c r="E1604" s="891">
        <v>2019.0</v>
      </c>
      <c r="F1604" s="890" t="s">
        <v>291</v>
      </c>
      <c r="G1604" s="890" t="s">
        <v>89</v>
      </c>
      <c r="H1604" s="532">
        <v>837558.7334</v>
      </c>
      <c r="I1604" s="532">
        <v>935821.844</v>
      </c>
      <c r="J1604" s="533">
        <v>736344.5208</v>
      </c>
      <c r="K1604" s="220"/>
      <c r="CE1604" s="525"/>
    </row>
    <row r="1605">
      <c r="A1605" s="219"/>
      <c r="B1605" s="886" t="s">
        <v>479</v>
      </c>
      <c r="C1605" s="887" t="s">
        <v>289</v>
      </c>
      <c r="D1605" s="887" t="s">
        <v>309</v>
      </c>
      <c r="E1605" s="888">
        <v>2019.0</v>
      </c>
      <c r="F1605" s="887" t="s">
        <v>291</v>
      </c>
      <c r="G1605" s="887" t="s">
        <v>89</v>
      </c>
      <c r="H1605" s="547">
        <v>235907.0191</v>
      </c>
      <c r="I1605" s="547">
        <v>263583.8334</v>
      </c>
      <c r="J1605" s="548">
        <v>207398.9967</v>
      </c>
      <c r="K1605" s="220"/>
      <c r="CE1605" s="525"/>
    </row>
    <row r="1606">
      <c r="A1606" s="219"/>
      <c r="B1606" s="889" t="s">
        <v>479</v>
      </c>
      <c r="C1606" s="890" t="s">
        <v>289</v>
      </c>
      <c r="D1606" s="890" t="s">
        <v>334</v>
      </c>
      <c r="E1606" s="891">
        <v>2019.0</v>
      </c>
      <c r="F1606" s="890" t="s">
        <v>291</v>
      </c>
      <c r="G1606" s="890" t="s">
        <v>89</v>
      </c>
      <c r="H1606" s="532">
        <v>260088.4491</v>
      </c>
      <c r="I1606" s="532">
        <v>290602.2495</v>
      </c>
      <c r="J1606" s="533">
        <v>228658.2382</v>
      </c>
      <c r="K1606" s="220"/>
      <c r="CE1606" s="525"/>
    </row>
    <row r="1607">
      <c r="A1607" s="219"/>
      <c r="B1607" s="886" t="s">
        <v>479</v>
      </c>
      <c r="C1607" s="887" t="s">
        <v>289</v>
      </c>
      <c r="D1607" s="887" t="s">
        <v>339</v>
      </c>
      <c r="E1607" s="888">
        <v>2019.0</v>
      </c>
      <c r="F1607" s="887" t="s">
        <v>291</v>
      </c>
      <c r="G1607" s="887" t="s">
        <v>89</v>
      </c>
      <c r="H1607" s="547">
        <v>500395.3613</v>
      </c>
      <c r="I1607" s="547">
        <v>559102.1752</v>
      </c>
      <c r="J1607" s="548">
        <v>439925.4259</v>
      </c>
      <c r="K1607" s="220"/>
      <c r="CE1607" s="525"/>
    </row>
    <row r="1608">
      <c r="A1608" s="219"/>
      <c r="B1608" s="889" t="s">
        <v>479</v>
      </c>
      <c r="C1608" s="890" t="s">
        <v>289</v>
      </c>
      <c r="D1608" s="890" t="s">
        <v>344</v>
      </c>
      <c r="E1608" s="891">
        <v>2019.0</v>
      </c>
      <c r="F1608" s="890" t="s">
        <v>291</v>
      </c>
      <c r="G1608" s="890" t="s">
        <v>89</v>
      </c>
      <c r="H1608" s="532">
        <v>729773.8043</v>
      </c>
      <c r="I1608" s="532">
        <v>815391.4943</v>
      </c>
      <c r="J1608" s="533">
        <v>641584.7878</v>
      </c>
      <c r="K1608" s="220"/>
      <c r="CE1608" s="525"/>
    </row>
    <row r="1609">
      <c r="A1609" s="219"/>
      <c r="B1609" s="886" t="s">
        <v>479</v>
      </c>
      <c r="C1609" s="887" t="s">
        <v>289</v>
      </c>
      <c r="D1609" s="887" t="s">
        <v>349</v>
      </c>
      <c r="E1609" s="888">
        <v>2019.0</v>
      </c>
      <c r="F1609" s="887" t="s">
        <v>291</v>
      </c>
      <c r="G1609" s="887" t="s">
        <v>89</v>
      </c>
      <c r="H1609" s="547">
        <v>240306.9122</v>
      </c>
      <c r="I1609" s="547">
        <v>268499.9257</v>
      </c>
      <c r="J1609" s="548">
        <v>211267.1877</v>
      </c>
      <c r="K1609" s="220"/>
      <c r="CE1609" s="525"/>
    </row>
    <row r="1610">
      <c r="A1610" s="219"/>
      <c r="B1610" s="889" t="s">
        <v>479</v>
      </c>
      <c r="C1610" s="890" t="s">
        <v>289</v>
      </c>
      <c r="D1610" s="890" t="s">
        <v>355</v>
      </c>
      <c r="E1610" s="891">
        <v>2019.0</v>
      </c>
      <c r="F1610" s="890" t="s">
        <v>291</v>
      </c>
      <c r="G1610" s="890" t="s">
        <v>89</v>
      </c>
      <c r="H1610" s="532">
        <v>1020928.074</v>
      </c>
      <c r="I1610" s="532">
        <v>1140787.131</v>
      </c>
      <c r="J1610" s="533">
        <v>897612.0113</v>
      </c>
      <c r="K1610" s="220"/>
      <c r="CE1610" s="525"/>
    </row>
    <row r="1611">
      <c r="A1611" s="219"/>
      <c r="B1611" s="886" t="s">
        <v>479</v>
      </c>
      <c r="C1611" s="887" t="s">
        <v>289</v>
      </c>
      <c r="D1611" s="887" t="s">
        <v>358</v>
      </c>
      <c r="E1611" s="888">
        <v>2019.0</v>
      </c>
      <c r="F1611" s="887" t="s">
        <v>291</v>
      </c>
      <c r="G1611" s="887" t="s">
        <v>89</v>
      </c>
      <c r="H1611" s="547">
        <v>1255215.426</v>
      </c>
      <c r="I1611" s="547">
        <v>1402478.379</v>
      </c>
      <c r="J1611" s="548">
        <v>1103529.776</v>
      </c>
      <c r="K1611" s="220"/>
      <c r="CE1611" s="525"/>
    </row>
    <row r="1612">
      <c r="A1612" s="219"/>
      <c r="B1612" s="889" t="s">
        <v>479</v>
      </c>
      <c r="C1612" s="890" t="s">
        <v>289</v>
      </c>
      <c r="D1612" s="890" t="s">
        <v>362</v>
      </c>
      <c r="E1612" s="891">
        <v>2019.0</v>
      </c>
      <c r="F1612" s="890" t="s">
        <v>291</v>
      </c>
      <c r="G1612" s="890" t="s">
        <v>89</v>
      </c>
      <c r="H1612" s="532">
        <v>1325169.094</v>
      </c>
      <c r="I1612" s="532">
        <v>1480746.673</v>
      </c>
      <c r="J1612" s="533">
        <v>1165104.306</v>
      </c>
      <c r="K1612" s="220"/>
      <c r="CE1612" s="525"/>
    </row>
    <row r="1613">
      <c r="A1613" s="219"/>
      <c r="B1613" s="886" t="s">
        <v>479</v>
      </c>
      <c r="C1613" s="887" t="s">
        <v>289</v>
      </c>
      <c r="D1613" s="887" t="s">
        <v>366</v>
      </c>
      <c r="E1613" s="888">
        <v>2019.0</v>
      </c>
      <c r="F1613" s="887" t="s">
        <v>291</v>
      </c>
      <c r="G1613" s="887" t="s">
        <v>89</v>
      </c>
      <c r="H1613" s="547">
        <v>229378.443</v>
      </c>
      <c r="I1613" s="547">
        <v>256289.3191</v>
      </c>
      <c r="J1613" s="548">
        <v>201659.3619</v>
      </c>
      <c r="K1613" s="220"/>
      <c r="CE1613" s="525"/>
    </row>
    <row r="1614">
      <c r="A1614" s="219"/>
      <c r="B1614" s="889" t="s">
        <v>479</v>
      </c>
      <c r="C1614" s="890" t="s">
        <v>289</v>
      </c>
      <c r="D1614" s="890" t="s">
        <v>368</v>
      </c>
      <c r="E1614" s="891">
        <v>2019.0</v>
      </c>
      <c r="F1614" s="890" t="s">
        <v>291</v>
      </c>
      <c r="G1614" s="890" t="s">
        <v>89</v>
      </c>
      <c r="H1614" s="532">
        <v>1095879.837</v>
      </c>
      <c r="I1614" s="532">
        <v>1224449.401</v>
      </c>
      <c r="J1614" s="533">
        <v>963448.987</v>
      </c>
      <c r="K1614" s="220"/>
      <c r="CE1614" s="525"/>
    </row>
    <row r="1615">
      <c r="A1615" s="219"/>
      <c r="B1615" s="886" t="s">
        <v>479</v>
      </c>
      <c r="C1615" s="887" t="s">
        <v>289</v>
      </c>
      <c r="D1615" s="887" t="s">
        <v>373</v>
      </c>
      <c r="E1615" s="888">
        <v>2019.0</v>
      </c>
      <c r="F1615" s="887" t="s">
        <v>291</v>
      </c>
      <c r="G1615" s="887" t="s">
        <v>89</v>
      </c>
      <c r="H1615" s="547">
        <v>213549.456</v>
      </c>
      <c r="I1615" s="547">
        <v>238603.2617</v>
      </c>
      <c r="J1615" s="548">
        <v>187743.218</v>
      </c>
      <c r="K1615" s="220"/>
      <c r="CE1615" s="525"/>
    </row>
    <row r="1616">
      <c r="A1616" s="219"/>
      <c r="B1616" s="889" t="s">
        <v>479</v>
      </c>
      <c r="C1616" s="890" t="s">
        <v>289</v>
      </c>
      <c r="D1616" s="890" t="s">
        <v>379</v>
      </c>
      <c r="E1616" s="891">
        <v>2019.0</v>
      </c>
      <c r="F1616" s="890" t="s">
        <v>291</v>
      </c>
      <c r="G1616" s="890" t="s">
        <v>89</v>
      </c>
      <c r="H1616" s="532">
        <v>785477.2074</v>
      </c>
      <c r="I1616" s="532">
        <v>877693.8479</v>
      </c>
      <c r="J1616" s="533">
        <v>690600.8304</v>
      </c>
      <c r="K1616" s="220"/>
      <c r="CE1616" s="525"/>
    </row>
    <row r="1617">
      <c r="A1617" s="219"/>
      <c r="B1617" s="886" t="s">
        <v>479</v>
      </c>
      <c r="C1617" s="887" t="s">
        <v>289</v>
      </c>
      <c r="D1617" s="887" t="s">
        <v>382</v>
      </c>
      <c r="E1617" s="888">
        <v>2019.0</v>
      </c>
      <c r="F1617" s="887" t="s">
        <v>291</v>
      </c>
      <c r="G1617" s="887" t="s">
        <v>89</v>
      </c>
      <c r="H1617" s="547">
        <v>184178.4817</v>
      </c>
      <c r="I1617" s="547">
        <v>205786.4595</v>
      </c>
      <c r="J1617" s="548">
        <v>161921.559</v>
      </c>
      <c r="K1617" s="220"/>
      <c r="CE1617" s="525"/>
    </row>
    <row r="1618">
      <c r="A1618" s="219"/>
      <c r="B1618" s="889" t="s">
        <v>479</v>
      </c>
      <c r="C1618" s="890" t="s">
        <v>289</v>
      </c>
      <c r="D1618" s="890" t="s">
        <v>387</v>
      </c>
      <c r="E1618" s="891">
        <v>2019.0</v>
      </c>
      <c r="F1618" s="890" t="s">
        <v>291</v>
      </c>
      <c r="G1618" s="890" t="s">
        <v>89</v>
      </c>
      <c r="H1618" s="532">
        <v>153583.4913</v>
      </c>
      <c r="I1618" s="532">
        <v>171602.0385</v>
      </c>
      <c r="J1618" s="533">
        <v>135023.7993</v>
      </c>
      <c r="K1618" s="220"/>
      <c r="CE1618" s="525"/>
    </row>
    <row r="1619">
      <c r="A1619" s="219"/>
      <c r="B1619" s="886" t="s">
        <v>479</v>
      </c>
      <c r="C1619" s="887" t="s">
        <v>289</v>
      </c>
      <c r="D1619" s="887" t="s">
        <v>392</v>
      </c>
      <c r="E1619" s="888">
        <v>2019.0</v>
      </c>
      <c r="F1619" s="887" t="s">
        <v>291</v>
      </c>
      <c r="G1619" s="887" t="s">
        <v>89</v>
      </c>
      <c r="H1619" s="547">
        <v>128613.5989</v>
      </c>
      <c r="I1619" s="547">
        <v>143702.6568</v>
      </c>
      <c r="J1619" s="548">
        <v>113071.3764</v>
      </c>
      <c r="K1619" s="220"/>
      <c r="CE1619" s="525"/>
    </row>
    <row r="1620">
      <c r="A1620" s="219"/>
      <c r="B1620" s="889" t="s">
        <v>479</v>
      </c>
      <c r="C1620" s="890" t="s">
        <v>289</v>
      </c>
      <c r="D1620" s="890" t="s">
        <v>398</v>
      </c>
      <c r="E1620" s="891">
        <v>2019.0</v>
      </c>
      <c r="F1620" s="890" t="s">
        <v>291</v>
      </c>
      <c r="G1620" s="890" t="s">
        <v>89</v>
      </c>
      <c r="H1620" s="532">
        <v>105605.0432</v>
      </c>
      <c r="I1620" s="532">
        <v>117994.7177</v>
      </c>
      <c r="J1620" s="533">
        <v>92843.27397</v>
      </c>
      <c r="K1620" s="220"/>
      <c r="CE1620" s="525"/>
    </row>
    <row r="1621">
      <c r="A1621" s="219"/>
      <c r="B1621" s="886" t="s">
        <v>479</v>
      </c>
      <c r="C1621" s="887" t="s">
        <v>289</v>
      </c>
      <c r="D1621" s="887" t="s">
        <v>402</v>
      </c>
      <c r="E1621" s="888">
        <v>2019.0</v>
      </c>
      <c r="F1621" s="887" t="s">
        <v>291</v>
      </c>
      <c r="G1621" s="887" t="s">
        <v>89</v>
      </c>
      <c r="H1621" s="547">
        <v>781052.2837</v>
      </c>
      <c r="I1621" s="547">
        <v>872749.4291</v>
      </c>
      <c r="J1621" s="548">
        <v>686710.3853</v>
      </c>
      <c r="K1621" s="220"/>
      <c r="CE1621" s="525"/>
    </row>
    <row r="1622">
      <c r="A1622" s="219"/>
      <c r="B1622" s="889" t="s">
        <v>479</v>
      </c>
      <c r="C1622" s="890" t="s">
        <v>289</v>
      </c>
      <c r="D1622" s="890" t="s">
        <v>407</v>
      </c>
      <c r="E1622" s="891">
        <v>2019.0</v>
      </c>
      <c r="F1622" s="890" t="s">
        <v>291</v>
      </c>
      <c r="G1622" s="890" t="s">
        <v>89</v>
      </c>
      <c r="H1622" s="532">
        <v>280709.4884</v>
      </c>
      <c r="I1622" s="532">
        <v>313642.5669</v>
      </c>
      <c r="J1622" s="533">
        <v>246787.3422</v>
      </c>
      <c r="K1622" s="220"/>
      <c r="CE1622" s="525"/>
    </row>
    <row r="1623">
      <c r="A1623" s="219"/>
      <c r="B1623" s="886" t="s">
        <v>479</v>
      </c>
      <c r="C1623" s="887" t="s">
        <v>289</v>
      </c>
      <c r="D1623" s="887" t="s">
        <v>414</v>
      </c>
      <c r="E1623" s="888">
        <v>2019.0</v>
      </c>
      <c r="F1623" s="887" t="s">
        <v>291</v>
      </c>
      <c r="G1623" s="887" t="s">
        <v>89</v>
      </c>
      <c r="H1623" s="547">
        <v>83743.83844</v>
      </c>
      <c r="I1623" s="547">
        <v>93568.73755</v>
      </c>
      <c r="J1623" s="548">
        <v>73623.87153</v>
      </c>
      <c r="K1623" s="220"/>
      <c r="BF1623" s="929"/>
      <c r="BG1623" s="929"/>
      <c r="BH1623" s="929"/>
      <c r="BI1623" s="929"/>
      <c r="BJ1623" s="929"/>
      <c r="BK1623" s="929"/>
      <c r="BL1623" s="929"/>
      <c r="BM1623" s="929"/>
      <c r="BN1623" s="929"/>
      <c r="BO1623" s="929"/>
      <c r="BP1623" s="929"/>
      <c r="BQ1623" s="929"/>
      <c r="CE1623" s="525"/>
    </row>
    <row r="1624">
      <c r="A1624" s="219"/>
      <c r="B1624" s="889" t="s">
        <v>479</v>
      </c>
      <c r="C1624" s="890" t="s">
        <v>289</v>
      </c>
      <c r="D1624" s="890" t="s">
        <v>417</v>
      </c>
      <c r="E1624" s="891">
        <v>2019.0</v>
      </c>
      <c r="F1624" s="890" t="s">
        <v>291</v>
      </c>
      <c r="G1624" s="890" t="s">
        <v>89</v>
      </c>
      <c r="H1624" s="532">
        <v>241485.7697</v>
      </c>
      <c r="I1624" s="532">
        <v>269817.0878</v>
      </c>
      <c r="J1624" s="533">
        <v>212303.5869</v>
      </c>
      <c r="K1624" s="220"/>
      <c r="CE1624" s="525"/>
    </row>
    <row r="1625">
      <c r="A1625" s="219"/>
      <c r="B1625" s="886" t="s">
        <v>479</v>
      </c>
      <c r="C1625" s="887" t="s">
        <v>289</v>
      </c>
      <c r="D1625" s="887" t="s">
        <v>300</v>
      </c>
      <c r="E1625" s="888">
        <v>2019.0</v>
      </c>
      <c r="F1625" s="887" t="s">
        <v>291</v>
      </c>
      <c r="G1625" s="887" t="s">
        <v>89</v>
      </c>
      <c r="H1625" s="547">
        <v>540797.9375</v>
      </c>
      <c r="I1625" s="547">
        <v>604244.8163</v>
      </c>
      <c r="J1625" s="548">
        <v>475445.5804</v>
      </c>
      <c r="K1625" s="220"/>
      <c r="CE1625" s="525"/>
    </row>
    <row r="1626">
      <c r="A1626" s="219"/>
      <c r="B1626" s="889" t="s">
        <v>479</v>
      </c>
      <c r="C1626" s="890" t="s">
        <v>289</v>
      </c>
      <c r="D1626" s="890" t="s">
        <v>429</v>
      </c>
      <c r="E1626" s="891">
        <v>2019.0</v>
      </c>
      <c r="F1626" s="890" t="s">
        <v>291</v>
      </c>
      <c r="G1626" s="890" t="s">
        <v>89</v>
      </c>
      <c r="H1626" s="532">
        <v>226590.6773</v>
      </c>
      <c r="I1626" s="532">
        <v>253192.8891</v>
      </c>
      <c r="J1626" s="533">
        <v>199221.1976</v>
      </c>
      <c r="K1626" s="220"/>
      <c r="CE1626" s="525"/>
    </row>
    <row r="1627">
      <c r="A1627" s="219"/>
      <c r="B1627" s="886" t="s">
        <v>479</v>
      </c>
      <c r="C1627" s="887" t="s">
        <v>289</v>
      </c>
      <c r="D1627" s="887" t="s">
        <v>432</v>
      </c>
      <c r="E1627" s="888">
        <v>2019.0</v>
      </c>
      <c r="F1627" s="887" t="s">
        <v>291</v>
      </c>
      <c r="G1627" s="887" t="s">
        <v>89</v>
      </c>
      <c r="H1627" s="547">
        <v>65946.94987</v>
      </c>
      <c r="I1627" s="547">
        <v>73683.90272</v>
      </c>
      <c r="J1627" s="548">
        <v>57977.6358</v>
      </c>
      <c r="K1627" s="220"/>
      <c r="CE1627" s="525"/>
    </row>
    <row r="1628">
      <c r="A1628" s="219"/>
      <c r="B1628" s="889" t="s">
        <v>479</v>
      </c>
      <c r="C1628" s="890" t="s">
        <v>289</v>
      </c>
      <c r="D1628" s="890" t="s">
        <v>435</v>
      </c>
      <c r="E1628" s="891">
        <v>2019.0</v>
      </c>
      <c r="F1628" s="890" t="s">
        <v>291</v>
      </c>
      <c r="G1628" s="890" t="s">
        <v>89</v>
      </c>
      <c r="H1628" s="532">
        <v>51517.49618</v>
      </c>
      <c r="I1628" s="532">
        <v>57561.57312</v>
      </c>
      <c r="J1628" s="533">
        <v>45291.89958</v>
      </c>
      <c r="K1628" s="220"/>
      <c r="CE1628" s="525"/>
    </row>
    <row r="1629">
      <c r="A1629" s="219"/>
      <c r="B1629" s="886" t="s">
        <v>479</v>
      </c>
      <c r="C1629" s="887" t="s">
        <v>289</v>
      </c>
      <c r="D1629" s="887" t="s">
        <v>442</v>
      </c>
      <c r="E1629" s="888">
        <v>2019.0</v>
      </c>
      <c r="F1629" s="887" t="s">
        <v>291</v>
      </c>
      <c r="G1629" s="887" t="s">
        <v>89</v>
      </c>
      <c r="H1629" s="547">
        <v>40277.48519</v>
      </c>
      <c r="I1629" s="547">
        <v>45002.87438</v>
      </c>
      <c r="J1629" s="548">
        <v>35410.18003</v>
      </c>
      <c r="K1629" s="220"/>
      <c r="CE1629" s="525"/>
    </row>
    <row r="1630">
      <c r="A1630" s="219"/>
      <c r="B1630" s="889" t="s">
        <v>479</v>
      </c>
      <c r="C1630" s="890" t="s">
        <v>289</v>
      </c>
      <c r="D1630" s="890" t="s">
        <v>445</v>
      </c>
      <c r="E1630" s="891">
        <v>2019.0</v>
      </c>
      <c r="F1630" s="890" t="s">
        <v>291</v>
      </c>
      <c r="G1630" s="890" t="s">
        <v>89</v>
      </c>
      <c r="H1630" s="532">
        <v>69035.18352</v>
      </c>
      <c r="I1630" s="532">
        <v>77140.05613</v>
      </c>
      <c r="J1630" s="533">
        <v>60696.54806</v>
      </c>
      <c r="K1630" s="220"/>
      <c r="CE1630" s="525"/>
    </row>
    <row r="1631">
      <c r="A1631" s="219"/>
      <c r="B1631" s="886" t="s">
        <v>479</v>
      </c>
      <c r="C1631" s="887" t="s">
        <v>289</v>
      </c>
      <c r="D1631" s="887" t="s">
        <v>450</v>
      </c>
      <c r="E1631" s="888">
        <v>2019.0</v>
      </c>
      <c r="F1631" s="887" t="s">
        <v>291</v>
      </c>
      <c r="G1631" s="887" t="s">
        <v>89</v>
      </c>
      <c r="H1631" s="547">
        <v>28762.3445</v>
      </c>
      <c r="I1631" s="547">
        <v>32136.76748</v>
      </c>
      <c r="J1631" s="548">
        <v>25286.57864</v>
      </c>
      <c r="K1631" s="220"/>
      <c r="CE1631" s="525"/>
    </row>
    <row r="1632">
      <c r="A1632" s="219"/>
      <c r="B1632" s="889" t="s">
        <v>479</v>
      </c>
      <c r="C1632" s="890" t="s">
        <v>289</v>
      </c>
      <c r="D1632" s="890" t="s">
        <v>457</v>
      </c>
      <c r="E1632" s="891">
        <v>2019.0</v>
      </c>
      <c r="F1632" s="890" t="s">
        <v>291</v>
      </c>
      <c r="G1632" s="890" t="s">
        <v>89</v>
      </c>
      <c r="H1632" s="532">
        <v>68863.99592</v>
      </c>
      <c r="I1632" s="532">
        <v>76943.17912</v>
      </c>
      <c r="J1632" s="533">
        <v>60542.17341</v>
      </c>
      <c r="K1632" s="220"/>
      <c r="CE1632" s="525"/>
    </row>
    <row r="1633">
      <c r="A1633" s="219"/>
      <c r="B1633" s="886" t="s">
        <v>479</v>
      </c>
      <c r="C1633" s="887" t="s">
        <v>289</v>
      </c>
      <c r="D1633" s="887" t="s">
        <v>463</v>
      </c>
      <c r="E1633" s="888">
        <v>2019.0</v>
      </c>
      <c r="F1633" s="887" t="s">
        <v>291</v>
      </c>
      <c r="G1633" s="887" t="s">
        <v>89</v>
      </c>
      <c r="H1633" s="547">
        <v>40098.95271</v>
      </c>
      <c r="I1633" s="547">
        <v>44806.65227</v>
      </c>
      <c r="J1633" s="548">
        <v>35255.47244</v>
      </c>
      <c r="K1633" s="220"/>
      <c r="CE1633" s="525"/>
    </row>
    <row r="1634">
      <c r="A1634" s="219"/>
      <c r="B1634" s="889" t="s">
        <v>479</v>
      </c>
      <c r="C1634" s="890" t="s">
        <v>289</v>
      </c>
      <c r="D1634" s="890" t="s">
        <v>467</v>
      </c>
      <c r="E1634" s="891">
        <v>2019.0</v>
      </c>
      <c r="F1634" s="890" t="s">
        <v>291</v>
      </c>
      <c r="G1634" s="890" t="s">
        <v>89</v>
      </c>
      <c r="H1634" s="532">
        <v>20708.42446</v>
      </c>
      <c r="I1634" s="532">
        <v>23137.95462</v>
      </c>
      <c r="J1634" s="533">
        <v>18205.92906</v>
      </c>
      <c r="K1634" s="220"/>
      <c r="CE1634" s="525"/>
    </row>
    <row r="1635">
      <c r="A1635" s="219"/>
      <c r="B1635" s="886" t="s">
        <v>479</v>
      </c>
      <c r="C1635" s="887" t="s">
        <v>289</v>
      </c>
      <c r="D1635" s="887" t="s">
        <v>473</v>
      </c>
      <c r="E1635" s="888">
        <v>2019.0</v>
      </c>
      <c r="F1635" s="887" t="s">
        <v>291</v>
      </c>
      <c r="G1635" s="887" t="s">
        <v>89</v>
      </c>
      <c r="H1635" s="547">
        <v>32491.11528</v>
      </c>
      <c r="I1635" s="547">
        <v>36305.63907</v>
      </c>
      <c r="J1635" s="548">
        <v>28566.57199</v>
      </c>
      <c r="K1635" s="220"/>
      <c r="CE1635" s="525"/>
    </row>
    <row r="1636">
      <c r="A1636" s="219"/>
      <c r="B1636" s="889" t="s">
        <v>479</v>
      </c>
      <c r="C1636" s="890" t="s">
        <v>289</v>
      </c>
      <c r="D1636" s="890" t="s">
        <v>477</v>
      </c>
      <c r="E1636" s="891">
        <v>2019.0</v>
      </c>
      <c r="F1636" s="890" t="s">
        <v>291</v>
      </c>
      <c r="G1636" s="890" t="s">
        <v>89</v>
      </c>
      <c r="H1636" s="532">
        <v>19393.22697</v>
      </c>
      <c r="I1636" s="532">
        <v>21668.45702</v>
      </c>
      <c r="J1636" s="533">
        <v>17049.66571</v>
      </c>
      <c r="K1636" s="220"/>
      <c r="CE1636" s="525"/>
    </row>
    <row r="1637">
      <c r="A1637" s="219"/>
      <c r="B1637" s="886" t="s">
        <v>479</v>
      </c>
      <c r="C1637" s="887" t="s">
        <v>289</v>
      </c>
      <c r="D1637" s="887" t="s">
        <v>483</v>
      </c>
      <c r="E1637" s="888">
        <v>2019.0</v>
      </c>
      <c r="F1637" s="887" t="s">
        <v>291</v>
      </c>
      <c r="G1637" s="887" t="s">
        <v>89</v>
      </c>
      <c r="H1637" s="547">
        <v>11784.87752</v>
      </c>
      <c r="I1637" s="547">
        <v>13167.48948</v>
      </c>
      <c r="J1637" s="548">
        <v>10360.74205</v>
      </c>
      <c r="K1637" s="220"/>
      <c r="CE1637" s="525"/>
    </row>
    <row r="1638">
      <c r="A1638" s="219"/>
      <c r="B1638" s="889" t="s">
        <v>479</v>
      </c>
      <c r="C1638" s="890" t="s">
        <v>289</v>
      </c>
      <c r="D1638" s="890" t="s">
        <v>489</v>
      </c>
      <c r="E1638" s="891">
        <v>2019.0</v>
      </c>
      <c r="F1638" s="890" t="s">
        <v>291</v>
      </c>
      <c r="G1638" s="890" t="s">
        <v>89</v>
      </c>
      <c r="H1638" s="532">
        <v>7607.837428</v>
      </c>
      <c r="I1638" s="532">
        <v>8501.013197</v>
      </c>
      <c r="J1638" s="533">
        <v>6688.900449</v>
      </c>
      <c r="K1638" s="220"/>
      <c r="CE1638" s="525"/>
    </row>
    <row r="1639">
      <c r="A1639" s="219"/>
      <c r="B1639" s="886" t="s">
        <v>479</v>
      </c>
      <c r="C1639" s="887" t="s">
        <v>289</v>
      </c>
      <c r="D1639" s="887" t="s">
        <v>493</v>
      </c>
      <c r="E1639" s="888">
        <v>2019.0</v>
      </c>
      <c r="F1639" s="887" t="s">
        <v>291</v>
      </c>
      <c r="G1639" s="887" t="s">
        <v>89</v>
      </c>
      <c r="H1639" s="547">
        <v>5340.606989</v>
      </c>
      <c r="I1639" s="547">
        <v>5967.171591</v>
      </c>
      <c r="J1639" s="548">
        <v>4695.224988</v>
      </c>
      <c r="K1639" s="220"/>
      <c r="CE1639" s="525"/>
    </row>
    <row r="1640">
      <c r="A1640" s="219"/>
      <c r="B1640" s="889" t="s">
        <v>479</v>
      </c>
      <c r="C1640" s="890" t="s">
        <v>289</v>
      </c>
      <c r="D1640" s="890" t="s">
        <v>496</v>
      </c>
      <c r="E1640" s="891">
        <v>2019.0</v>
      </c>
      <c r="F1640" s="890" t="s">
        <v>291</v>
      </c>
      <c r="G1640" s="890" t="s">
        <v>89</v>
      </c>
      <c r="H1640" s="532">
        <v>1785.085213</v>
      </c>
      <c r="I1640" s="532">
        <v>1994.512944</v>
      </c>
      <c r="J1640" s="533">
        <v>1569.367811</v>
      </c>
      <c r="K1640" s="220"/>
      <c r="CE1640" s="525"/>
    </row>
    <row r="1641">
      <c r="A1641" s="219"/>
      <c r="B1641" s="886" t="s">
        <v>479</v>
      </c>
      <c r="C1641" s="887" t="s">
        <v>289</v>
      </c>
      <c r="D1641" s="887" t="s">
        <v>502</v>
      </c>
      <c r="E1641" s="888">
        <v>2019.0</v>
      </c>
      <c r="F1641" s="887" t="s">
        <v>291</v>
      </c>
      <c r="G1641" s="887" t="s">
        <v>89</v>
      </c>
      <c r="H1641" s="547">
        <v>482.6572445</v>
      </c>
      <c r="I1641" s="547">
        <v>539.2830073</v>
      </c>
      <c r="J1641" s="548">
        <v>424.3308597</v>
      </c>
      <c r="K1641" s="220"/>
      <c r="CE1641" s="525"/>
    </row>
    <row r="1642">
      <c r="A1642" s="219"/>
      <c r="B1642" s="889" t="s">
        <v>479</v>
      </c>
      <c r="C1642" s="890" t="s">
        <v>289</v>
      </c>
      <c r="D1642" s="890" t="s">
        <v>332</v>
      </c>
      <c r="E1642" s="891">
        <v>2019.0</v>
      </c>
      <c r="F1642" s="890" t="s">
        <v>291</v>
      </c>
      <c r="G1642" s="890" t="s">
        <v>89</v>
      </c>
      <c r="H1642" s="532">
        <v>2403123.925</v>
      </c>
      <c r="I1642" s="532">
        <v>2685060.49</v>
      </c>
      <c r="J1642" s="533">
        <v>2112720.057</v>
      </c>
      <c r="K1642" s="220"/>
      <c r="CE1642" s="525"/>
    </row>
    <row r="1643">
      <c r="A1643" s="219"/>
      <c r="B1643" s="886" t="s">
        <v>479</v>
      </c>
      <c r="C1643" s="887" t="s">
        <v>289</v>
      </c>
      <c r="D1643" s="887" t="s">
        <v>510</v>
      </c>
      <c r="E1643" s="888">
        <v>2019.0</v>
      </c>
      <c r="F1643" s="887" t="s">
        <v>291</v>
      </c>
      <c r="G1643" s="887" t="s">
        <v>89</v>
      </c>
      <c r="H1643" s="547">
        <v>62797.92996</v>
      </c>
      <c r="I1643" s="547">
        <v>70176.08068</v>
      </c>
      <c r="J1643" s="548">
        <v>56867.35882</v>
      </c>
      <c r="K1643" s="220"/>
      <c r="CE1643" s="525"/>
    </row>
    <row r="1644">
      <c r="A1644" s="219"/>
      <c r="B1644" s="889" t="s">
        <v>479</v>
      </c>
      <c r="C1644" s="890" t="s">
        <v>289</v>
      </c>
      <c r="D1644" s="890" t="s">
        <v>512</v>
      </c>
      <c r="E1644" s="891">
        <v>2019.0</v>
      </c>
      <c r="F1644" s="890" t="s">
        <v>291</v>
      </c>
      <c r="G1644" s="890" t="s">
        <v>89</v>
      </c>
      <c r="H1644" s="532">
        <v>1189.629007</v>
      </c>
      <c r="I1644" s="532">
        <v>1329.197305</v>
      </c>
      <c r="J1644" s="533">
        <v>1045.869103</v>
      </c>
      <c r="K1644" s="220"/>
      <c r="CE1644" s="525"/>
    </row>
    <row r="1645">
      <c r="A1645" s="219"/>
      <c r="B1645" s="886" t="s">
        <v>479</v>
      </c>
      <c r="C1645" s="887" t="s">
        <v>289</v>
      </c>
      <c r="D1645" s="887" t="s">
        <v>515</v>
      </c>
      <c r="E1645" s="888">
        <v>2019.0</v>
      </c>
      <c r="F1645" s="887" t="s">
        <v>291</v>
      </c>
      <c r="G1645" s="887" t="s">
        <v>89</v>
      </c>
      <c r="H1645" s="547">
        <v>3538.392425</v>
      </c>
      <c r="I1645" s="547">
        <v>3953.519666</v>
      </c>
      <c r="J1645" s="548">
        <v>3110.797812</v>
      </c>
      <c r="K1645" s="220"/>
      <c r="CE1645" s="525"/>
    </row>
    <row r="1646">
      <c r="A1646" s="219"/>
      <c r="B1646" s="889" t="s">
        <v>479</v>
      </c>
      <c r="C1646" s="890" t="s">
        <v>289</v>
      </c>
      <c r="D1646" s="890" t="s">
        <v>518</v>
      </c>
      <c r="E1646" s="891">
        <v>2019.0</v>
      </c>
      <c r="F1646" s="890" t="s">
        <v>291</v>
      </c>
      <c r="G1646" s="890" t="s">
        <v>89</v>
      </c>
      <c r="H1646" s="532">
        <v>4728.021432</v>
      </c>
      <c r="I1646" s="532">
        <v>5282.716971</v>
      </c>
      <c r="J1646" s="533">
        <v>4156.666915</v>
      </c>
      <c r="K1646" s="220"/>
      <c r="CE1646" s="525"/>
    </row>
    <row r="1647">
      <c r="A1647" s="219"/>
      <c r="B1647" s="886" t="s">
        <v>479</v>
      </c>
      <c r="C1647" s="887" t="s">
        <v>289</v>
      </c>
      <c r="D1647" s="887" t="s">
        <v>522</v>
      </c>
      <c r="E1647" s="888">
        <v>2019.0</v>
      </c>
      <c r="F1647" s="887" t="s">
        <v>291</v>
      </c>
      <c r="G1647" s="887" t="s">
        <v>89</v>
      </c>
      <c r="H1647" s="547">
        <v>56125.75541</v>
      </c>
      <c r="I1647" s="547">
        <v>62710.47728</v>
      </c>
      <c r="J1647" s="548">
        <v>49343.27686</v>
      </c>
      <c r="K1647" s="220"/>
      <c r="CE1647" s="525"/>
    </row>
    <row r="1648">
      <c r="A1648" s="219"/>
      <c r="B1648" s="889" t="s">
        <v>479</v>
      </c>
      <c r="C1648" s="890" t="s">
        <v>289</v>
      </c>
      <c r="D1648" s="890" t="s">
        <v>302</v>
      </c>
      <c r="E1648" s="891">
        <v>2019.0</v>
      </c>
      <c r="F1648" s="890" t="s">
        <v>291</v>
      </c>
      <c r="G1648" s="890" t="s">
        <v>89</v>
      </c>
      <c r="H1648" s="532">
        <v>296760.796</v>
      </c>
      <c r="I1648" s="532">
        <v>331577.0276</v>
      </c>
      <c r="J1648" s="533">
        <v>260898.9404</v>
      </c>
      <c r="K1648" s="220"/>
      <c r="CE1648" s="525"/>
    </row>
    <row r="1649">
      <c r="A1649" s="219"/>
      <c r="B1649" s="886" t="s">
        <v>484</v>
      </c>
      <c r="C1649" s="887" t="s">
        <v>289</v>
      </c>
      <c r="D1649" s="887" t="s">
        <v>290</v>
      </c>
      <c r="E1649" s="888">
        <v>2019.0</v>
      </c>
      <c r="F1649" s="887" t="s">
        <v>291</v>
      </c>
      <c r="G1649" s="887" t="s">
        <v>89</v>
      </c>
      <c r="H1649" s="547">
        <v>600248.4808</v>
      </c>
      <c r="I1649" s="547">
        <v>675681.6744</v>
      </c>
      <c r="J1649" s="548">
        <v>525159.6729</v>
      </c>
      <c r="K1649" s="220"/>
      <c r="CE1649" s="525"/>
    </row>
    <row r="1650">
      <c r="A1650" s="219"/>
      <c r="B1650" s="889" t="s">
        <v>484</v>
      </c>
      <c r="C1650" s="890" t="s">
        <v>289</v>
      </c>
      <c r="D1650" s="890" t="s">
        <v>310</v>
      </c>
      <c r="E1650" s="891">
        <v>2019.0</v>
      </c>
      <c r="F1650" s="890" t="s">
        <v>291</v>
      </c>
      <c r="G1650" s="890" t="s">
        <v>89</v>
      </c>
      <c r="H1650" s="532">
        <v>1.251912919E7</v>
      </c>
      <c r="I1650" s="532">
        <v>1.409240747E7</v>
      </c>
      <c r="J1650" s="533">
        <v>1.095303362E7</v>
      </c>
      <c r="K1650" s="220"/>
      <c r="CE1650" s="525"/>
    </row>
    <row r="1651">
      <c r="A1651" s="219"/>
      <c r="B1651" s="886" t="s">
        <v>484</v>
      </c>
      <c r="C1651" s="887" t="s">
        <v>289</v>
      </c>
      <c r="D1651" s="887" t="s">
        <v>318</v>
      </c>
      <c r="E1651" s="888">
        <v>2019.0</v>
      </c>
      <c r="F1651" s="887" t="s">
        <v>291</v>
      </c>
      <c r="G1651" s="887" t="s">
        <v>89</v>
      </c>
      <c r="H1651" s="547">
        <v>9219483.894</v>
      </c>
      <c r="I1651" s="547">
        <v>1.037809593E7</v>
      </c>
      <c r="J1651" s="548">
        <v>8066161.432</v>
      </c>
      <c r="K1651" s="220"/>
      <c r="CE1651" s="525"/>
    </row>
    <row r="1652">
      <c r="A1652" s="219"/>
      <c r="B1652" s="889" t="s">
        <v>484</v>
      </c>
      <c r="C1652" s="890" t="s">
        <v>289</v>
      </c>
      <c r="D1652" s="890" t="s">
        <v>309</v>
      </c>
      <c r="E1652" s="891">
        <v>2019.0</v>
      </c>
      <c r="F1652" s="890" t="s">
        <v>291</v>
      </c>
      <c r="G1652" s="890" t="s">
        <v>89</v>
      </c>
      <c r="H1652" s="532">
        <v>2395719.2</v>
      </c>
      <c r="I1652" s="532">
        <v>2696789.1</v>
      </c>
      <c r="J1652" s="533">
        <v>2096023.816</v>
      </c>
      <c r="K1652" s="220"/>
      <c r="CE1652" s="525"/>
    </row>
    <row r="1653">
      <c r="A1653" s="219"/>
      <c r="B1653" s="886" t="s">
        <v>484</v>
      </c>
      <c r="C1653" s="887" t="s">
        <v>289</v>
      </c>
      <c r="D1653" s="887" t="s">
        <v>334</v>
      </c>
      <c r="E1653" s="888">
        <v>2019.0</v>
      </c>
      <c r="F1653" s="887" t="s">
        <v>291</v>
      </c>
      <c r="G1653" s="887" t="s">
        <v>89</v>
      </c>
      <c r="H1653" s="547">
        <v>3198800.258</v>
      </c>
      <c r="I1653" s="547">
        <v>3600793.31</v>
      </c>
      <c r="J1653" s="548">
        <v>2798642.48</v>
      </c>
      <c r="K1653" s="220"/>
      <c r="CE1653" s="525"/>
    </row>
    <row r="1654">
      <c r="A1654" s="219"/>
      <c r="B1654" s="889" t="s">
        <v>484</v>
      </c>
      <c r="C1654" s="890" t="s">
        <v>289</v>
      </c>
      <c r="D1654" s="890" t="s">
        <v>339</v>
      </c>
      <c r="E1654" s="891">
        <v>2019.0</v>
      </c>
      <c r="F1654" s="890" t="s">
        <v>291</v>
      </c>
      <c r="G1654" s="890" t="s">
        <v>89</v>
      </c>
      <c r="H1654" s="532">
        <v>6498445.557</v>
      </c>
      <c r="I1654" s="532">
        <v>7315104.853</v>
      </c>
      <c r="J1654" s="533">
        <v>5685514.669</v>
      </c>
      <c r="K1654" s="220"/>
      <c r="CE1654" s="525"/>
    </row>
    <row r="1655">
      <c r="A1655" s="219"/>
      <c r="B1655" s="886" t="s">
        <v>484</v>
      </c>
      <c r="C1655" s="887" t="s">
        <v>289</v>
      </c>
      <c r="D1655" s="887" t="s">
        <v>344</v>
      </c>
      <c r="E1655" s="888">
        <v>2019.0</v>
      </c>
      <c r="F1655" s="887" t="s">
        <v>291</v>
      </c>
      <c r="G1655" s="887" t="s">
        <v>89</v>
      </c>
      <c r="H1655" s="547">
        <v>9552239.828</v>
      </c>
      <c r="I1655" s="547">
        <v>1.075266928E7</v>
      </c>
      <c r="J1655" s="548">
        <v>8357290.861</v>
      </c>
      <c r="K1655" s="220"/>
      <c r="CE1655" s="525"/>
    </row>
    <row r="1656">
      <c r="A1656" s="219"/>
      <c r="B1656" s="889" t="s">
        <v>484</v>
      </c>
      <c r="C1656" s="890" t="s">
        <v>289</v>
      </c>
      <c r="D1656" s="890" t="s">
        <v>349</v>
      </c>
      <c r="E1656" s="891">
        <v>2019.0</v>
      </c>
      <c r="F1656" s="890" t="s">
        <v>291</v>
      </c>
      <c r="G1656" s="890" t="s">
        <v>89</v>
      </c>
      <c r="H1656" s="532">
        <v>3299645.299</v>
      </c>
      <c r="I1656" s="532">
        <v>3714311.543</v>
      </c>
      <c r="J1656" s="533">
        <v>2886872.189</v>
      </c>
      <c r="K1656" s="220"/>
      <c r="CE1656" s="525"/>
    </row>
    <row r="1657">
      <c r="A1657" s="219"/>
      <c r="B1657" s="886" t="s">
        <v>484</v>
      </c>
      <c r="C1657" s="887" t="s">
        <v>289</v>
      </c>
      <c r="D1657" s="887" t="s">
        <v>355</v>
      </c>
      <c r="E1657" s="888">
        <v>2019.0</v>
      </c>
      <c r="F1657" s="887" t="s">
        <v>291</v>
      </c>
      <c r="G1657" s="887" t="s">
        <v>89</v>
      </c>
      <c r="H1657" s="547">
        <v>1.307482121E7</v>
      </c>
      <c r="I1657" s="547">
        <v>1.471942909E7</v>
      </c>
      <c r="J1657" s="548">
        <v>1.143952283E7</v>
      </c>
      <c r="K1657" s="220"/>
      <c r="CE1657" s="525"/>
    </row>
    <row r="1658">
      <c r="A1658" s="219"/>
      <c r="B1658" s="889" t="s">
        <v>484</v>
      </c>
      <c r="C1658" s="890" t="s">
        <v>289</v>
      </c>
      <c r="D1658" s="890" t="s">
        <v>358</v>
      </c>
      <c r="E1658" s="891">
        <v>2019.0</v>
      </c>
      <c r="F1658" s="890" t="s">
        <v>291</v>
      </c>
      <c r="G1658" s="890" t="s">
        <v>89</v>
      </c>
      <c r="H1658" s="532">
        <v>1.618278954E7</v>
      </c>
      <c r="I1658" s="532">
        <v>1.821647981E7</v>
      </c>
      <c r="J1658" s="533">
        <v>1.415838396E7</v>
      </c>
      <c r="K1658" s="220"/>
      <c r="CE1658" s="525"/>
    </row>
    <row r="1659">
      <c r="A1659" s="219"/>
      <c r="B1659" s="886" t="s">
        <v>484</v>
      </c>
      <c r="C1659" s="887" t="s">
        <v>289</v>
      </c>
      <c r="D1659" s="887" t="s">
        <v>362</v>
      </c>
      <c r="E1659" s="888">
        <v>2019.0</v>
      </c>
      <c r="F1659" s="887" t="s">
        <v>291</v>
      </c>
      <c r="G1659" s="887" t="s">
        <v>89</v>
      </c>
      <c r="H1659" s="547">
        <v>1.789660859E7</v>
      </c>
      <c r="I1659" s="547">
        <v>2.014772186E7</v>
      </c>
      <c r="J1659" s="548">
        <v>1.565823802E7</v>
      </c>
      <c r="K1659" s="220"/>
      <c r="CE1659" s="525"/>
    </row>
    <row r="1660">
      <c r="A1660" s="219"/>
      <c r="B1660" s="889" t="s">
        <v>484</v>
      </c>
      <c r="C1660" s="890" t="s">
        <v>289</v>
      </c>
      <c r="D1660" s="890" t="s">
        <v>366</v>
      </c>
      <c r="E1660" s="891">
        <v>2019.0</v>
      </c>
      <c r="F1660" s="890" t="s">
        <v>291</v>
      </c>
      <c r="G1660" s="890" t="s">
        <v>89</v>
      </c>
      <c r="H1660" s="532">
        <v>3053794.271</v>
      </c>
      <c r="I1660" s="532">
        <v>3437564.429</v>
      </c>
      <c r="J1660" s="533">
        <v>2671776.192</v>
      </c>
      <c r="K1660" s="220"/>
      <c r="BS1660" s="929"/>
      <c r="BT1660" s="929"/>
      <c r="BU1660" s="929"/>
      <c r="BV1660" s="929"/>
      <c r="BW1660" s="929"/>
      <c r="BX1660" s="929"/>
      <c r="BY1660" s="929"/>
      <c r="BZ1660" s="929"/>
      <c r="CA1660" s="929"/>
      <c r="CB1660" s="929"/>
      <c r="CC1660" s="929"/>
      <c r="CD1660" s="929"/>
      <c r="CE1660" s="525"/>
    </row>
    <row r="1661">
      <c r="A1661" s="219"/>
      <c r="B1661" s="886" t="s">
        <v>484</v>
      </c>
      <c r="C1661" s="887" t="s">
        <v>289</v>
      </c>
      <c r="D1661" s="887" t="s">
        <v>368</v>
      </c>
      <c r="E1661" s="888">
        <v>2019.0</v>
      </c>
      <c r="F1661" s="887" t="s">
        <v>291</v>
      </c>
      <c r="G1661" s="887" t="s">
        <v>89</v>
      </c>
      <c r="H1661" s="547">
        <v>1.484345893E7</v>
      </c>
      <c r="I1661" s="547">
        <v>1.67088356E7</v>
      </c>
      <c r="J1661" s="548">
        <v>1.298659853E7</v>
      </c>
      <c r="K1661" s="220"/>
      <c r="CE1661" s="525"/>
    </row>
    <row r="1662">
      <c r="A1662" s="219"/>
      <c r="B1662" s="889" t="s">
        <v>484</v>
      </c>
      <c r="C1662" s="890" t="s">
        <v>289</v>
      </c>
      <c r="D1662" s="890" t="s">
        <v>373</v>
      </c>
      <c r="E1662" s="891">
        <v>2019.0</v>
      </c>
      <c r="F1662" s="890" t="s">
        <v>291</v>
      </c>
      <c r="G1662" s="890" t="s">
        <v>89</v>
      </c>
      <c r="H1662" s="532">
        <v>2598159.541</v>
      </c>
      <c r="I1662" s="532">
        <v>2924670.108</v>
      </c>
      <c r="J1662" s="533">
        <v>2273139.639</v>
      </c>
      <c r="K1662" s="220"/>
      <c r="CE1662" s="525"/>
    </row>
    <row r="1663">
      <c r="A1663" s="219"/>
      <c r="B1663" s="886" t="s">
        <v>484</v>
      </c>
      <c r="C1663" s="887" t="s">
        <v>289</v>
      </c>
      <c r="D1663" s="887" t="s">
        <v>379</v>
      </c>
      <c r="E1663" s="888">
        <v>2019.0</v>
      </c>
      <c r="F1663" s="887" t="s">
        <v>291</v>
      </c>
      <c r="G1663" s="887" t="s">
        <v>89</v>
      </c>
      <c r="H1663" s="547">
        <v>9828995.947</v>
      </c>
      <c r="I1663" s="547">
        <v>1.106532981E7</v>
      </c>
      <c r="J1663" s="548">
        <v>8599660.503</v>
      </c>
      <c r="K1663" s="220"/>
      <c r="CE1663" s="525"/>
    </row>
    <row r="1664">
      <c r="A1664" s="219"/>
      <c r="B1664" s="889" t="s">
        <v>484</v>
      </c>
      <c r="C1664" s="890" t="s">
        <v>289</v>
      </c>
      <c r="D1664" s="890" t="s">
        <v>382</v>
      </c>
      <c r="E1664" s="891">
        <v>2019.0</v>
      </c>
      <c r="F1664" s="890" t="s">
        <v>291</v>
      </c>
      <c r="G1664" s="890" t="s">
        <v>89</v>
      </c>
      <c r="H1664" s="532">
        <v>2204950.138</v>
      </c>
      <c r="I1664" s="532">
        <v>2482046.1</v>
      </c>
      <c r="J1664" s="533">
        <v>1929119.24</v>
      </c>
      <c r="K1664" s="220"/>
      <c r="CE1664" s="525"/>
    </row>
    <row r="1665">
      <c r="A1665" s="219"/>
      <c r="B1665" s="886" t="s">
        <v>484</v>
      </c>
      <c r="C1665" s="887" t="s">
        <v>289</v>
      </c>
      <c r="D1665" s="887" t="s">
        <v>387</v>
      </c>
      <c r="E1665" s="888">
        <v>2019.0</v>
      </c>
      <c r="F1665" s="887" t="s">
        <v>291</v>
      </c>
      <c r="G1665" s="887" t="s">
        <v>89</v>
      </c>
      <c r="H1665" s="547">
        <v>1918742.896</v>
      </c>
      <c r="I1665" s="547">
        <v>2159871.211</v>
      </c>
      <c r="J1665" s="548">
        <v>1678715.439</v>
      </c>
      <c r="K1665" s="220"/>
      <c r="CE1665" s="525"/>
    </row>
    <row r="1666">
      <c r="A1666" s="219"/>
      <c r="B1666" s="889" t="s">
        <v>484</v>
      </c>
      <c r="C1666" s="890" t="s">
        <v>289</v>
      </c>
      <c r="D1666" s="890" t="s">
        <v>392</v>
      </c>
      <c r="E1666" s="891">
        <v>2019.0</v>
      </c>
      <c r="F1666" s="890" t="s">
        <v>291</v>
      </c>
      <c r="G1666" s="890" t="s">
        <v>89</v>
      </c>
      <c r="H1666" s="532">
        <v>1666577.751</v>
      </c>
      <c r="I1666" s="532">
        <v>1876016.486</v>
      </c>
      <c r="J1666" s="533">
        <v>1458095.197</v>
      </c>
      <c r="K1666" s="220"/>
      <c r="CE1666" s="525"/>
    </row>
    <row r="1667">
      <c r="A1667" s="219"/>
      <c r="B1667" s="886" t="s">
        <v>484</v>
      </c>
      <c r="C1667" s="887" t="s">
        <v>289</v>
      </c>
      <c r="D1667" s="887" t="s">
        <v>398</v>
      </c>
      <c r="E1667" s="888">
        <v>2019.0</v>
      </c>
      <c r="F1667" s="887" t="s">
        <v>291</v>
      </c>
      <c r="G1667" s="887" t="s">
        <v>89</v>
      </c>
      <c r="H1667" s="547">
        <v>1440919.645</v>
      </c>
      <c r="I1667" s="547">
        <v>1621999.937</v>
      </c>
      <c r="J1667" s="548">
        <v>1260666.063</v>
      </c>
      <c r="K1667" s="220"/>
      <c r="CE1667" s="525"/>
    </row>
    <row r="1668">
      <c r="A1668" s="219"/>
      <c r="B1668" s="889" t="s">
        <v>484</v>
      </c>
      <c r="C1668" s="890" t="s">
        <v>289</v>
      </c>
      <c r="D1668" s="890" t="s">
        <v>402</v>
      </c>
      <c r="E1668" s="891">
        <v>2019.0</v>
      </c>
      <c r="F1668" s="890" t="s">
        <v>291</v>
      </c>
      <c r="G1668" s="890" t="s">
        <v>89</v>
      </c>
      <c r="H1668" s="532">
        <v>9522818.515</v>
      </c>
      <c r="I1668" s="532">
        <v>1.072064005E7</v>
      </c>
      <c r="J1668" s="533">
        <v>8331777.397</v>
      </c>
      <c r="K1668" s="220"/>
      <c r="CE1668" s="525"/>
    </row>
    <row r="1669">
      <c r="A1669" s="219"/>
      <c r="B1669" s="886" t="s">
        <v>484</v>
      </c>
      <c r="C1669" s="887" t="s">
        <v>289</v>
      </c>
      <c r="D1669" s="887" t="s">
        <v>407</v>
      </c>
      <c r="E1669" s="888">
        <v>2019.0</v>
      </c>
      <c r="F1669" s="887" t="s">
        <v>291</v>
      </c>
      <c r="G1669" s="887" t="s">
        <v>89</v>
      </c>
      <c r="H1669" s="547">
        <v>3024715.955</v>
      </c>
      <c r="I1669" s="547">
        <v>3404831.842</v>
      </c>
      <c r="J1669" s="548">
        <v>2646335.463</v>
      </c>
      <c r="K1669" s="220"/>
      <c r="CE1669" s="525"/>
    </row>
    <row r="1670">
      <c r="A1670" s="219"/>
      <c r="B1670" s="889" t="s">
        <v>484</v>
      </c>
      <c r="C1670" s="890" t="s">
        <v>289</v>
      </c>
      <c r="D1670" s="890" t="s">
        <v>414</v>
      </c>
      <c r="E1670" s="891">
        <v>2019.0</v>
      </c>
      <c r="F1670" s="890" t="s">
        <v>291</v>
      </c>
      <c r="G1670" s="890" t="s">
        <v>89</v>
      </c>
      <c r="H1670" s="532">
        <v>1240525.824</v>
      </c>
      <c r="I1670" s="532">
        <v>1396422.636</v>
      </c>
      <c r="J1670" s="533">
        <v>1085340.749</v>
      </c>
      <c r="K1670" s="220"/>
      <c r="CE1670" s="525"/>
    </row>
    <row r="1671">
      <c r="A1671" s="219"/>
      <c r="B1671" s="886" t="s">
        <v>484</v>
      </c>
      <c r="C1671" s="887" t="s">
        <v>289</v>
      </c>
      <c r="D1671" s="887" t="s">
        <v>417</v>
      </c>
      <c r="E1671" s="888">
        <v>2019.0</v>
      </c>
      <c r="F1671" s="887" t="s">
        <v>291</v>
      </c>
      <c r="G1671" s="887" t="s">
        <v>89</v>
      </c>
      <c r="H1671" s="547">
        <v>3919800.072</v>
      </c>
      <c r="I1671" s="547">
        <v>4412401.131</v>
      </c>
      <c r="J1671" s="548">
        <v>3429447.952</v>
      </c>
      <c r="K1671" s="220"/>
      <c r="CE1671" s="525"/>
    </row>
    <row r="1672">
      <c r="A1672" s="219"/>
      <c r="B1672" s="889" t="s">
        <v>484</v>
      </c>
      <c r="C1672" s="890" t="s">
        <v>289</v>
      </c>
      <c r="D1672" s="890" t="s">
        <v>300</v>
      </c>
      <c r="E1672" s="891">
        <v>2019.0</v>
      </c>
      <c r="F1672" s="890" t="s">
        <v>291</v>
      </c>
      <c r="G1672" s="890" t="s">
        <v>89</v>
      </c>
      <c r="H1672" s="532">
        <v>6223516.213</v>
      </c>
      <c r="I1672" s="532">
        <v>7005625.153</v>
      </c>
      <c r="J1672" s="533">
        <v>5444977.943</v>
      </c>
      <c r="K1672" s="220"/>
      <c r="CE1672" s="525"/>
    </row>
    <row r="1673">
      <c r="A1673" s="219"/>
      <c r="B1673" s="886" t="s">
        <v>484</v>
      </c>
      <c r="C1673" s="887" t="s">
        <v>289</v>
      </c>
      <c r="D1673" s="887" t="s">
        <v>429</v>
      </c>
      <c r="E1673" s="888">
        <v>2019.0</v>
      </c>
      <c r="F1673" s="887" t="s">
        <v>291</v>
      </c>
      <c r="G1673" s="887" t="s">
        <v>89</v>
      </c>
      <c r="H1673" s="547">
        <v>3773447.222</v>
      </c>
      <c r="I1673" s="547">
        <v>4248087.825</v>
      </c>
      <c r="J1673" s="548">
        <v>3301493.378</v>
      </c>
      <c r="K1673" s="220"/>
      <c r="CE1673" s="525"/>
    </row>
    <row r="1674">
      <c r="A1674" s="219"/>
      <c r="B1674" s="889" t="s">
        <v>484</v>
      </c>
      <c r="C1674" s="890" t="s">
        <v>289</v>
      </c>
      <c r="D1674" s="890" t="s">
        <v>432</v>
      </c>
      <c r="E1674" s="891">
        <v>2019.0</v>
      </c>
      <c r="F1674" s="890" t="s">
        <v>291</v>
      </c>
      <c r="G1674" s="890" t="s">
        <v>89</v>
      </c>
      <c r="H1674" s="532">
        <v>1059697.39</v>
      </c>
      <c r="I1674" s="532">
        <v>1192869.502</v>
      </c>
      <c r="J1674" s="533">
        <v>927133.266</v>
      </c>
      <c r="K1674" s="220"/>
      <c r="CE1674" s="525"/>
    </row>
    <row r="1675">
      <c r="A1675" s="219"/>
      <c r="B1675" s="886" t="s">
        <v>484</v>
      </c>
      <c r="C1675" s="887" t="s">
        <v>289</v>
      </c>
      <c r="D1675" s="887" t="s">
        <v>435</v>
      </c>
      <c r="E1675" s="888">
        <v>2019.0</v>
      </c>
      <c r="F1675" s="887" t="s">
        <v>291</v>
      </c>
      <c r="G1675" s="887" t="s">
        <v>89</v>
      </c>
      <c r="H1675" s="547">
        <v>890574.8946</v>
      </c>
      <c r="I1675" s="547">
        <v>1002493.393</v>
      </c>
      <c r="J1675" s="548">
        <v>779167.3536</v>
      </c>
      <c r="K1675" s="220"/>
      <c r="CE1675" s="525"/>
    </row>
    <row r="1676">
      <c r="A1676" s="219"/>
      <c r="B1676" s="889" t="s">
        <v>484</v>
      </c>
      <c r="C1676" s="890" t="s">
        <v>289</v>
      </c>
      <c r="D1676" s="890" t="s">
        <v>442</v>
      </c>
      <c r="E1676" s="891">
        <v>2019.0</v>
      </c>
      <c r="F1676" s="890" t="s">
        <v>291</v>
      </c>
      <c r="G1676" s="890" t="s">
        <v>89</v>
      </c>
      <c r="H1676" s="532">
        <v>729001.9641</v>
      </c>
      <c r="I1676" s="532">
        <v>820615.6008</v>
      </c>
      <c r="J1676" s="533">
        <v>637806.5838</v>
      </c>
      <c r="K1676" s="220"/>
      <c r="CE1676" s="525"/>
    </row>
    <row r="1677">
      <c r="A1677" s="219"/>
      <c r="B1677" s="886" t="s">
        <v>484</v>
      </c>
      <c r="C1677" s="887" t="s">
        <v>289</v>
      </c>
      <c r="D1677" s="887" t="s">
        <v>445</v>
      </c>
      <c r="E1677" s="888">
        <v>2019.0</v>
      </c>
      <c r="F1677" s="887" t="s">
        <v>291</v>
      </c>
      <c r="G1677" s="887" t="s">
        <v>89</v>
      </c>
      <c r="H1677" s="547">
        <v>1237471.189</v>
      </c>
      <c r="I1677" s="547">
        <v>1393125.697</v>
      </c>
      <c r="J1677" s="548">
        <v>1082697.781</v>
      </c>
      <c r="K1677" s="220"/>
      <c r="CE1677" s="525"/>
    </row>
    <row r="1678">
      <c r="A1678" s="219"/>
      <c r="B1678" s="889" t="s">
        <v>484</v>
      </c>
      <c r="C1678" s="890" t="s">
        <v>289</v>
      </c>
      <c r="D1678" s="890" t="s">
        <v>450</v>
      </c>
      <c r="E1678" s="891">
        <v>2019.0</v>
      </c>
      <c r="F1678" s="890" t="s">
        <v>291</v>
      </c>
      <c r="G1678" s="890" t="s">
        <v>89</v>
      </c>
      <c r="H1678" s="532">
        <v>508513.7962</v>
      </c>
      <c r="I1678" s="532">
        <v>572418.697</v>
      </c>
      <c r="J1678" s="533">
        <v>444900.6493</v>
      </c>
      <c r="K1678" s="220"/>
      <c r="CE1678" s="525"/>
    </row>
    <row r="1679">
      <c r="A1679" s="219"/>
      <c r="B1679" s="886" t="s">
        <v>484</v>
      </c>
      <c r="C1679" s="887" t="s">
        <v>289</v>
      </c>
      <c r="D1679" s="887" t="s">
        <v>457</v>
      </c>
      <c r="E1679" s="888">
        <v>2019.0</v>
      </c>
      <c r="F1679" s="887" t="s">
        <v>291</v>
      </c>
      <c r="G1679" s="887" t="s">
        <v>89</v>
      </c>
      <c r="H1679" s="547">
        <v>1094308.887</v>
      </c>
      <c r="I1679" s="547">
        <v>1231830.625</v>
      </c>
      <c r="J1679" s="548">
        <v>957414.9968</v>
      </c>
      <c r="K1679" s="220"/>
      <c r="CE1679" s="525"/>
    </row>
    <row r="1680">
      <c r="A1680" s="219"/>
      <c r="B1680" s="889" t="s">
        <v>484</v>
      </c>
      <c r="C1680" s="890" t="s">
        <v>289</v>
      </c>
      <c r="D1680" s="890" t="s">
        <v>463</v>
      </c>
      <c r="E1680" s="891">
        <v>2019.0</v>
      </c>
      <c r="F1680" s="890" t="s">
        <v>291</v>
      </c>
      <c r="G1680" s="890" t="s">
        <v>89</v>
      </c>
      <c r="H1680" s="532">
        <v>585773.9925</v>
      </c>
      <c r="I1680" s="532">
        <v>659455.193</v>
      </c>
      <c r="J1680" s="533">
        <v>512509.8733</v>
      </c>
      <c r="K1680" s="220"/>
      <c r="CE1680" s="525"/>
    </row>
    <row r="1681">
      <c r="A1681" s="219"/>
      <c r="B1681" s="886" t="s">
        <v>484</v>
      </c>
      <c r="C1681" s="887" t="s">
        <v>289</v>
      </c>
      <c r="D1681" s="887" t="s">
        <v>467</v>
      </c>
      <c r="E1681" s="888">
        <v>2019.0</v>
      </c>
      <c r="F1681" s="887" t="s">
        <v>291</v>
      </c>
      <c r="G1681" s="887" t="s">
        <v>89</v>
      </c>
      <c r="H1681" s="547">
        <v>321767.6017</v>
      </c>
      <c r="I1681" s="547">
        <v>362204.1184</v>
      </c>
      <c r="J1681" s="548">
        <v>281515.6953</v>
      </c>
      <c r="K1681" s="220"/>
      <c r="CE1681" s="525"/>
    </row>
    <row r="1682">
      <c r="A1682" s="219"/>
      <c r="B1682" s="889" t="s">
        <v>484</v>
      </c>
      <c r="C1682" s="890" t="s">
        <v>289</v>
      </c>
      <c r="D1682" s="890" t="s">
        <v>473</v>
      </c>
      <c r="E1682" s="891">
        <v>2019.0</v>
      </c>
      <c r="F1682" s="890" t="s">
        <v>291</v>
      </c>
      <c r="G1682" s="890" t="s">
        <v>89</v>
      </c>
      <c r="H1682" s="532">
        <v>491384.1003</v>
      </c>
      <c r="I1682" s="532">
        <v>553192.5296</v>
      </c>
      <c r="J1682" s="533">
        <v>429925.545</v>
      </c>
      <c r="K1682" s="220"/>
      <c r="CE1682" s="525"/>
    </row>
    <row r="1683">
      <c r="A1683" s="219"/>
      <c r="B1683" s="886" t="s">
        <v>484</v>
      </c>
      <c r="C1683" s="887" t="s">
        <v>289</v>
      </c>
      <c r="D1683" s="887" t="s">
        <v>477</v>
      </c>
      <c r="E1683" s="888">
        <v>2019.0</v>
      </c>
      <c r="F1683" s="887" t="s">
        <v>291</v>
      </c>
      <c r="G1683" s="887" t="s">
        <v>89</v>
      </c>
      <c r="H1683" s="547">
        <v>264027.4896</v>
      </c>
      <c r="I1683" s="547">
        <v>297207.8096</v>
      </c>
      <c r="J1683" s="548">
        <v>230998.6522</v>
      </c>
      <c r="K1683" s="220"/>
      <c r="CE1683" s="525"/>
    </row>
    <row r="1684">
      <c r="A1684" s="219"/>
      <c r="B1684" s="889" t="s">
        <v>484</v>
      </c>
      <c r="C1684" s="890" t="s">
        <v>289</v>
      </c>
      <c r="D1684" s="890" t="s">
        <v>483</v>
      </c>
      <c r="E1684" s="891">
        <v>2019.0</v>
      </c>
      <c r="F1684" s="890" t="s">
        <v>291</v>
      </c>
      <c r="G1684" s="890" t="s">
        <v>89</v>
      </c>
      <c r="H1684" s="532">
        <v>169634.1975</v>
      </c>
      <c r="I1684" s="532">
        <v>190952.1178</v>
      </c>
      <c r="J1684" s="533">
        <v>148413.6029</v>
      </c>
      <c r="K1684" s="220"/>
      <c r="CE1684" s="525"/>
    </row>
    <row r="1685">
      <c r="A1685" s="219"/>
      <c r="B1685" s="886" t="s">
        <v>484</v>
      </c>
      <c r="C1685" s="887" t="s">
        <v>289</v>
      </c>
      <c r="D1685" s="887" t="s">
        <v>489</v>
      </c>
      <c r="E1685" s="888">
        <v>2019.0</v>
      </c>
      <c r="F1685" s="887" t="s">
        <v>291</v>
      </c>
      <c r="G1685" s="887" t="s">
        <v>89</v>
      </c>
      <c r="H1685" s="547">
        <v>94389.89223</v>
      </c>
      <c r="I1685" s="547">
        <v>106262.6634</v>
      </c>
      <c r="J1685" s="548">
        <v>82584.3283</v>
      </c>
      <c r="K1685" s="220"/>
      <c r="CE1685" s="525"/>
    </row>
    <row r="1686">
      <c r="A1686" s="219"/>
      <c r="B1686" s="889" t="s">
        <v>484</v>
      </c>
      <c r="C1686" s="890" t="s">
        <v>289</v>
      </c>
      <c r="D1686" s="890" t="s">
        <v>493</v>
      </c>
      <c r="E1686" s="891">
        <v>2019.0</v>
      </c>
      <c r="F1686" s="890" t="s">
        <v>291</v>
      </c>
      <c r="G1686" s="890" t="s">
        <v>89</v>
      </c>
      <c r="H1686" s="532">
        <v>68631.32698</v>
      </c>
      <c r="I1686" s="532">
        <v>77256.22206</v>
      </c>
      <c r="J1686" s="533">
        <v>60045.80832</v>
      </c>
      <c r="K1686" s="220"/>
      <c r="CE1686" s="525"/>
    </row>
    <row r="1687">
      <c r="A1687" s="219"/>
      <c r="B1687" s="886" t="s">
        <v>484</v>
      </c>
      <c r="C1687" s="887" t="s">
        <v>289</v>
      </c>
      <c r="D1687" s="887" t="s">
        <v>496</v>
      </c>
      <c r="E1687" s="888">
        <v>2019.0</v>
      </c>
      <c r="F1687" s="887" t="s">
        <v>291</v>
      </c>
      <c r="G1687" s="887" t="s">
        <v>89</v>
      </c>
      <c r="H1687" s="547">
        <v>20579.27033</v>
      </c>
      <c r="I1687" s="547">
        <v>23165.4661</v>
      </c>
      <c r="J1687" s="548">
        <v>18004.88168</v>
      </c>
      <c r="K1687" s="220"/>
      <c r="CE1687" s="525"/>
    </row>
    <row r="1688">
      <c r="A1688" s="219"/>
      <c r="B1688" s="889" t="s">
        <v>484</v>
      </c>
      <c r="C1688" s="890" t="s">
        <v>289</v>
      </c>
      <c r="D1688" s="890" t="s">
        <v>502</v>
      </c>
      <c r="E1688" s="891">
        <v>2019.0</v>
      </c>
      <c r="F1688" s="890" t="s">
        <v>291</v>
      </c>
      <c r="G1688" s="890" t="s">
        <v>89</v>
      </c>
      <c r="H1688" s="532">
        <v>5182.694708</v>
      </c>
      <c r="I1688" s="532">
        <v>5834.003667</v>
      </c>
      <c r="J1688" s="533">
        <v>4534.35926</v>
      </c>
      <c r="K1688" s="220"/>
      <c r="CE1688" s="525"/>
    </row>
    <row r="1689">
      <c r="A1689" s="219"/>
      <c r="B1689" s="886" t="s">
        <v>484</v>
      </c>
      <c r="C1689" s="887" t="s">
        <v>289</v>
      </c>
      <c r="D1689" s="887" t="s">
        <v>332</v>
      </c>
      <c r="E1689" s="888">
        <v>2019.0</v>
      </c>
      <c r="F1689" s="887" t="s">
        <v>291</v>
      </c>
      <c r="G1689" s="887" t="s">
        <v>89</v>
      </c>
      <c r="H1689" s="547">
        <v>3.04163824E7</v>
      </c>
      <c r="I1689" s="547">
        <v>3.42388075E7</v>
      </c>
      <c r="J1689" s="548">
        <v>2.661140834E7</v>
      </c>
      <c r="K1689" s="220"/>
      <c r="AH1689" s="929"/>
      <c r="AI1689" s="929"/>
      <c r="AJ1689" s="929"/>
      <c r="AK1689" s="929"/>
      <c r="AL1689" s="929"/>
      <c r="AM1689" s="929"/>
      <c r="AN1689" s="929"/>
      <c r="AO1689" s="929"/>
      <c r="AP1689" s="929"/>
      <c r="AQ1689" s="929"/>
      <c r="CE1689" s="525"/>
    </row>
    <row r="1690">
      <c r="A1690" s="219"/>
      <c r="B1690" s="889" t="s">
        <v>484</v>
      </c>
      <c r="C1690" s="890" t="s">
        <v>289</v>
      </c>
      <c r="D1690" s="890" t="s">
        <v>510</v>
      </c>
      <c r="E1690" s="891">
        <v>2019.0</v>
      </c>
      <c r="F1690" s="890" t="s">
        <v>291</v>
      </c>
      <c r="G1690" s="890" t="s">
        <v>89</v>
      </c>
      <c r="H1690" s="532">
        <v>618079.2115</v>
      </c>
      <c r="I1690" s="532">
        <v>704184.6376</v>
      </c>
      <c r="J1690" s="533">
        <v>546540.9286</v>
      </c>
      <c r="K1690" s="220"/>
      <c r="CE1690" s="525"/>
    </row>
    <row r="1691">
      <c r="A1691" s="219"/>
      <c r="B1691" s="886" t="s">
        <v>484</v>
      </c>
      <c r="C1691" s="887" t="s">
        <v>289</v>
      </c>
      <c r="D1691" s="887" t="s">
        <v>512</v>
      </c>
      <c r="E1691" s="888">
        <v>2019.0</v>
      </c>
      <c r="F1691" s="887" t="s">
        <v>291</v>
      </c>
      <c r="G1691" s="887" t="s">
        <v>89</v>
      </c>
      <c r="H1691" s="547">
        <v>11706.24453</v>
      </c>
      <c r="I1691" s="547">
        <v>13177.36764</v>
      </c>
      <c r="J1691" s="548">
        <v>10241.83775</v>
      </c>
      <c r="K1691" s="220"/>
      <c r="CE1691" s="525"/>
    </row>
    <row r="1692">
      <c r="A1692" s="219"/>
      <c r="B1692" s="889" t="s">
        <v>484</v>
      </c>
      <c r="C1692" s="890" t="s">
        <v>289</v>
      </c>
      <c r="D1692" s="890" t="s">
        <v>515</v>
      </c>
      <c r="E1692" s="891">
        <v>2019.0</v>
      </c>
      <c r="F1692" s="890" t="s">
        <v>291</v>
      </c>
      <c r="G1692" s="890" t="s">
        <v>89</v>
      </c>
      <c r="H1692" s="532">
        <v>34776.42472</v>
      </c>
      <c r="I1692" s="532">
        <v>39146.7761</v>
      </c>
      <c r="J1692" s="533">
        <v>30426.02591</v>
      </c>
      <c r="K1692" s="220"/>
      <c r="CE1692" s="525"/>
    </row>
    <row r="1693">
      <c r="A1693" s="219"/>
      <c r="B1693" s="886" t="s">
        <v>484</v>
      </c>
      <c r="C1693" s="887" t="s">
        <v>289</v>
      </c>
      <c r="D1693" s="887" t="s">
        <v>518</v>
      </c>
      <c r="E1693" s="888">
        <v>2019.0</v>
      </c>
      <c r="F1693" s="887" t="s">
        <v>291</v>
      </c>
      <c r="G1693" s="887" t="s">
        <v>89</v>
      </c>
      <c r="H1693" s="547">
        <v>46482.66925</v>
      </c>
      <c r="I1693" s="547">
        <v>52324.14374</v>
      </c>
      <c r="J1693" s="548">
        <v>40667.86366</v>
      </c>
      <c r="K1693" s="220"/>
      <c r="CE1693" s="525"/>
    </row>
    <row r="1694">
      <c r="A1694" s="219"/>
      <c r="B1694" s="889" t="s">
        <v>484</v>
      </c>
      <c r="C1694" s="890" t="s">
        <v>289</v>
      </c>
      <c r="D1694" s="890" t="s">
        <v>522</v>
      </c>
      <c r="E1694" s="891">
        <v>2019.0</v>
      </c>
      <c r="F1694" s="890" t="s">
        <v>291</v>
      </c>
      <c r="G1694" s="890" t="s">
        <v>89</v>
      </c>
      <c r="H1694" s="532">
        <v>553765.8116</v>
      </c>
      <c r="I1694" s="532">
        <v>623357.5306</v>
      </c>
      <c r="J1694" s="533">
        <v>484491.8092</v>
      </c>
      <c r="K1694" s="220"/>
      <c r="CE1694" s="525"/>
    </row>
    <row r="1695">
      <c r="A1695" s="219"/>
      <c r="B1695" s="886" t="s">
        <v>484</v>
      </c>
      <c r="C1695" s="887" t="s">
        <v>289</v>
      </c>
      <c r="D1695" s="887" t="s">
        <v>302</v>
      </c>
      <c r="E1695" s="888">
        <v>2019.0</v>
      </c>
      <c r="F1695" s="887" t="s">
        <v>291</v>
      </c>
      <c r="G1695" s="887" t="s">
        <v>89</v>
      </c>
      <c r="H1695" s="547">
        <v>2995967.681</v>
      </c>
      <c r="I1695" s="547">
        <v>3372470.774</v>
      </c>
      <c r="J1695" s="548">
        <v>2621183.489</v>
      </c>
      <c r="K1695" s="220"/>
      <c r="CE1695" s="525"/>
    </row>
    <row r="1696">
      <c r="A1696" s="219"/>
      <c r="B1696" s="889" t="s">
        <v>439</v>
      </c>
      <c r="C1696" s="890" t="s">
        <v>289</v>
      </c>
      <c r="D1696" s="890" t="s">
        <v>290</v>
      </c>
      <c r="E1696" s="891">
        <v>2019.0</v>
      </c>
      <c r="F1696" s="890" t="s">
        <v>291</v>
      </c>
      <c r="G1696" s="890" t="s">
        <v>89</v>
      </c>
      <c r="H1696" s="532">
        <v>1082852.597</v>
      </c>
      <c r="I1696" s="532">
        <v>1205396.376</v>
      </c>
      <c r="J1696" s="533">
        <v>966750.753</v>
      </c>
      <c r="K1696" s="220"/>
      <c r="CE1696" s="525"/>
    </row>
    <row r="1697">
      <c r="A1697" s="219"/>
      <c r="B1697" s="886" t="s">
        <v>439</v>
      </c>
      <c r="C1697" s="887" t="s">
        <v>289</v>
      </c>
      <c r="D1697" s="887" t="s">
        <v>310</v>
      </c>
      <c r="E1697" s="888">
        <v>2019.0</v>
      </c>
      <c r="F1697" s="887" t="s">
        <v>291</v>
      </c>
      <c r="G1697" s="887" t="s">
        <v>89</v>
      </c>
      <c r="H1697" s="547">
        <v>1.455789304E7</v>
      </c>
      <c r="I1697" s="547">
        <v>1.620537417E7</v>
      </c>
      <c r="J1697" s="548">
        <v>1.299701741E7</v>
      </c>
      <c r="K1697" s="220"/>
      <c r="CE1697" s="525"/>
    </row>
    <row r="1698">
      <c r="A1698" s="219"/>
      <c r="B1698" s="889" t="s">
        <v>439</v>
      </c>
      <c r="C1698" s="890" t="s">
        <v>289</v>
      </c>
      <c r="D1698" s="890" t="s">
        <v>318</v>
      </c>
      <c r="E1698" s="891">
        <v>2019.0</v>
      </c>
      <c r="F1698" s="890" t="s">
        <v>291</v>
      </c>
      <c r="G1698" s="890" t="s">
        <v>89</v>
      </c>
      <c r="H1698" s="532">
        <v>1.202242967E7</v>
      </c>
      <c r="I1698" s="532">
        <v>1.338297861E7</v>
      </c>
      <c r="J1698" s="533">
        <v>1.073340265E7</v>
      </c>
      <c r="K1698" s="220"/>
      <c r="CE1698" s="525"/>
    </row>
    <row r="1699">
      <c r="A1699" s="219"/>
      <c r="B1699" s="886" t="s">
        <v>439</v>
      </c>
      <c r="C1699" s="887" t="s">
        <v>289</v>
      </c>
      <c r="D1699" s="887" t="s">
        <v>309</v>
      </c>
      <c r="E1699" s="888">
        <v>2019.0</v>
      </c>
      <c r="F1699" s="887" t="s">
        <v>291</v>
      </c>
      <c r="G1699" s="887" t="s">
        <v>89</v>
      </c>
      <c r="H1699" s="547">
        <v>3770011.017</v>
      </c>
      <c r="I1699" s="547">
        <v>4196653.938</v>
      </c>
      <c r="J1699" s="548">
        <v>3365796.045</v>
      </c>
      <c r="K1699" s="220"/>
      <c r="CE1699" s="525"/>
    </row>
    <row r="1700">
      <c r="A1700" s="219"/>
      <c r="B1700" s="889" t="s">
        <v>439</v>
      </c>
      <c r="C1700" s="890" t="s">
        <v>289</v>
      </c>
      <c r="D1700" s="890" t="s">
        <v>334</v>
      </c>
      <c r="E1700" s="891">
        <v>2019.0</v>
      </c>
      <c r="F1700" s="890" t="s">
        <v>291</v>
      </c>
      <c r="G1700" s="890" t="s">
        <v>89</v>
      </c>
      <c r="H1700" s="532">
        <v>3197677.362</v>
      </c>
      <c r="I1700" s="532">
        <v>3559550.683</v>
      </c>
      <c r="J1700" s="533">
        <v>2854827.153</v>
      </c>
      <c r="K1700" s="220"/>
      <c r="CE1700" s="525"/>
    </row>
    <row r="1701">
      <c r="A1701" s="219"/>
      <c r="B1701" s="886" t="s">
        <v>439</v>
      </c>
      <c r="C1701" s="887" t="s">
        <v>289</v>
      </c>
      <c r="D1701" s="887" t="s">
        <v>339</v>
      </c>
      <c r="E1701" s="888">
        <v>2019.0</v>
      </c>
      <c r="F1701" s="887" t="s">
        <v>291</v>
      </c>
      <c r="G1701" s="887" t="s">
        <v>89</v>
      </c>
      <c r="H1701" s="547">
        <v>5733140.737</v>
      </c>
      <c r="I1701" s="547">
        <v>6381946.244</v>
      </c>
      <c r="J1701" s="548">
        <v>5118441.917</v>
      </c>
      <c r="K1701" s="220"/>
      <c r="CE1701" s="525"/>
    </row>
    <row r="1702">
      <c r="A1702" s="219"/>
      <c r="B1702" s="889" t="s">
        <v>439</v>
      </c>
      <c r="C1702" s="890" t="s">
        <v>289</v>
      </c>
      <c r="D1702" s="890" t="s">
        <v>344</v>
      </c>
      <c r="E1702" s="891">
        <v>2019.0</v>
      </c>
      <c r="F1702" s="890" t="s">
        <v>291</v>
      </c>
      <c r="G1702" s="890" t="s">
        <v>89</v>
      </c>
      <c r="H1702" s="532">
        <v>7709915.054</v>
      </c>
      <c r="I1702" s="532">
        <v>8582427.273</v>
      </c>
      <c r="J1702" s="533">
        <v>6883269.434</v>
      </c>
      <c r="K1702" s="220"/>
      <c r="CE1702" s="525"/>
    </row>
    <row r="1703">
      <c r="A1703" s="219"/>
      <c r="B1703" s="886" t="s">
        <v>439</v>
      </c>
      <c r="C1703" s="887" t="s">
        <v>289</v>
      </c>
      <c r="D1703" s="887" t="s">
        <v>349</v>
      </c>
      <c r="E1703" s="888">
        <v>2019.0</v>
      </c>
      <c r="F1703" s="887" t="s">
        <v>291</v>
      </c>
      <c r="G1703" s="887" t="s">
        <v>89</v>
      </c>
      <c r="H1703" s="547">
        <v>2535463.375</v>
      </c>
      <c r="I1703" s="547">
        <v>2822395.56</v>
      </c>
      <c r="J1703" s="548">
        <v>2263614.764</v>
      </c>
      <c r="K1703" s="220"/>
      <c r="CE1703" s="525"/>
    </row>
    <row r="1704">
      <c r="A1704" s="219"/>
      <c r="B1704" s="889" t="s">
        <v>439</v>
      </c>
      <c r="C1704" s="890" t="s">
        <v>289</v>
      </c>
      <c r="D1704" s="890" t="s">
        <v>355</v>
      </c>
      <c r="E1704" s="891">
        <v>2019.0</v>
      </c>
      <c r="F1704" s="890" t="s">
        <v>291</v>
      </c>
      <c r="G1704" s="890" t="s">
        <v>89</v>
      </c>
      <c r="H1704" s="532">
        <v>8125965.097</v>
      </c>
      <c r="I1704" s="532">
        <v>9045722.003</v>
      </c>
      <c r="J1704" s="533">
        <v>7254103.655</v>
      </c>
      <c r="K1704" s="220"/>
      <c r="CE1704" s="525"/>
    </row>
    <row r="1705">
      <c r="A1705" s="219"/>
      <c r="B1705" s="886" t="s">
        <v>439</v>
      </c>
      <c r="C1705" s="887" t="s">
        <v>289</v>
      </c>
      <c r="D1705" s="887" t="s">
        <v>358</v>
      </c>
      <c r="E1705" s="888">
        <v>2019.0</v>
      </c>
      <c r="F1705" s="887" t="s">
        <v>291</v>
      </c>
      <c r="G1705" s="887" t="s">
        <v>89</v>
      </c>
      <c r="H1705" s="547">
        <v>9475686.474</v>
      </c>
      <c r="I1705" s="547">
        <v>1.054802672E7</v>
      </c>
      <c r="J1705" s="548">
        <v>8459717.469</v>
      </c>
      <c r="K1705" s="220"/>
      <c r="CE1705" s="525"/>
    </row>
    <row r="1706">
      <c r="A1706" s="219"/>
      <c r="B1706" s="889" t="s">
        <v>439</v>
      </c>
      <c r="C1706" s="890" t="s">
        <v>289</v>
      </c>
      <c r="D1706" s="890" t="s">
        <v>362</v>
      </c>
      <c r="E1706" s="891">
        <v>2019.0</v>
      </c>
      <c r="F1706" s="890" t="s">
        <v>291</v>
      </c>
      <c r="G1706" s="890" t="s">
        <v>89</v>
      </c>
      <c r="H1706" s="532">
        <v>8737746.026</v>
      </c>
      <c r="I1706" s="532">
        <v>9726748.828</v>
      </c>
      <c r="J1706" s="533">
        <v>7800244.601</v>
      </c>
      <c r="K1706" s="220"/>
      <c r="CE1706" s="525"/>
    </row>
    <row r="1707">
      <c r="A1707" s="219"/>
      <c r="B1707" s="886" t="s">
        <v>439</v>
      </c>
      <c r="C1707" s="887" t="s">
        <v>289</v>
      </c>
      <c r="D1707" s="887" t="s">
        <v>366</v>
      </c>
      <c r="E1707" s="888">
        <v>2019.0</v>
      </c>
      <c r="F1707" s="887" t="s">
        <v>291</v>
      </c>
      <c r="G1707" s="887" t="s">
        <v>89</v>
      </c>
      <c r="H1707" s="547">
        <v>1976774.318</v>
      </c>
      <c r="I1707" s="547">
        <v>2200481.03</v>
      </c>
      <c r="J1707" s="548">
        <v>1764827.517</v>
      </c>
      <c r="K1707" s="220"/>
      <c r="CE1707" s="525"/>
    </row>
    <row r="1708">
      <c r="A1708" s="219"/>
      <c r="B1708" s="889" t="s">
        <v>439</v>
      </c>
      <c r="C1708" s="890" t="s">
        <v>289</v>
      </c>
      <c r="D1708" s="890" t="s">
        <v>368</v>
      </c>
      <c r="E1708" s="891">
        <v>2019.0</v>
      </c>
      <c r="F1708" s="890" t="s">
        <v>291</v>
      </c>
      <c r="G1708" s="890" t="s">
        <v>89</v>
      </c>
      <c r="H1708" s="532">
        <v>6760685.521</v>
      </c>
      <c r="I1708" s="532">
        <v>7525775.756</v>
      </c>
      <c r="J1708" s="533">
        <v>6035814.878</v>
      </c>
      <c r="K1708" s="220"/>
      <c r="CE1708" s="525"/>
    </row>
    <row r="1709">
      <c r="A1709" s="219"/>
      <c r="B1709" s="886" t="s">
        <v>439</v>
      </c>
      <c r="C1709" s="887" t="s">
        <v>289</v>
      </c>
      <c r="D1709" s="887" t="s">
        <v>373</v>
      </c>
      <c r="E1709" s="888">
        <v>2019.0</v>
      </c>
      <c r="F1709" s="887" t="s">
        <v>291</v>
      </c>
      <c r="G1709" s="887" t="s">
        <v>89</v>
      </c>
      <c r="H1709" s="547">
        <v>1499570.834</v>
      </c>
      <c r="I1709" s="547">
        <v>1669273.596</v>
      </c>
      <c r="J1709" s="548">
        <v>1338789.081</v>
      </c>
      <c r="K1709" s="220"/>
      <c r="CE1709" s="525"/>
    </row>
    <row r="1710">
      <c r="A1710" s="219"/>
      <c r="B1710" s="889" t="s">
        <v>439</v>
      </c>
      <c r="C1710" s="890" t="s">
        <v>289</v>
      </c>
      <c r="D1710" s="890" t="s">
        <v>379</v>
      </c>
      <c r="E1710" s="891">
        <v>2019.0</v>
      </c>
      <c r="F1710" s="890" t="s">
        <v>291</v>
      </c>
      <c r="G1710" s="890" t="s">
        <v>89</v>
      </c>
      <c r="H1710" s="532">
        <v>4963611.354</v>
      </c>
      <c r="I1710" s="532">
        <v>5525429.645</v>
      </c>
      <c r="J1710" s="533">
        <v>4431049.215</v>
      </c>
      <c r="K1710" s="220"/>
      <c r="CE1710" s="525"/>
    </row>
    <row r="1711">
      <c r="A1711" s="219"/>
      <c r="B1711" s="886" t="s">
        <v>439</v>
      </c>
      <c r="C1711" s="887" t="s">
        <v>289</v>
      </c>
      <c r="D1711" s="887" t="s">
        <v>382</v>
      </c>
      <c r="E1711" s="888">
        <v>2019.0</v>
      </c>
      <c r="F1711" s="887" t="s">
        <v>291</v>
      </c>
      <c r="G1711" s="887" t="s">
        <v>89</v>
      </c>
      <c r="H1711" s="547">
        <v>1151511.711</v>
      </c>
      <c r="I1711" s="547">
        <v>1281825.473</v>
      </c>
      <c r="J1711" s="548">
        <v>1028048.339</v>
      </c>
      <c r="K1711" s="220"/>
      <c r="CE1711" s="525"/>
    </row>
    <row r="1712">
      <c r="A1712" s="219"/>
      <c r="B1712" s="889" t="s">
        <v>439</v>
      </c>
      <c r="C1712" s="890" t="s">
        <v>289</v>
      </c>
      <c r="D1712" s="890" t="s">
        <v>387</v>
      </c>
      <c r="E1712" s="891">
        <v>2019.0</v>
      </c>
      <c r="F1712" s="890" t="s">
        <v>291</v>
      </c>
      <c r="G1712" s="890" t="s">
        <v>89</v>
      </c>
      <c r="H1712" s="532">
        <v>962378.7093</v>
      </c>
      <c r="I1712" s="532">
        <v>1071288.753</v>
      </c>
      <c r="J1712" s="533">
        <v>859193.896</v>
      </c>
      <c r="K1712" s="220"/>
      <c r="CE1712" s="525"/>
    </row>
    <row r="1713">
      <c r="A1713" s="219"/>
      <c r="B1713" s="886" t="s">
        <v>439</v>
      </c>
      <c r="C1713" s="887" t="s">
        <v>289</v>
      </c>
      <c r="D1713" s="887" t="s">
        <v>392</v>
      </c>
      <c r="E1713" s="888">
        <v>2019.0</v>
      </c>
      <c r="F1713" s="887" t="s">
        <v>291</v>
      </c>
      <c r="G1713" s="887" t="s">
        <v>89</v>
      </c>
      <c r="H1713" s="547">
        <v>765441.8715</v>
      </c>
      <c r="I1713" s="547">
        <v>852065.0549</v>
      </c>
      <c r="J1713" s="548">
        <v>683372.333</v>
      </c>
      <c r="K1713" s="220"/>
      <c r="CE1713" s="525"/>
    </row>
    <row r="1714">
      <c r="A1714" s="219"/>
      <c r="B1714" s="889" t="s">
        <v>439</v>
      </c>
      <c r="C1714" s="890" t="s">
        <v>289</v>
      </c>
      <c r="D1714" s="890" t="s">
        <v>398</v>
      </c>
      <c r="E1714" s="891">
        <v>2019.0</v>
      </c>
      <c r="F1714" s="890" t="s">
        <v>291</v>
      </c>
      <c r="G1714" s="890" t="s">
        <v>89</v>
      </c>
      <c r="H1714" s="532">
        <v>584545.6547</v>
      </c>
      <c r="I1714" s="532">
        <v>650697.2559</v>
      </c>
      <c r="J1714" s="533">
        <v>521871.5393</v>
      </c>
      <c r="K1714" s="220"/>
      <c r="CE1714" s="525"/>
    </row>
    <row r="1715">
      <c r="A1715" s="219"/>
      <c r="B1715" s="886" t="s">
        <v>439</v>
      </c>
      <c r="C1715" s="887" t="s">
        <v>289</v>
      </c>
      <c r="D1715" s="887" t="s">
        <v>402</v>
      </c>
      <c r="E1715" s="888">
        <v>2019.0</v>
      </c>
      <c r="F1715" s="887" t="s">
        <v>291</v>
      </c>
      <c r="G1715" s="887" t="s">
        <v>89</v>
      </c>
      <c r="H1715" s="547">
        <v>9705347.307</v>
      </c>
      <c r="I1715" s="547">
        <v>1.080387039E7</v>
      </c>
      <c r="J1715" s="548">
        <v>8664028.768</v>
      </c>
      <c r="K1715" s="220"/>
      <c r="CE1715" s="525"/>
    </row>
    <row r="1716">
      <c r="A1716" s="219"/>
      <c r="B1716" s="889" t="s">
        <v>439</v>
      </c>
      <c r="C1716" s="890" t="s">
        <v>289</v>
      </c>
      <c r="D1716" s="890" t="s">
        <v>407</v>
      </c>
      <c r="E1716" s="891">
        <v>2019.0</v>
      </c>
      <c r="F1716" s="890" t="s">
        <v>291</v>
      </c>
      <c r="G1716" s="890" t="s">
        <v>89</v>
      </c>
      <c r="H1716" s="532">
        <v>3971888.691</v>
      </c>
      <c r="I1716" s="532">
        <v>4421377.614</v>
      </c>
      <c r="J1716" s="533">
        <v>3546028.696</v>
      </c>
      <c r="K1716" s="220"/>
      <c r="CE1716" s="525"/>
    </row>
    <row r="1717">
      <c r="A1717" s="219"/>
      <c r="B1717" s="886" t="s">
        <v>439</v>
      </c>
      <c r="C1717" s="887" t="s">
        <v>289</v>
      </c>
      <c r="D1717" s="887" t="s">
        <v>414</v>
      </c>
      <c r="E1717" s="888">
        <v>2019.0</v>
      </c>
      <c r="F1717" s="887" t="s">
        <v>291</v>
      </c>
      <c r="G1717" s="887" t="s">
        <v>89</v>
      </c>
      <c r="H1717" s="547">
        <v>501638.8581</v>
      </c>
      <c r="I1717" s="547">
        <v>558408.1001</v>
      </c>
      <c r="J1717" s="548">
        <v>447853.8861</v>
      </c>
      <c r="K1717" s="220"/>
      <c r="CE1717" s="525"/>
    </row>
    <row r="1718">
      <c r="A1718" s="219"/>
      <c r="B1718" s="889" t="s">
        <v>439</v>
      </c>
      <c r="C1718" s="890" t="s">
        <v>289</v>
      </c>
      <c r="D1718" s="890" t="s">
        <v>417</v>
      </c>
      <c r="E1718" s="891">
        <v>2019.0</v>
      </c>
      <c r="F1718" s="890" t="s">
        <v>291</v>
      </c>
      <c r="G1718" s="890" t="s">
        <v>89</v>
      </c>
      <c r="H1718" s="532">
        <v>1486954.632</v>
      </c>
      <c r="I1718" s="532">
        <v>1655229.649</v>
      </c>
      <c r="J1718" s="533">
        <v>1327525.569</v>
      </c>
      <c r="K1718" s="220"/>
      <c r="CE1718" s="525"/>
    </row>
    <row r="1719">
      <c r="A1719" s="219"/>
      <c r="B1719" s="886" t="s">
        <v>439</v>
      </c>
      <c r="C1719" s="887" t="s">
        <v>289</v>
      </c>
      <c r="D1719" s="887" t="s">
        <v>300</v>
      </c>
      <c r="E1719" s="888">
        <v>2019.0</v>
      </c>
      <c r="F1719" s="887" t="s">
        <v>291</v>
      </c>
      <c r="G1719" s="887" t="s">
        <v>89</v>
      </c>
      <c r="H1719" s="547">
        <v>7169566.053</v>
      </c>
      <c r="I1719" s="547">
        <v>7980928.298</v>
      </c>
      <c r="J1719" s="548">
        <v>6400855.848</v>
      </c>
      <c r="K1719" s="220"/>
      <c r="CE1719" s="525"/>
    </row>
    <row r="1720">
      <c r="A1720" s="219"/>
      <c r="B1720" s="889" t="s">
        <v>439</v>
      </c>
      <c r="C1720" s="890" t="s">
        <v>289</v>
      </c>
      <c r="D1720" s="890" t="s">
        <v>429</v>
      </c>
      <c r="E1720" s="891">
        <v>2019.0</v>
      </c>
      <c r="F1720" s="890" t="s">
        <v>291</v>
      </c>
      <c r="G1720" s="890" t="s">
        <v>89</v>
      </c>
      <c r="H1720" s="532">
        <v>1295640.318</v>
      </c>
      <c r="I1720" s="532">
        <v>1442290.484</v>
      </c>
      <c r="J1720" s="533">
        <v>1156626.819</v>
      </c>
      <c r="K1720" s="220"/>
      <c r="CE1720" s="525"/>
    </row>
    <row r="1721">
      <c r="A1721" s="219"/>
      <c r="B1721" s="886" t="s">
        <v>439</v>
      </c>
      <c r="C1721" s="887" t="s">
        <v>289</v>
      </c>
      <c r="D1721" s="887" t="s">
        <v>432</v>
      </c>
      <c r="E1721" s="888">
        <v>2019.0</v>
      </c>
      <c r="F1721" s="887" t="s">
        <v>291</v>
      </c>
      <c r="G1721" s="887" t="s">
        <v>89</v>
      </c>
      <c r="H1721" s="547">
        <v>430842.4372</v>
      </c>
      <c r="I1721" s="547">
        <v>479599.8215</v>
      </c>
      <c r="J1721" s="548">
        <v>384648.1521</v>
      </c>
      <c r="K1721" s="220"/>
      <c r="CE1721" s="525"/>
    </row>
    <row r="1722">
      <c r="A1722" s="219"/>
      <c r="B1722" s="889" t="s">
        <v>439</v>
      </c>
      <c r="C1722" s="890" t="s">
        <v>289</v>
      </c>
      <c r="D1722" s="890" t="s">
        <v>435</v>
      </c>
      <c r="E1722" s="891">
        <v>2019.0</v>
      </c>
      <c r="F1722" s="890" t="s">
        <v>291</v>
      </c>
      <c r="G1722" s="890" t="s">
        <v>89</v>
      </c>
      <c r="H1722" s="532">
        <v>329977.5085</v>
      </c>
      <c r="I1722" s="532">
        <v>367320.2556</v>
      </c>
      <c r="J1722" s="533">
        <v>294597.811</v>
      </c>
      <c r="K1722" s="220"/>
      <c r="CE1722" s="525"/>
    </row>
    <row r="1723">
      <c r="A1723" s="219"/>
      <c r="B1723" s="886" t="s">
        <v>439</v>
      </c>
      <c r="C1723" s="887" t="s">
        <v>289</v>
      </c>
      <c r="D1723" s="887" t="s">
        <v>442</v>
      </c>
      <c r="E1723" s="888">
        <v>2019.0</v>
      </c>
      <c r="F1723" s="887" t="s">
        <v>291</v>
      </c>
      <c r="G1723" s="887" t="s">
        <v>89</v>
      </c>
      <c r="H1723" s="547">
        <v>224495.828</v>
      </c>
      <c r="I1723" s="547">
        <v>249901.4714</v>
      </c>
      <c r="J1723" s="548">
        <v>200425.7193</v>
      </c>
      <c r="K1723" s="220"/>
      <c r="CE1723" s="525"/>
    </row>
    <row r="1724">
      <c r="A1724" s="219"/>
      <c r="B1724" s="889" t="s">
        <v>439</v>
      </c>
      <c r="C1724" s="890" t="s">
        <v>289</v>
      </c>
      <c r="D1724" s="890" t="s">
        <v>445</v>
      </c>
      <c r="E1724" s="891">
        <v>2019.0</v>
      </c>
      <c r="F1724" s="890" t="s">
        <v>291</v>
      </c>
      <c r="G1724" s="890" t="s">
        <v>89</v>
      </c>
      <c r="H1724" s="532">
        <v>376794.6029</v>
      </c>
      <c r="I1724" s="532">
        <v>419443.0065</v>
      </c>
      <c r="J1724" s="533">
        <v>336367.0744</v>
      </c>
      <c r="K1724" s="220"/>
      <c r="CE1724" s="525"/>
    </row>
    <row r="1725">
      <c r="A1725" s="219"/>
      <c r="B1725" s="886" t="s">
        <v>439</v>
      </c>
      <c r="C1725" s="887" t="s">
        <v>289</v>
      </c>
      <c r="D1725" s="887" t="s">
        <v>450</v>
      </c>
      <c r="E1725" s="888">
        <v>2019.0</v>
      </c>
      <c r="F1725" s="887" t="s">
        <v>291</v>
      </c>
      <c r="G1725" s="887" t="s">
        <v>89</v>
      </c>
      <c r="H1725" s="547">
        <v>152286.4338</v>
      </c>
      <c r="I1725" s="547">
        <v>169520.3169</v>
      </c>
      <c r="J1725" s="548">
        <v>135958.509</v>
      </c>
      <c r="K1725" s="220"/>
      <c r="CE1725" s="525"/>
    </row>
    <row r="1726">
      <c r="A1726" s="219"/>
      <c r="B1726" s="889" t="s">
        <v>439</v>
      </c>
      <c r="C1726" s="890" t="s">
        <v>289</v>
      </c>
      <c r="D1726" s="890" t="s">
        <v>457</v>
      </c>
      <c r="E1726" s="891">
        <v>2019.0</v>
      </c>
      <c r="F1726" s="890" t="s">
        <v>291</v>
      </c>
      <c r="G1726" s="890" t="s">
        <v>89</v>
      </c>
      <c r="H1726" s="532">
        <v>310282.1079</v>
      </c>
      <c r="I1726" s="532">
        <v>345395.9747</v>
      </c>
      <c r="J1726" s="533">
        <v>277014.122</v>
      </c>
      <c r="K1726" s="220"/>
      <c r="CE1726" s="525"/>
    </row>
    <row r="1727">
      <c r="A1727" s="219"/>
      <c r="B1727" s="886" t="s">
        <v>439</v>
      </c>
      <c r="C1727" s="887" t="s">
        <v>289</v>
      </c>
      <c r="D1727" s="887" t="s">
        <v>463</v>
      </c>
      <c r="E1727" s="888">
        <v>2019.0</v>
      </c>
      <c r="F1727" s="887" t="s">
        <v>291</v>
      </c>
      <c r="G1727" s="887" t="s">
        <v>89</v>
      </c>
      <c r="H1727" s="547">
        <v>158000.8491</v>
      </c>
      <c r="I1727" s="547">
        <v>175884.5552</v>
      </c>
      <c r="J1727" s="548">
        <v>141048.4198</v>
      </c>
      <c r="K1727" s="220"/>
      <c r="CE1727" s="525"/>
    </row>
    <row r="1728">
      <c r="A1728" s="219"/>
      <c r="B1728" s="889" t="s">
        <v>439</v>
      </c>
      <c r="C1728" s="890" t="s">
        <v>289</v>
      </c>
      <c r="D1728" s="890" t="s">
        <v>467</v>
      </c>
      <c r="E1728" s="891">
        <v>2019.0</v>
      </c>
      <c r="F1728" s="890" t="s">
        <v>291</v>
      </c>
      <c r="G1728" s="890" t="s">
        <v>89</v>
      </c>
      <c r="H1728" s="532">
        <v>94948.06529</v>
      </c>
      <c r="I1728" s="532">
        <v>105693.1055</v>
      </c>
      <c r="J1728" s="533">
        <v>84767.875</v>
      </c>
      <c r="K1728" s="220"/>
      <c r="CE1728" s="525"/>
    </row>
    <row r="1729">
      <c r="A1729" s="219"/>
      <c r="B1729" s="886" t="s">
        <v>439</v>
      </c>
      <c r="C1729" s="887" t="s">
        <v>289</v>
      </c>
      <c r="D1729" s="887" t="s">
        <v>473</v>
      </c>
      <c r="E1729" s="888">
        <v>2019.0</v>
      </c>
      <c r="F1729" s="887" t="s">
        <v>291</v>
      </c>
      <c r="G1729" s="887" t="s">
        <v>89</v>
      </c>
      <c r="H1729" s="547">
        <v>135933.3842</v>
      </c>
      <c r="I1729" s="547">
        <v>151319.3313</v>
      </c>
      <c r="J1729" s="548">
        <v>121348.6457</v>
      </c>
      <c r="K1729" s="220"/>
      <c r="CE1729" s="525"/>
    </row>
    <row r="1730">
      <c r="A1730" s="219"/>
      <c r="B1730" s="889" t="s">
        <v>439</v>
      </c>
      <c r="C1730" s="890" t="s">
        <v>289</v>
      </c>
      <c r="D1730" s="890" t="s">
        <v>477</v>
      </c>
      <c r="E1730" s="891">
        <v>2019.0</v>
      </c>
      <c r="F1730" s="890" t="s">
        <v>291</v>
      </c>
      <c r="G1730" s="890" t="s">
        <v>89</v>
      </c>
      <c r="H1730" s="532">
        <v>63047.60878</v>
      </c>
      <c r="I1730" s="532">
        <v>70182.55238</v>
      </c>
      <c r="J1730" s="533">
        <v>56287.73797</v>
      </c>
      <c r="K1730" s="220"/>
      <c r="CE1730" s="525"/>
    </row>
    <row r="1731">
      <c r="A1731" s="219"/>
      <c r="B1731" s="886" t="s">
        <v>439</v>
      </c>
      <c r="C1731" s="887" t="s">
        <v>289</v>
      </c>
      <c r="D1731" s="887" t="s">
        <v>483</v>
      </c>
      <c r="E1731" s="888">
        <v>2019.0</v>
      </c>
      <c r="F1731" s="887" t="s">
        <v>291</v>
      </c>
      <c r="G1731" s="887" t="s">
        <v>89</v>
      </c>
      <c r="H1731" s="547">
        <v>40980.86674</v>
      </c>
      <c r="I1731" s="547">
        <v>45618.57114</v>
      </c>
      <c r="J1731" s="548">
        <v>36586.95918</v>
      </c>
      <c r="K1731" s="220"/>
      <c r="CE1731" s="525"/>
    </row>
    <row r="1732">
      <c r="A1732" s="219"/>
      <c r="B1732" s="889" t="s">
        <v>439</v>
      </c>
      <c r="C1732" s="890" t="s">
        <v>289</v>
      </c>
      <c r="D1732" s="890" t="s">
        <v>489</v>
      </c>
      <c r="E1732" s="891">
        <v>2019.0</v>
      </c>
      <c r="F1732" s="890" t="s">
        <v>291</v>
      </c>
      <c r="G1732" s="890" t="s">
        <v>89</v>
      </c>
      <c r="H1732" s="532">
        <v>22067.46482</v>
      </c>
      <c r="I1732" s="532">
        <v>24565.22391</v>
      </c>
      <c r="J1732" s="533">
        <v>19699.77415</v>
      </c>
      <c r="K1732" s="220"/>
      <c r="CE1732" s="525"/>
    </row>
    <row r="1733">
      <c r="A1733" s="219"/>
      <c r="B1733" s="886" t="s">
        <v>439</v>
      </c>
      <c r="C1733" s="887" t="s">
        <v>289</v>
      </c>
      <c r="D1733" s="887" t="s">
        <v>493</v>
      </c>
      <c r="E1733" s="888">
        <v>2019.0</v>
      </c>
      <c r="F1733" s="887" t="s">
        <v>291</v>
      </c>
      <c r="G1733" s="887" t="s">
        <v>89</v>
      </c>
      <c r="H1733" s="547">
        <v>15378.54384</v>
      </c>
      <c r="I1733" s="547">
        <v>17118.89602</v>
      </c>
      <c r="J1733" s="548">
        <v>13729.67925</v>
      </c>
      <c r="K1733" s="220"/>
      <c r="CE1733" s="525"/>
    </row>
    <row r="1734">
      <c r="A1734" s="219"/>
      <c r="B1734" s="889" t="s">
        <v>439</v>
      </c>
      <c r="C1734" s="890" t="s">
        <v>289</v>
      </c>
      <c r="D1734" s="890" t="s">
        <v>496</v>
      </c>
      <c r="E1734" s="891">
        <v>2019.0</v>
      </c>
      <c r="F1734" s="890" t="s">
        <v>291</v>
      </c>
      <c r="G1734" s="890" t="s">
        <v>89</v>
      </c>
      <c r="H1734" s="532">
        <v>5517.187735</v>
      </c>
      <c r="I1734" s="532">
        <v>6141.554369</v>
      </c>
      <c r="J1734" s="533">
        <v>4925.643075</v>
      </c>
      <c r="K1734" s="220"/>
      <c r="AS1734" s="929"/>
      <c r="AT1734" s="929"/>
      <c r="AU1734" s="929"/>
      <c r="AV1734" s="929"/>
      <c r="AW1734" s="929"/>
      <c r="AX1734" s="929"/>
      <c r="AY1734" s="929"/>
      <c r="AZ1734" s="929"/>
      <c r="BA1734" s="929"/>
      <c r="BB1734" s="929"/>
      <c r="BC1734" s="929"/>
      <c r="BD1734" s="929"/>
      <c r="CE1734" s="525"/>
    </row>
    <row r="1735">
      <c r="A1735" s="219"/>
      <c r="B1735" s="886" t="s">
        <v>439</v>
      </c>
      <c r="C1735" s="887" t="s">
        <v>289</v>
      </c>
      <c r="D1735" s="887" t="s">
        <v>502</v>
      </c>
      <c r="E1735" s="888">
        <v>2019.0</v>
      </c>
      <c r="F1735" s="887" t="s">
        <v>291</v>
      </c>
      <c r="G1735" s="887" t="s">
        <v>89</v>
      </c>
      <c r="H1735" s="547">
        <v>1171.010467</v>
      </c>
      <c r="I1735" s="547">
        <v>1303.530856</v>
      </c>
      <c r="J1735" s="548">
        <v>1045.456467</v>
      </c>
      <c r="K1735" s="220"/>
      <c r="CE1735" s="525"/>
    </row>
    <row r="1736">
      <c r="A1736" s="219"/>
      <c r="B1736" s="889" t="s">
        <v>439</v>
      </c>
      <c r="C1736" s="890" t="s">
        <v>289</v>
      </c>
      <c r="D1736" s="890" t="s">
        <v>332</v>
      </c>
      <c r="E1736" s="891">
        <v>2019.0</v>
      </c>
      <c r="F1736" s="890" t="s">
        <v>291</v>
      </c>
      <c r="G1736" s="890" t="s">
        <v>89</v>
      </c>
      <c r="H1736" s="532">
        <v>2.329535288E7</v>
      </c>
      <c r="I1736" s="532">
        <v>2.593163096E7</v>
      </c>
      <c r="J1736" s="533">
        <v>2.079765981E7</v>
      </c>
      <c r="K1736" s="220"/>
      <c r="CE1736" s="525"/>
    </row>
    <row r="1737">
      <c r="A1737" s="219"/>
      <c r="B1737" s="886" t="s">
        <v>439</v>
      </c>
      <c r="C1737" s="887" t="s">
        <v>289</v>
      </c>
      <c r="D1737" s="887" t="s">
        <v>510</v>
      </c>
      <c r="E1737" s="888">
        <v>2019.0</v>
      </c>
      <c r="F1737" s="887" t="s">
        <v>291</v>
      </c>
      <c r="G1737" s="887" t="s">
        <v>89</v>
      </c>
      <c r="H1737" s="547">
        <v>1142819.837</v>
      </c>
      <c r="I1737" s="547">
        <v>1186025.768</v>
      </c>
      <c r="J1737" s="548">
        <v>1101493.392</v>
      </c>
      <c r="K1737" s="220"/>
      <c r="CE1737" s="525"/>
    </row>
    <row r="1738">
      <c r="A1738" s="219"/>
      <c r="B1738" s="889" t="s">
        <v>439</v>
      </c>
      <c r="C1738" s="890" t="s">
        <v>289</v>
      </c>
      <c r="D1738" s="890" t="s">
        <v>512</v>
      </c>
      <c r="E1738" s="891">
        <v>2019.0</v>
      </c>
      <c r="F1738" s="890" t="s">
        <v>291</v>
      </c>
      <c r="G1738" s="890" t="s">
        <v>89</v>
      </c>
      <c r="H1738" s="532">
        <v>21839.20648</v>
      </c>
      <c r="I1738" s="532">
        <v>24310.69603</v>
      </c>
      <c r="J1738" s="533">
        <v>19497.63926</v>
      </c>
      <c r="K1738" s="220"/>
      <c r="CE1738" s="525"/>
    </row>
    <row r="1739">
      <c r="A1739" s="219"/>
      <c r="B1739" s="886" t="s">
        <v>439</v>
      </c>
      <c r="C1739" s="887" t="s">
        <v>289</v>
      </c>
      <c r="D1739" s="887" t="s">
        <v>515</v>
      </c>
      <c r="E1739" s="888">
        <v>2019.0</v>
      </c>
      <c r="F1739" s="887" t="s">
        <v>291</v>
      </c>
      <c r="G1739" s="887" t="s">
        <v>89</v>
      </c>
      <c r="H1739" s="547">
        <v>64528.38862</v>
      </c>
      <c r="I1739" s="547">
        <v>71830.90844</v>
      </c>
      <c r="J1739" s="548">
        <v>57609.7508</v>
      </c>
      <c r="K1739" s="220"/>
      <c r="CE1739" s="525"/>
    </row>
    <row r="1740">
      <c r="A1740" s="219"/>
      <c r="B1740" s="889" t="s">
        <v>439</v>
      </c>
      <c r="C1740" s="890" t="s">
        <v>289</v>
      </c>
      <c r="D1740" s="890" t="s">
        <v>518</v>
      </c>
      <c r="E1740" s="891">
        <v>2019.0</v>
      </c>
      <c r="F1740" s="890" t="s">
        <v>291</v>
      </c>
      <c r="G1740" s="890" t="s">
        <v>89</v>
      </c>
      <c r="H1740" s="532">
        <v>86367.5951</v>
      </c>
      <c r="I1740" s="532">
        <v>96141.60448</v>
      </c>
      <c r="J1740" s="533">
        <v>77107.39006</v>
      </c>
      <c r="K1740" s="220"/>
      <c r="CE1740" s="525"/>
    </row>
    <row r="1741">
      <c r="A1741" s="219"/>
      <c r="B1741" s="886" t="s">
        <v>439</v>
      </c>
      <c r="C1741" s="887" t="s">
        <v>289</v>
      </c>
      <c r="D1741" s="887" t="s">
        <v>522</v>
      </c>
      <c r="E1741" s="888">
        <v>2019.0</v>
      </c>
      <c r="F1741" s="887" t="s">
        <v>291</v>
      </c>
      <c r="G1741" s="887" t="s">
        <v>89</v>
      </c>
      <c r="H1741" s="547">
        <v>996485.0022</v>
      </c>
      <c r="I1741" s="547">
        <v>1109254.771</v>
      </c>
      <c r="J1741" s="548">
        <v>889643.3629</v>
      </c>
      <c r="K1741" s="220"/>
      <c r="CE1741" s="525"/>
    </row>
    <row r="1742">
      <c r="A1742" s="219"/>
      <c r="B1742" s="889" t="s">
        <v>439</v>
      </c>
      <c r="C1742" s="890" t="s">
        <v>289</v>
      </c>
      <c r="D1742" s="890" t="s">
        <v>302</v>
      </c>
      <c r="E1742" s="891">
        <v>2019.0</v>
      </c>
      <c r="F1742" s="890" t="s">
        <v>291</v>
      </c>
      <c r="G1742" s="890" t="s">
        <v>89</v>
      </c>
      <c r="H1742" s="532">
        <v>4852863.614</v>
      </c>
      <c r="I1742" s="532">
        <v>5402050.313</v>
      </c>
      <c r="J1742" s="533">
        <v>4332546.798</v>
      </c>
      <c r="K1742" s="220"/>
      <c r="CE1742" s="525"/>
    </row>
    <row r="1743">
      <c r="A1743" s="219"/>
      <c r="B1743" s="886" t="s">
        <v>7</v>
      </c>
      <c r="C1743" s="887" t="s">
        <v>289</v>
      </c>
      <c r="D1743" s="887" t="s">
        <v>290</v>
      </c>
      <c r="E1743" s="888">
        <v>2019.0</v>
      </c>
      <c r="F1743" s="887" t="s">
        <v>291</v>
      </c>
      <c r="G1743" s="887" t="s">
        <v>89</v>
      </c>
      <c r="H1743" s="547">
        <v>7120566.431</v>
      </c>
      <c r="I1743" s="547">
        <v>7841488.722</v>
      </c>
      <c r="J1743" s="548">
        <v>6401586.047</v>
      </c>
      <c r="K1743" s="220"/>
      <c r="CE1743" s="525"/>
    </row>
    <row r="1744">
      <c r="A1744" s="219"/>
      <c r="B1744" s="889" t="s">
        <v>7</v>
      </c>
      <c r="C1744" s="890" t="s">
        <v>289</v>
      </c>
      <c r="D1744" s="890" t="s">
        <v>310</v>
      </c>
      <c r="E1744" s="891">
        <v>2019.0</v>
      </c>
      <c r="F1744" s="890" t="s">
        <v>291</v>
      </c>
      <c r="G1744" s="890" t="s">
        <v>89</v>
      </c>
      <c r="H1744" s="532">
        <v>1.178068806E8</v>
      </c>
      <c r="I1744" s="532">
        <v>1.297342472E8</v>
      </c>
      <c r="J1744" s="533">
        <v>1.05911642E8</v>
      </c>
      <c r="K1744" s="220"/>
      <c r="CE1744" s="525"/>
    </row>
    <row r="1745">
      <c r="A1745" s="219"/>
      <c r="B1745" s="886" t="s">
        <v>7</v>
      </c>
      <c r="C1745" s="887" t="s">
        <v>289</v>
      </c>
      <c r="D1745" s="887" t="s">
        <v>318</v>
      </c>
      <c r="E1745" s="888">
        <v>2019.0</v>
      </c>
      <c r="F1745" s="887" t="s">
        <v>291</v>
      </c>
      <c r="G1745" s="887" t="s">
        <v>89</v>
      </c>
      <c r="H1745" s="547">
        <v>9.374807436E7</v>
      </c>
      <c r="I1745" s="547">
        <v>1.032396053E8</v>
      </c>
      <c r="J1745" s="548">
        <v>8.428211022E7</v>
      </c>
      <c r="K1745" s="220"/>
      <c r="CE1745" s="525"/>
    </row>
    <row r="1746">
      <c r="A1746" s="219"/>
      <c r="B1746" s="889" t="s">
        <v>7</v>
      </c>
      <c r="C1746" s="890" t="s">
        <v>289</v>
      </c>
      <c r="D1746" s="890" t="s">
        <v>309</v>
      </c>
      <c r="E1746" s="891">
        <v>2019.0</v>
      </c>
      <c r="F1746" s="890" t="s">
        <v>291</v>
      </c>
      <c r="G1746" s="890" t="s">
        <v>89</v>
      </c>
      <c r="H1746" s="532">
        <v>2.64010714E7</v>
      </c>
      <c r="I1746" s="532">
        <v>2.907404989E7</v>
      </c>
      <c r="J1746" s="533">
        <v>2.373529296E7</v>
      </c>
      <c r="K1746" s="220"/>
      <c r="CE1746" s="525"/>
    </row>
    <row r="1747">
      <c r="A1747" s="219"/>
      <c r="B1747" s="886" t="s">
        <v>7</v>
      </c>
      <c r="C1747" s="887" t="s">
        <v>289</v>
      </c>
      <c r="D1747" s="887" t="s">
        <v>334</v>
      </c>
      <c r="E1747" s="888">
        <v>2019.0</v>
      </c>
      <c r="F1747" s="887" t="s">
        <v>291</v>
      </c>
      <c r="G1747" s="887" t="s">
        <v>89</v>
      </c>
      <c r="H1747" s="547">
        <v>2.891063205E7</v>
      </c>
      <c r="I1747" s="547">
        <v>3.18376912E7</v>
      </c>
      <c r="J1747" s="548">
        <v>2.599145736E7</v>
      </c>
      <c r="K1747" s="220"/>
      <c r="CE1747" s="525"/>
    </row>
    <row r="1748">
      <c r="A1748" s="219"/>
      <c r="B1748" s="889" t="s">
        <v>7</v>
      </c>
      <c r="C1748" s="890" t="s">
        <v>289</v>
      </c>
      <c r="D1748" s="890" t="s">
        <v>339</v>
      </c>
      <c r="E1748" s="891">
        <v>2019.0</v>
      </c>
      <c r="F1748" s="890" t="s">
        <v>291</v>
      </c>
      <c r="G1748" s="890" t="s">
        <v>89</v>
      </c>
      <c r="H1748" s="532">
        <v>5.296943828E7</v>
      </c>
      <c r="I1748" s="532">
        <v>5.83323331E7</v>
      </c>
      <c r="J1748" s="533">
        <v>4.762098919E7</v>
      </c>
      <c r="K1748" s="220"/>
      <c r="CE1748" s="525"/>
    </row>
    <row r="1749">
      <c r="A1749" s="219"/>
      <c r="B1749" s="886" t="s">
        <v>7</v>
      </c>
      <c r="C1749" s="887" t="s">
        <v>289</v>
      </c>
      <c r="D1749" s="887" t="s">
        <v>344</v>
      </c>
      <c r="E1749" s="888">
        <v>2019.0</v>
      </c>
      <c r="F1749" s="887" t="s">
        <v>291</v>
      </c>
      <c r="G1749" s="887" t="s">
        <v>89</v>
      </c>
      <c r="H1749" s="547">
        <v>7.258692473E7</v>
      </c>
      <c r="I1749" s="547">
        <v>7.993599346E7</v>
      </c>
      <c r="J1749" s="548">
        <v>6.525765177E7</v>
      </c>
      <c r="K1749" s="220"/>
      <c r="CE1749" s="525"/>
    </row>
    <row r="1750">
      <c r="A1750" s="219"/>
      <c r="B1750" s="889" t="s">
        <v>7</v>
      </c>
      <c r="C1750" s="890" t="s">
        <v>289</v>
      </c>
      <c r="D1750" s="890" t="s">
        <v>349</v>
      </c>
      <c r="E1750" s="891">
        <v>2019.0</v>
      </c>
      <c r="F1750" s="890" t="s">
        <v>291</v>
      </c>
      <c r="G1750" s="890" t="s">
        <v>89</v>
      </c>
      <c r="H1750" s="532">
        <v>2.405880623E7</v>
      </c>
      <c r="I1750" s="532">
        <v>2.64946419E7</v>
      </c>
      <c r="J1750" s="533">
        <v>2.162953183E7</v>
      </c>
      <c r="K1750" s="220"/>
      <c r="CE1750" s="525"/>
    </row>
    <row r="1751">
      <c r="A1751" s="219"/>
      <c r="B1751" s="886" t="s">
        <v>7</v>
      </c>
      <c r="C1751" s="887" t="s">
        <v>289</v>
      </c>
      <c r="D1751" s="887" t="s">
        <v>355</v>
      </c>
      <c r="E1751" s="888">
        <v>2019.0</v>
      </c>
      <c r="F1751" s="887" t="s">
        <v>291</v>
      </c>
      <c r="G1751" s="887" t="s">
        <v>89</v>
      </c>
      <c r="H1751" s="547">
        <v>8.385931438E7</v>
      </c>
      <c r="I1751" s="547">
        <v>9.235444953E7</v>
      </c>
      <c r="J1751" s="548">
        <v>7.538738014E7</v>
      </c>
      <c r="K1751" s="220"/>
      <c r="CE1751" s="525"/>
    </row>
    <row r="1752">
      <c r="A1752" s="219"/>
      <c r="B1752" s="889" t="s">
        <v>7</v>
      </c>
      <c r="C1752" s="890" t="s">
        <v>289</v>
      </c>
      <c r="D1752" s="890" t="s">
        <v>358</v>
      </c>
      <c r="E1752" s="891">
        <v>2019.0</v>
      </c>
      <c r="F1752" s="890" t="s">
        <v>291</v>
      </c>
      <c r="G1752" s="890" t="s">
        <v>89</v>
      </c>
      <c r="H1752" s="532">
        <v>1.008781741E8</v>
      </c>
      <c r="I1752" s="532">
        <v>1.110915925E8</v>
      </c>
      <c r="J1752" s="533">
        <v>9.069226695E7</v>
      </c>
      <c r="K1752" s="220"/>
      <c r="CE1752" s="525"/>
    </row>
    <row r="1753">
      <c r="A1753" s="219"/>
      <c r="B1753" s="886" t="s">
        <v>7</v>
      </c>
      <c r="C1753" s="887" t="s">
        <v>289</v>
      </c>
      <c r="D1753" s="887" t="s">
        <v>362</v>
      </c>
      <c r="E1753" s="888">
        <v>2019.0</v>
      </c>
      <c r="F1753" s="887" t="s">
        <v>291</v>
      </c>
      <c r="G1753" s="887" t="s">
        <v>89</v>
      </c>
      <c r="H1753" s="547">
        <v>9.701889267E7</v>
      </c>
      <c r="I1753" s="547">
        <v>1.068471224E8</v>
      </c>
      <c r="J1753" s="548">
        <v>8.721750466E7</v>
      </c>
      <c r="K1753" s="220"/>
      <c r="CE1753" s="525"/>
    </row>
    <row r="1754">
      <c r="A1754" s="219"/>
      <c r="B1754" s="889" t="s">
        <v>7</v>
      </c>
      <c r="C1754" s="890" t="s">
        <v>289</v>
      </c>
      <c r="D1754" s="890" t="s">
        <v>366</v>
      </c>
      <c r="E1754" s="891">
        <v>2019.0</v>
      </c>
      <c r="F1754" s="890" t="s">
        <v>291</v>
      </c>
      <c r="G1754" s="890" t="s">
        <v>89</v>
      </c>
      <c r="H1754" s="532">
        <v>1.961748645E7</v>
      </c>
      <c r="I1754" s="532">
        <v>2.160366036E7</v>
      </c>
      <c r="J1754" s="533">
        <v>1.763666258E7</v>
      </c>
      <c r="K1754" s="220"/>
      <c r="CE1754" s="525"/>
    </row>
    <row r="1755">
      <c r="A1755" s="219"/>
      <c r="B1755" s="886" t="s">
        <v>7</v>
      </c>
      <c r="C1755" s="887" t="s">
        <v>289</v>
      </c>
      <c r="D1755" s="887" t="s">
        <v>368</v>
      </c>
      <c r="E1755" s="888">
        <v>2019.0</v>
      </c>
      <c r="F1755" s="887" t="s">
        <v>291</v>
      </c>
      <c r="G1755" s="887" t="s">
        <v>89</v>
      </c>
      <c r="H1755" s="547">
        <v>7.739941868E7</v>
      </c>
      <c r="I1755" s="547">
        <v>8.523572873E7</v>
      </c>
      <c r="J1755" s="548">
        <v>6.958421686E7</v>
      </c>
      <c r="K1755" s="220"/>
      <c r="CE1755" s="525"/>
    </row>
    <row r="1756">
      <c r="A1756" s="219"/>
      <c r="B1756" s="889" t="s">
        <v>7</v>
      </c>
      <c r="C1756" s="890" t="s">
        <v>289</v>
      </c>
      <c r="D1756" s="890" t="s">
        <v>373</v>
      </c>
      <c r="E1756" s="891">
        <v>2019.0</v>
      </c>
      <c r="F1756" s="890" t="s">
        <v>291</v>
      </c>
      <c r="G1756" s="890" t="s">
        <v>89</v>
      </c>
      <c r="H1756" s="532">
        <v>1.597526868E7</v>
      </c>
      <c r="I1756" s="532">
        <v>1.759268598E7</v>
      </c>
      <c r="J1756" s="533">
        <v>1.436220813E7</v>
      </c>
      <c r="K1756" s="220"/>
      <c r="CE1756" s="525"/>
    </row>
    <row r="1757">
      <c r="A1757" s="219"/>
      <c r="B1757" s="886" t="s">
        <v>7</v>
      </c>
      <c r="C1757" s="887" t="s">
        <v>289</v>
      </c>
      <c r="D1757" s="887" t="s">
        <v>379</v>
      </c>
      <c r="E1757" s="888">
        <v>2019.0</v>
      </c>
      <c r="F1757" s="887" t="s">
        <v>291</v>
      </c>
      <c r="G1757" s="887" t="s">
        <v>89</v>
      </c>
      <c r="H1757" s="547">
        <v>5.720305326E7</v>
      </c>
      <c r="I1757" s="547">
        <v>6.299784985E7</v>
      </c>
      <c r="J1757" s="548">
        <v>5.142408274E7</v>
      </c>
      <c r="K1757" s="220"/>
      <c r="CE1757" s="525"/>
    </row>
    <row r="1758">
      <c r="A1758" s="219"/>
      <c r="B1758" s="889" t="s">
        <v>7</v>
      </c>
      <c r="C1758" s="890" t="s">
        <v>289</v>
      </c>
      <c r="D1758" s="890" t="s">
        <v>382</v>
      </c>
      <c r="E1758" s="891">
        <v>2019.0</v>
      </c>
      <c r="F1758" s="890" t="s">
        <v>291</v>
      </c>
      <c r="G1758" s="890" t="s">
        <v>89</v>
      </c>
      <c r="H1758" s="532">
        <v>1.318179409E7</v>
      </c>
      <c r="I1758" s="532">
        <v>1.451638583E7</v>
      </c>
      <c r="J1758" s="533">
        <v>1.185079725E7</v>
      </c>
      <c r="K1758" s="220"/>
      <c r="CE1758" s="525"/>
    </row>
    <row r="1759">
      <c r="A1759" s="219"/>
      <c r="B1759" s="886" t="s">
        <v>7</v>
      </c>
      <c r="C1759" s="887" t="s">
        <v>289</v>
      </c>
      <c r="D1759" s="887" t="s">
        <v>387</v>
      </c>
      <c r="E1759" s="888">
        <v>2019.0</v>
      </c>
      <c r="F1759" s="887" t="s">
        <v>291</v>
      </c>
      <c r="G1759" s="887" t="s">
        <v>89</v>
      </c>
      <c r="H1759" s="547">
        <v>1.102424098E7</v>
      </c>
      <c r="I1759" s="547">
        <v>1.21403911E7</v>
      </c>
      <c r="J1759" s="548">
        <v>9911097.368</v>
      </c>
      <c r="K1759" s="220"/>
      <c r="CE1759" s="525"/>
    </row>
    <row r="1760">
      <c r="A1760" s="219"/>
      <c r="B1760" s="889" t="s">
        <v>7</v>
      </c>
      <c r="C1760" s="890" t="s">
        <v>289</v>
      </c>
      <c r="D1760" s="890" t="s">
        <v>392</v>
      </c>
      <c r="E1760" s="891">
        <v>2019.0</v>
      </c>
      <c r="F1760" s="890" t="s">
        <v>291</v>
      </c>
      <c r="G1760" s="890" t="s">
        <v>89</v>
      </c>
      <c r="H1760" s="532">
        <v>9261002.418</v>
      </c>
      <c r="I1760" s="532">
        <v>1.019863331E7</v>
      </c>
      <c r="J1760" s="533">
        <v>8325897.165</v>
      </c>
      <c r="K1760" s="220"/>
      <c r="CE1760" s="525"/>
    </row>
    <row r="1761">
      <c r="A1761" s="219"/>
      <c r="B1761" s="886" t="s">
        <v>7</v>
      </c>
      <c r="C1761" s="887" t="s">
        <v>289</v>
      </c>
      <c r="D1761" s="887" t="s">
        <v>398</v>
      </c>
      <c r="E1761" s="888">
        <v>2019.0</v>
      </c>
      <c r="F1761" s="887" t="s">
        <v>291</v>
      </c>
      <c r="G1761" s="887" t="s">
        <v>89</v>
      </c>
      <c r="H1761" s="547">
        <v>7759575.228</v>
      </c>
      <c r="I1761" s="547">
        <v>8545194.015</v>
      </c>
      <c r="J1761" s="548">
        <v>6976072.619</v>
      </c>
      <c r="K1761" s="220"/>
      <c r="CE1761" s="525"/>
    </row>
    <row r="1762">
      <c r="A1762" s="219"/>
      <c r="B1762" s="889" t="s">
        <v>7</v>
      </c>
      <c r="C1762" s="890" t="s">
        <v>289</v>
      </c>
      <c r="D1762" s="890" t="s">
        <v>402</v>
      </c>
      <c r="E1762" s="891">
        <v>2019.0</v>
      </c>
      <c r="F1762" s="890" t="s">
        <v>291</v>
      </c>
      <c r="G1762" s="890" t="s">
        <v>89</v>
      </c>
      <c r="H1762" s="532">
        <v>8.428696947E7</v>
      </c>
      <c r="I1762" s="532">
        <v>9.282542704E7</v>
      </c>
      <c r="J1762" s="533">
        <v>7.577183113E7</v>
      </c>
      <c r="K1762" s="220"/>
      <c r="CE1762" s="525"/>
    </row>
    <row r="1763">
      <c r="A1763" s="219"/>
      <c r="B1763" s="886" t="s">
        <v>7</v>
      </c>
      <c r="C1763" s="887" t="s">
        <v>289</v>
      </c>
      <c r="D1763" s="887" t="s">
        <v>407</v>
      </c>
      <c r="E1763" s="888">
        <v>2019.0</v>
      </c>
      <c r="F1763" s="887" t="s">
        <v>291</v>
      </c>
      <c r="G1763" s="887" t="s">
        <v>89</v>
      </c>
      <c r="H1763" s="547">
        <v>3.131580447E7</v>
      </c>
      <c r="I1763" s="547">
        <v>3.448637549E7</v>
      </c>
      <c r="J1763" s="548">
        <v>2.815377385E7</v>
      </c>
      <c r="K1763" s="220"/>
      <c r="CE1763" s="525"/>
    </row>
    <row r="1764">
      <c r="A1764" s="219"/>
      <c r="B1764" s="889" t="s">
        <v>7</v>
      </c>
      <c r="C1764" s="890" t="s">
        <v>289</v>
      </c>
      <c r="D1764" s="890" t="s">
        <v>414</v>
      </c>
      <c r="E1764" s="891">
        <v>2019.0</v>
      </c>
      <c r="F1764" s="890" t="s">
        <v>291</v>
      </c>
      <c r="G1764" s="890" t="s">
        <v>89</v>
      </c>
      <c r="H1764" s="532">
        <v>6235278.543</v>
      </c>
      <c r="I1764" s="532">
        <v>6866569.795</v>
      </c>
      <c r="J1764" s="533">
        <v>5605687.765</v>
      </c>
      <c r="K1764" s="220"/>
      <c r="CE1764" s="525"/>
    </row>
    <row r="1765">
      <c r="A1765" s="219"/>
      <c r="B1765" s="886" t="s">
        <v>7</v>
      </c>
      <c r="C1765" s="887" t="s">
        <v>289</v>
      </c>
      <c r="D1765" s="887" t="s">
        <v>417</v>
      </c>
      <c r="E1765" s="888">
        <v>2019.0</v>
      </c>
      <c r="F1765" s="887" t="s">
        <v>291</v>
      </c>
      <c r="G1765" s="887" t="s">
        <v>89</v>
      </c>
      <c r="H1765" s="547">
        <v>1.666652187E7</v>
      </c>
      <c r="I1765" s="547">
        <v>1.835392515E7</v>
      </c>
      <c r="J1765" s="548">
        <v>1.498366385E7</v>
      </c>
      <c r="K1765" s="220"/>
      <c r="CE1765" s="525"/>
    </row>
    <row r="1766">
      <c r="A1766" s="219"/>
      <c r="B1766" s="889" t="s">
        <v>7</v>
      </c>
      <c r="C1766" s="890" t="s">
        <v>289</v>
      </c>
      <c r="D1766" s="890" t="s">
        <v>300</v>
      </c>
      <c r="E1766" s="891">
        <v>2019.0</v>
      </c>
      <c r="F1766" s="890" t="s">
        <v>291</v>
      </c>
      <c r="G1766" s="890" t="s">
        <v>89</v>
      </c>
      <c r="H1766" s="532">
        <v>6.022643653E7</v>
      </c>
      <c r="I1766" s="532">
        <v>6.632406669E7</v>
      </c>
      <c r="J1766" s="533">
        <v>5.414523121E7</v>
      </c>
      <c r="K1766" s="220"/>
      <c r="CE1766" s="525"/>
    </row>
    <row r="1767">
      <c r="A1767" s="219"/>
      <c r="B1767" s="886" t="s">
        <v>7</v>
      </c>
      <c r="C1767" s="887" t="s">
        <v>289</v>
      </c>
      <c r="D1767" s="887" t="s">
        <v>429</v>
      </c>
      <c r="E1767" s="888">
        <v>2019.0</v>
      </c>
      <c r="F1767" s="887" t="s">
        <v>291</v>
      </c>
      <c r="G1767" s="887" t="s">
        <v>89</v>
      </c>
      <c r="H1767" s="547">
        <v>1.396254478E7</v>
      </c>
      <c r="I1767" s="547">
        <v>1.537698164E7</v>
      </c>
      <c r="J1767" s="548">
        <v>1.255197087E7</v>
      </c>
      <c r="K1767" s="220"/>
      <c r="CE1767" s="525"/>
    </row>
    <row r="1768">
      <c r="A1768" s="219"/>
      <c r="B1768" s="889" t="s">
        <v>7</v>
      </c>
      <c r="C1768" s="890" t="s">
        <v>289</v>
      </c>
      <c r="D1768" s="890" t="s">
        <v>432</v>
      </c>
      <c r="E1768" s="891">
        <v>2019.0</v>
      </c>
      <c r="F1768" s="890" t="s">
        <v>291</v>
      </c>
      <c r="G1768" s="890" t="s">
        <v>89</v>
      </c>
      <c r="H1768" s="532">
        <v>4737596.752</v>
      </c>
      <c r="I1768" s="532">
        <v>5217255.097</v>
      </c>
      <c r="J1768" s="533">
        <v>4259230.436</v>
      </c>
      <c r="K1768" s="220"/>
      <c r="CE1768" s="525"/>
    </row>
    <row r="1769">
      <c r="A1769" s="219"/>
      <c r="B1769" s="886" t="s">
        <v>7</v>
      </c>
      <c r="C1769" s="887" t="s">
        <v>289</v>
      </c>
      <c r="D1769" s="887" t="s">
        <v>435</v>
      </c>
      <c r="E1769" s="888">
        <v>2019.0</v>
      </c>
      <c r="F1769" s="887" t="s">
        <v>291</v>
      </c>
      <c r="G1769" s="887" t="s">
        <v>89</v>
      </c>
      <c r="H1769" s="547">
        <v>3369181.779</v>
      </c>
      <c r="I1769" s="547">
        <v>3710294.845</v>
      </c>
      <c r="J1769" s="548">
        <v>3028987.55</v>
      </c>
      <c r="K1769" s="220"/>
      <c r="CE1769" s="525"/>
    </row>
    <row r="1770">
      <c r="A1770" s="219"/>
      <c r="B1770" s="889" t="s">
        <v>7</v>
      </c>
      <c r="C1770" s="890" t="s">
        <v>289</v>
      </c>
      <c r="D1770" s="890" t="s">
        <v>442</v>
      </c>
      <c r="E1770" s="891">
        <v>2019.0</v>
      </c>
      <c r="F1770" s="890" t="s">
        <v>291</v>
      </c>
      <c r="G1770" s="890" t="s">
        <v>89</v>
      </c>
      <c r="H1770" s="532">
        <v>2324464.793</v>
      </c>
      <c r="I1770" s="532">
        <v>2559805.408</v>
      </c>
      <c r="J1770" s="533">
        <v>2089758.101</v>
      </c>
      <c r="K1770" s="220"/>
      <c r="CE1770" s="525"/>
    </row>
    <row r="1771">
      <c r="A1771" s="219"/>
      <c r="B1771" s="886" t="s">
        <v>7</v>
      </c>
      <c r="C1771" s="887" t="s">
        <v>289</v>
      </c>
      <c r="D1771" s="887" t="s">
        <v>445</v>
      </c>
      <c r="E1771" s="888">
        <v>2019.0</v>
      </c>
      <c r="F1771" s="887" t="s">
        <v>291</v>
      </c>
      <c r="G1771" s="887" t="s">
        <v>89</v>
      </c>
      <c r="H1771" s="547">
        <v>3759152.37</v>
      </c>
      <c r="I1771" s="547">
        <v>4139962.87</v>
      </c>
      <c r="J1771" s="548">
        <v>3379381.895</v>
      </c>
      <c r="K1771" s="220"/>
      <c r="CE1771" s="525"/>
    </row>
    <row r="1772">
      <c r="A1772" s="219"/>
      <c r="B1772" s="889" t="s">
        <v>7</v>
      </c>
      <c r="C1772" s="890" t="s">
        <v>289</v>
      </c>
      <c r="D1772" s="890" t="s">
        <v>450</v>
      </c>
      <c r="E1772" s="891">
        <v>2019.0</v>
      </c>
      <c r="F1772" s="890" t="s">
        <v>291</v>
      </c>
      <c r="G1772" s="890" t="s">
        <v>89</v>
      </c>
      <c r="H1772" s="532">
        <v>1434610.567</v>
      </c>
      <c r="I1772" s="532">
        <v>1579857.823</v>
      </c>
      <c r="J1772" s="533">
        <v>1289754.555</v>
      </c>
      <c r="K1772" s="220"/>
      <c r="CE1772" s="525"/>
    </row>
    <row r="1773">
      <c r="A1773" s="219"/>
      <c r="B1773" s="886" t="s">
        <v>7</v>
      </c>
      <c r="C1773" s="887" t="s">
        <v>289</v>
      </c>
      <c r="D1773" s="887" t="s">
        <v>457</v>
      </c>
      <c r="E1773" s="888">
        <v>2019.0</v>
      </c>
      <c r="F1773" s="887" t="s">
        <v>291</v>
      </c>
      <c r="G1773" s="887" t="s">
        <v>89</v>
      </c>
      <c r="H1773" s="547">
        <v>3531015.421</v>
      </c>
      <c r="I1773" s="547">
        <v>3888513.346</v>
      </c>
      <c r="J1773" s="548">
        <v>3174480.467</v>
      </c>
      <c r="K1773" s="220"/>
      <c r="CE1773" s="525"/>
    </row>
    <row r="1774">
      <c r="A1774" s="219"/>
      <c r="B1774" s="889" t="s">
        <v>7</v>
      </c>
      <c r="C1774" s="890" t="s">
        <v>289</v>
      </c>
      <c r="D1774" s="890" t="s">
        <v>463</v>
      </c>
      <c r="E1774" s="891">
        <v>2019.0</v>
      </c>
      <c r="F1774" s="890" t="s">
        <v>291</v>
      </c>
      <c r="G1774" s="890" t="s">
        <v>89</v>
      </c>
      <c r="H1774" s="532">
        <v>2096447.802</v>
      </c>
      <c r="I1774" s="532">
        <v>2308822.63</v>
      </c>
      <c r="J1774" s="533">
        <v>1884652.988</v>
      </c>
      <c r="K1774" s="220"/>
      <c r="CE1774" s="525"/>
    </row>
    <row r="1775">
      <c r="A1775" s="219"/>
      <c r="B1775" s="886" t="s">
        <v>7</v>
      </c>
      <c r="C1775" s="887" t="s">
        <v>289</v>
      </c>
      <c r="D1775" s="887" t="s">
        <v>467</v>
      </c>
      <c r="E1775" s="888">
        <v>2019.0</v>
      </c>
      <c r="F1775" s="887" t="s">
        <v>291</v>
      </c>
      <c r="G1775" s="887" t="s">
        <v>89</v>
      </c>
      <c r="H1775" s="547">
        <v>1122942.234</v>
      </c>
      <c r="I1775" s="547">
        <v>1236634.606</v>
      </c>
      <c r="J1775" s="548">
        <v>1009556.109</v>
      </c>
      <c r="K1775" s="220"/>
      <c r="CE1775" s="525"/>
    </row>
    <row r="1776">
      <c r="A1776" s="219"/>
      <c r="B1776" s="889" t="s">
        <v>7</v>
      </c>
      <c r="C1776" s="890" t="s">
        <v>289</v>
      </c>
      <c r="D1776" s="890" t="s">
        <v>473</v>
      </c>
      <c r="E1776" s="891">
        <v>2019.0</v>
      </c>
      <c r="F1776" s="890" t="s">
        <v>291</v>
      </c>
      <c r="G1776" s="890" t="s">
        <v>89</v>
      </c>
      <c r="H1776" s="532">
        <v>1711075.257</v>
      </c>
      <c r="I1776" s="532">
        <v>1884410.988</v>
      </c>
      <c r="J1776" s="533">
        <v>1538212.92</v>
      </c>
      <c r="K1776" s="220"/>
      <c r="CE1776" s="525"/>
    </row>
    <row r="1777">
      <c r="A1777" s="219"/>
      <c r="B1777" s="886" t="s">
        <v>7</v>
      </c>
      <c r="C1777" s="887" t="s">
        <v>289</v>
      </c>
      <c r="D1777" s="887" t="s">
        <v>477</v>
      </c>
      <c r="E1777" s="888">
        <v>2019.0</v>
      </c>
      <c r="F1777" s="887" t="s">
        <v>291</v>
      </c>
      <c r="G1777" s="887" t="s">
        <v>89</v>
      </c>
      <c r="H1777" s="547">
        <v>973462.62</v>
      </c>
      <c r="I1777" s="547">
        <v>1072020.917</v>
      </c>
      <c r="J1777" s="548">
        <v>875169.8037</v>
      </c>
      <c r="K1777" s="220"/>
      <c r="CE1777" s="525"/>
    </row>
    <row r="1778">
      <c r="A1778" s="219"/>
      <c r="B1778" s="889" t="s">
        <v>7</v>
      </c>
      <c r="C1778" s="890" t="s">
        <v>289</v>
      </c>
      <c r="D1778" s="890" t="s">
        <v>483</v>
      </c>
      <c r="E1778" s="891">
        <v>2019.0</v>
      </c>
      <c r="F1778" s="890" t="s">
        <v>291</v>
      </c>
      <c r="G1778" s="890" t="s">
        <v>89</v>
      </c>
      <c r="H1778" s="532">
        <v>588097.9693</v>
      </c>
      <c r="I1778" s="532">
        <v>647639.9931</v>
      </c>
      <c r="J1778" s="533">
        <v>528716.3305</v>
      </c>
      <c r="K1778" s="220"/>
      <c r="CE1778" s="525"/>
    </row>
    <row r="1779">
      <c r="A1779" s="219"/>
      <c r="B1779" s="886" t="s">
        <v>7</v>
      </c>
      <c r="C1779" s="887" t="s">
        <v>289</v>
      </c>
      <c r="D1779" s="887" t="s">
        <v>489</v>
      </c>
      <c r="E1779" s="888">
        <v>2019.0</v>
      </c>
      <c r="F1779" s="887" t="s">
        <v>291</v>
      </c>
      <c r="G1779" s="887" t="s">
        <v>89</v>
      </c>
      <c r="H1779" s="547">
        <v>385372.5455</v>
      </c>
      <c r="I1779" s="547">
        <v>424411.6419</v>
      </c>
      <c r="J1779" s="548">
        <v>346440.068</v>
      </c>
      <c r="K1779" s="220"/>
      <c r="CE1779" s="525"/>
    </row>
    <row r="1780">
      <c r="A1780" s="219"/>
      <c r="B1780" s="889" t="s">
        <v>7</v>
      </c>
      <c r="C1780" s="890" t="s">
        <v>289</v>
      </c>
      <c r="D1780" s="890" t="s">
        <v>493</v>
      </c>
      <c r="E1780" s="891">
        <v>2019.0</v>
      </c>
      <c r="F1780" s="890" t="s">
        <v>291</v>
      </c>
      <c r="G1780" s="890" t="s">
        <v>89</v>
      </c>
      <c r="H1780" s="532">
        <v>264305.514</v>
      </c>
      <c r="I1780" s="532">
        <v>291065.1459</v>
      </c>
      <c r="J1780" s="533">
        <v>237617.963</v>
      </c>
      <c r="K1780" s="220"/>
      <c r="CE1780" s="525"/>
    </row>
    <row r="1781">
      <c r="A1781" s="219"/>
      <c r="B1781" s="886" t="s">
        <v>7</v>
      </c>
      <c r="C1781" s="887" t="s">
        <v>289</v>
      </c>
      <c r="D1781" s="887" t="s">
        <v>496</v>
      </c>
      <c r="E1781" s="888">
        <v>2019.0</v>
      </c>
      <c r="F1781" s="887" t="s">
        <v>291</v>
      </c>
      <c r="G1781" s="887" t="s">
        <v>89</v>
      </c>
      <c r="H1781" s="547">
        <v>94597.52614</v>
      </c>
      <c r="I1781" s="547">
        <v>104175.0599</v>
      </c>
      <c r="J1781" s="548">
        <v>85045.79085</v>
      </c>
      <c r="K1781" s="220"/>
      <c r="CE1781" s="525"/>
    </row>
    <row r="1782">
      <c r="A1782" s="219"/>
      <c r="B1782" s="889" t="s">
        <v>7</v>
      </c>
      <c r="C1782" s="890" t="s">
        <v>289</v>
      </c>
      <c r="D1782" s="890" t="s">
        <v>502</v>
      </c>
      <c r="E1782" s="891">
        <v>2019.0</v>
      </c>
      <c r="F1782" s="890" t="s">
        <v>291</v>
      </c>
      <c r="G1782" s="890" t="s">
        <v>89</v>
      </c>
      <c r="H1782" s="532">
        <v>26461.61054</v>
      </c>
      <c r="I1782" s="532">
        <v>29140.71832</v>
      </c>
      <c r="J1782" s="533">
        <v>23789.71932</v>
      </c>
      <c r="K1782" s="220"/>
      <c r="CE1782" s="525"/>
    </row>
    <row r="1783">
      <c r="A1783" s="219"/>
      <c r="B1783" s="886" t="s">
        <v>7</v>
      </c>
      <c r="C1783" s="887" t="s">
        <v>289</v>
      </c>
      <c r="D1783" s="887" t="s">
        <v>332</v>
      </c>
      <c r="E1783" s="888">
        <v>2019.0</v>
      </c>
      <c r="F1783" s="887" t="s">
        <v>291</v>
      </c>
      <c r="G1783" s="887" t="s">
        <v>89</v>
      </c>
      <c r="H1783" s="547">
        <v>2.148237857E8</v>
      </c>
      <c r="I1783" s="547">
        <v>2.365736363E8</v>
      </c>
      <c r="J1783" s="548">
        <v>1.931325215E8</v>
      </c>
      <c r="K1783" s="220"/>
      <c r="CE1783" s="525"/>
    </row>
    <row r="1784">
      <c r="A1784" s="219"/>
      <c r="B1784" s="889" t="s">
        <v>7</v>
      </c>
      <c r="C1784" s="890" t="s">
        <v>289</v>
      </c>
      <c r="D1784" s="890" t="s">
        <v>510</v>
      </c>
      <c r="E1784" s="891">
        <v>2019.0</v>
      </c>
      <c r="F1784" s="890" t="s">
        <v>291</v>
      </c>
      <c r="G1784" s="890" t="s">
        <v>89</v>
      </c>
      <c r="H1784" s="532">
        <v>7587166.804</v>
      </c>
      <c r="I1784" s="532">
        <v>8238238.874</v>
      </c>
      <c r="J1784" s="533">
        <v>7020690.991</v>
      </c>
      <c r="K1784" s="220"/>
      <c r="CE1784" s="525"/>
    </row>
    <row r="1785">
      <c r="A1785" s="219"/>
      <c r="B1785" s="886" t="s">
        <v>7</v>
      </c>
      <c r="C1785" s="887" t="s">
        <v>289</v>
      </c>
      <c r="D1785" s="887" t="s">
        <v>512</v>
      </c>
      <c r="E1785" s="888">
        <v>2019.0</v>
      </c>
      <c r="F1785" s="887" t="s">
        <v>291</v>
      </c>
      <c r="G1785" s="887" t="s">
        <v>89</v>
      </c>
      <c r="H1785" s="547">
        <v>143303.6766</v>
      </c>
      <c r="I1785" s="547">
        <v>157812.4682</v>
      </c>
      <c r="J1785" s="548">
        <v>128833.9664</v>
      </c>
      <c r="K1785" s="220"/>
      <c r="CE1785" s="525"/>
    </row>
    <row r="1786">
      <c r="A1786" s="219"/>
      <c r="B1786" s="889" t="s">
        <v>7</v>
      </c>
      <c r="C1786" s="890" t="s">
        <v>289</v>
      </c>
      <c r="D1786" s="890" t="s">
        <v>515</v>
      </c>
      <c r="E1786" s="891">
        <v>2019.0</v>
      </c>
      <c r="F1786" s="890" t="s">
        <v>291</v>
      </c>
      <c r="G1786" s="890" t="s">
        <v>89</v>
      </c>
      <c r="H1786" s="532">
        <v>421525.6705</v>
      </c>
      <c r="I1786" s="532">
        <v>464203.0692</v>
      </c>
      <c r="J1786" s="533">
        <v>378963.2295</v>
      </c>
      <c r="K1786" s="220"/>
      <c r="CE1786" s="525"/>
    </row>
    <row r="1787">
      <c r="A1787" s="219"/>
      <c r="B1787" s="886" t="s">
        <v>7</v>
      </c>
      <c r="C1787" s="887" t="s">
        <v>289</v>
      </c>
      <c r="D1787" s="887" t="s">
        <v>518</v>
      </c>
      <c r="E1787" s="888">
        <v>2019.0</v>
      </c>
      <c r="F1787" s="887" t="s">
        <v>291</v>
      </c>
      <c r="G1787" s="887" t="s">
        <v>89</v>
      </c>
      <c r="H1787" s="547">
        <v>564829.3471</v>
      </c>
      <c r="I1787" s="547">
        <v>622015.5375</v>
      </c>
      <c r="J1787" s="548">
        <v>507797.196</v>
      </c>
      <c r="K1787" s="220"/>
      <c r="CE1787" s="525"/>
    </row>
    <row r="1788">
      <c r="A1788" s="219"/>
      <c r="B1788" s="889" t="s">
        <v>7</v>
      </c>
      <c r="C1788" s="890" t="s">
        <v>289</v>
      </c>
      <c r="D1788" s="890" t="s">
        <v>522</v>
      </c>
      <c r="E1788" s="891">
        <v>2019.0</v>
      </c>
      <c r="F1788" s="890" t="s">
        <v>291</v>
      </c>
      <c r="G1788" s="890" t="s">
        <v>89</v>
      </c>
      <c r="H1788" s="532">
        <v>6555737.083</v>
      </c>
      <c r="I1788" s="532">
        <v>7219473.185</v>
      </c>
      <c r="J1788" s="533">
        <v>5893788.851</v>
      </c>
      <c r="K1788" s="220"/>
      <c r="CE1788" s="525"/>
    </row>
    <row r="1789">
      <c r="A1789" s="219"/>
      <c r="B1789" s="886" t="s">
        <v>7</v>
      </c>
      <c r="C1789" s="887" t="s">
        <v>289</v>
      </c>
      <c r="D1789" s="887" t="s">
        <v>302</v>
      </c>
      <c r="E1789" s="888">
        <v>2019.0</v>
      </c>
      <c r="F1789" s="887" t="s">
        <v>291</v>
      </c>
      <c r="G1789" s="887" t="s">
        <v>89</v>
      </c>
      <c r="H1789" s="547">
        <v>3.352163783E7</v>
      </c>
      <c r="I1789" s="547">
        <v>3.691553861E7</v>
      </c>
      <c r="J1789" s="548">
        <v>3.013687901E7</v>
      </c>
      <c r="K1789" s="220"/>
      <c r="CE1789" s="525"/>
    </row>
    <row r="1790">
      <c r="A1790" s="219"/>
      <c r="B1790" s="889" t="s">
        <v>420</v>
      </c>
      <c r="C1790" s="890" t="s">
        <v>289</v>
      </c>
      <c r="D1790" s="890" t="s">
        <v>290</v>
      </c>
      <c r="E1790" s="891">
        <v>2019.0</v>
      </c>
      <c r="F1790" s="890" t="s">
        <v>291</v>
      </c>
      <c r="G1790" s="890" t="s">
        <v>89</v>
      </c>
      <c r="H1790" s="532">
        <v>6334714.778</v>
      </c>
      <c r="I1790" s="532">
        <v>6832147.53</v>
      </c>
      <c r="J1790" s="533">
        <v>5854499.415</v>
      </c>
      <c r="K1790" s="220"/>
      <c r="CE1790" s="525"/>
    </row>
    <row r="1791">
      <c r="A1791" s="219"/>
      <c r="B1791" s="886" t="s">
        <v>420</v>
      </c>
      <c r="C1791" s="887" t="s">
        <v>289</v>
      </c>
      <c r="D1791" s="887" t="s">
        <v>310</v>
      </c>
      <c r="E1791" s="888">
        <v>2019.0</v>
      </c>
      <c r="F1791" s="887" t="s">
        <v>291</v>
      </c>
      <c r="G1791" s="887" t="s">
        <v>89</v>
      </c>
      <c r="H1791" s="547">
        <v>1.118672311E8</v>
      </c>
      <c r="I1791" s="547">
        <v>1.206515926E8</v>
      </c>
      <c r="J1791" s="548">
        <v>1.033869183E8</v>
      </c>
      <c r="K1791" s="220"/>
      <c r="CE1791" s="525"/>
    </row>
    <row r="1792">
      <c r="A1792" s="219"/>
      <c r="B1792" s="889" t="s">
        <v>420</v>
      </c>
      <c r="C1792" s="890" t="s">
        <v>289</v>
      </c>
      <c r="D1792" s="890" t="s">
        <v>318</v>
      </c>
      <c r="E1792" s="891">
        <v>2019.0</v>
      </c>
      <c r="F1792" s="890" t="s">
        <v>291</v>
      </c>
      <c r="G1792" s="890" t="s">
        <v>89</v>
      </c>
      <c r="H1792" s="532">
        <v>8.714577663E7</v>
      </c>
      <c r="I1792" s="532">
        <v>9.398888875E7</v>
      </c>
      <c r="J1792" s="533">
        <v>8.053952169E7</v>
      </c>
      <c r="K1792" s="220"/>
      <c r="CE1792" s="525"/>
    </row>
    <row r="1793">
      <c r="A1793" s="219"/>
      <c r="B1793" s="886" t="s">
        <v>420</v>
      </c>
      <c r="C1793" s="887" t="s">
        <v>289</v>
      </c>
      <c r="D1793" s="887" t="s">
        <v>309</v>
      </c>
      <c r="E1793" s="888">
        <v>2019.0</v>
      </c>
      <c r="F1793" s="887" t="s">
        <v>291</v>
      </c>
      <c r="G1793" s="887" t="s">
        <v>89</v>
      </c>
      <c r="H1793" s="547">
        <v>2.419176825E7</v>
      </c>
      <c r="I1793" s="547">
        <v>2.609142408E7</v>
      </c>
      <c r="J1793" s="548">
        <v>2.235786425E7</v>
      </c>
      <c r="K1793" s="220"/>
      <c r="CE1793" s="525"/>
    </row>
    <row r="1794">
      <c r="A1794" s="219"/>
      <c r="B1794" s="889" t="s">
        <v>420</v>
      </c>
      <c r="C1794" s="890" t="s">
        <v>289</v>
      </c>
      <c r="D1794" s="890" t="s">
        <v>334</v>
      </c>
      <c r="E1794" s="891">
        <v>2019.0</v>
      </c>
      <c r="F1794" s="890" t="s">
        <v>291</v>
      </c>
      <c r="G1794" s="890" t="s">
        <v>89</v>
      </c>
      <c r="H1794" s="532">
        <v>2.754341645E7</v>
      </c>
      <c r="I1794" s="532">
        <v>2.970626007E7</v>
      </c>
      <c r="J1794" s="533">
        <v>2.545543425E7</v>
      </c>
      <c r="K1794" s="220"/>
      <c r="CE1794" s="525"/>
    </row>
    <row r="1795">
      <c r="A1795" s="219"/>
      <c r="B1795" s="886" t="s">
        <v>420</v>
      </c>
      <c r="C1795" s="887" t="s">
        <v>289</v>
      </c>
      <c r="D1795" s="887" t="s">
        <v>339</v>
      </c>
      <c r="E1795" s="888">
        <v>2019.0</v>
      </c>
      <c r="F1795" s="887" t="s">
        <v>291</v>
      </c>
      <c r="G1795" s="887" t="s">
        <v>89</v>
      </c>
      <c r="H1795" s="547">
        <v>5.22648709E7</v>
      </c>
      <c r="I1795" s="547">
        <v>5.63689639E7</v>
      </c>
      <c r="J1795" s="548">
        <v>4.830283081E7</v>
      </c>
      <c r="K1795" s="220"/>
      <c r="CE1795" s="525"/>
    </row>
    <row r="1796">
      <c r="A1796" s="219"/>
      <c r="B1796" s="889" t="s">
        <v>420</v>
      </c>
      <c r="C1796" s="890" t="s">
        <v>289</v>
      </c>
      <c r="D1796" s="890" t="s">
        <v>344</v>
      </c>
      <c r="E1796" s="891">
        <v>2019.0</v>
      </c>
      <c r="F1796" s="890" t="s">
        <v>291</v>
      </c>
      <c r="G1796" s="890" t="s">
        <v>89</v>
      </c>
      <c r="H1796" s="532">
        <v>7.338983893E7</v>
      </c>
      <c r="I1796" s="532">
        <v>7.915276762E7</v>
      </c>
      <c r="J1796" s="533">
        <v>6.782637958E7</v>
      </c>
      <c r="K1796" s="220"/>
      <c r="CE1796" s="525"/>
    </row>
    <row r="1797">
      <c r="A1797" s="219"/>
      <c r="B1797" s="886" t="s">
        <v>420</v>
      </c>
      <c r="C1797" s="887" t="s">
        <v>289</v>
      </c>
      <c r="D1797" s="887" t="s">
        <v>349</v>
      </c>
      <c r="E1797" s="888">
        <v>2019.0</v>
      </c>
      <c r="F1797" s="887" t="s">
        <v>291</v>
      </c>
      <c r="G1797" s="887" t="s">
        <v>89</v>
      </c>
      <c r="H1797" s="547">
        <v>2.472145445E7</v>
      </c>
      <c r="I1797" s="547">
        <v>2.666270383E7</v>
      </c>
      <c r="J1797" s="548">
        <v>2.284739656E7</v>
      </c>
      <c r="K1797" s="220"/>
      <c r="CE1797" s="525"/>
    </row>
    <row r="1798">
      <c r="A1798" s="219"/>
      <c r="B1798" s="889" t="s">
        <v>420</v>
      </c>
      <c r="C1798" s="890" t="s">
        <v>289</v>
      </c>
      <c r="D1798" s="890" t="s">
        <v>355</v>
      </c>
      <c r="E1798" s="891">
        <v>2019.0</v>
      </c>
      <c r="F1798" s="890" t="s">
        <v>291</v>
      </c>
      <c r="G1798" s="890" t="s">
        <v>89</v>
      </c>
      <c r="H1798" s="532">
        <v>9.145829818E7</v>
      </c>
      <c r="I1798" s="532">
        <v>9.857155189E7</v>
      </c>
      <c r="J1798" s="533">
        <v>8.453205238E7</v>
      </c>
      <c r="K1798" s="220"/>
      <c r="CE1798" s="525"/>
    </row>
    <row r="1799">
      <c r="A1799" s="219"/>
      <c r="B1799" s="886" t="s">
        <v>420</v>
      </c>
      <c r="C1799" s="887" t="s">
        <v>289</v>
      </c>
      <c r="D1799" s="887" t="s">
        <v>358</v>
      </c>
      <c r="E1799" s="888">
        <v>2019.0</v>
      </c>
      <c r="F1799" s="887" t="s">
        <v>291</v>
      </c>
      <c r="G1799" s="887" t="s">
        <v>89</v>
      </c>
      <c r="H1799" s="547">
        <v>1.117734934E8</v>
      </c>
      <c r="I1799" s="547">
        <v>1.205504942E8</v>
      </c>
      <c r="J1799" s="548">
        <v>1.033002866E8</v>
      </c>
      <c r="K1799" s="220"/>
      <c r="CE1799" s="525"/>
    </row>
    <row r="1800">
      <c r="A1800" s="219"/>
      <c r="B1800" s="889" t="s">
        <v>420</v>
      </c>
      <c r="C1800" s="890" t="s">
        <v>289</v>
      </c>
      <c r="D1800" s="890" t="s">
        <v>362</v>
      </c>
      <c r="E1800" s="891">
        <v>2019.0</v>
      </c>
      <c r="F1800" s="890" t="s">
        <v>291</v>
      </c>
      <c r="G1800" s="890" t="s">
        <v>89</v>
      </c>
      <c r="H1800" s="532">
        <v>1.121854312E8</v>
      </c>
      <c r="I1800" s="532">
        <v>1.209107568E8</v>
      </c>
      <c r="J1800" s="533">
        <v>1.036894949E8</v>
      </c>
      <c r="K1800" s="220"/>
      <c r="CE1800" s="525"/>
    </row>
    <row r="1801">
      <c r="A1801" s="219"/>
      <c r="B1801" s="886" t="s">
        <v>420</v>
      </c>
      <c r="C1801" s="887" t="s">
        <v>289</v>
      </c>
      <c r="D1801" s="887" t="s">
        <v>366</v>
      </c>
      <c r="E1801" s="888">
        <v>2019.0</v>
      </c>
      <c r="F1801" s="887" t="s">
        <v>291</v>
      </c>
      <c r="G1801" s="887" t="s">
        <v>89</v>
      </c>
      <c r="H1801" s="547">
        <v>2.112496802E7</v>
      </c>
      <c r="I1801" s="547">
        <v>2.278380372E7</v>
      </c>
      <c r="J1801" s="548">
        <v>1.952354877E7</v>
      </c>
      <c r="K1801" s="220"/>
      <c r="CE1801" s="525"/>
    </row>
    <row r="1802">
      <c r="A1802" s="219"/>
      <c r="B1802" s="889" t="s">
        <v>420</v>
      </c>
      <c r="C1802" s="890" t="s">
        <v>289</v>
      </c>
      <c r="D1802" s="890" t="s">
        <v>368</v>
      </c>
      <c r="E1802" s="891">
        <v>2019.0</v>
      </c>
      <c r="F1802" s="890" t="s">
        <v>291</v>
      </c>
      <c r="G1802" s="890" t="s">
        <v>89</v>
      </c>
      <c r="H1802" s="532">
        <v>9.107064768E7</v>
      </c>
      <c r="I1802" s="532">
        <v>9.822195985E7</v>
      </c>
      <c r="J1802" s="533">
        <v>8.416686026E7</v>
      </c>
      <c r="K1802" s="220"/>
      <c r="CE1802" s="525"/>
    </row>
    <row r="1803">
      <c r="A1803" s="219"/>
      <c r="B1803" s="886" t="s">
        <v>420</v>
      </c>
      <c r="C1803" s="887" t="s">
        <v>289</v>
      </c>
      <c r="D1803" s="887" t="s">
        <v>373</v>
      </c>
      <c r="E1803" s="888">
        <v>2019.0</v>
      </c>
      <c r="F1803" s="887" t="s">
        <v>291</v>
      </c>
      <c r="G1803" s="887" t="s">
        <v>89</v>
      </c>
      <c r="H1803" s="547">
        <v>1.754056434E7</v>
      </c>
      <c r="I1803" s="547">
        <v>1.891793514E7</v>
      </c>
      <c r="J1803" s="548">
        <v>1.621086778E7</v>
      </c>
      <c r="K1803" s="220"/>
      <c r="CE1803" s="525"/>
    </row>
    <row r="1804">
      <c r="A1804" s="219"/>
      <c r="B1804" s="889" t="s">
        <v>420</v>
      </c>
      <c r="C1804" s="890" t="s">
        <v>289</v>
      </c>
      <c r="D1804" s="890" t="s">
        <v>379</v>
      </c>
      <c r="E1804" s="891">
        <v>2019.0</v>
      </c>
      <c r="F1804" s="890" t="s">
        <v>291</v>
      </c>
      <c r="G1804" s="890" t="s">
        <v>89</v>
      </c>
      <c r="H1804" s="532">
        <v>6.592108645E7</v>
      </c>
      <c r="I1804" s="532">
        <v>7.10481599E7</v>
      </c>
      <c r="J1804" s="533">
        <v>6.092880409E7</v>
      </c>
      <c r="K1804" s="220"/>
      <c r="CE1804" s="525"/>
    </row>
    <row r="1805">
      <c r="A1805" s="219"/>
      <c r="B1805" s="886" t="s">
        <v>420</v>
      </c>
      <c r="C1805" s="887" t="s">
        <v>289</v>
      </c>
      <c r="D1805" s="887" t="s">
        <v>382</v>
      </c>
      <c r="E1805" s="888">
        <v>2019.0</v>
      </c>
      <c r="F1805" s="887" t="s">
        <v>291</v>
      </c>
      <c r="G1805" s="887" t="s">
        <v>89</v>
      </c>
      <c r="H1805" s="547">
        <v>1.503109578E7</v>
      </c>
      <c r="I1805" s="547">
        <v>1.621141086E7</v>
      </c>
      <c r="J1805" s="548">
        <v>1.389163436E7</v>
      </c>
      <c r="K1805" s="220"/>
      <c r="CE1805" s="525"/>
    </row>
    <row r="1806">
      <c r="A1806" s="219"/>
      <c r="B1806" s="889" t="s">
        <v>420</v>
      </c>
      <c r="C1806" s="890" t="s">
        <v>289</v>
      </c>
      <c r="D1806" s="890" t="s">
        <v>387</v>
      </c>
      <c r="E1806" s="891">
        <v>2019.0</v>
      </c>
      <c r="F1806" s="890" t="s">
        <v>291</v>
      </c>
      <c r="G1806" s="890" t="s">
        <v>89</v>
      </c>
      <c r="H1806" s="532">
        <v>1.304851844E7</v>
      </c>
      <c r="I1806" s="532">
        <v>1.407315186E7</v>
      </c>
      <c r="J1806" s="533">
        <v>1.205935015E7</v>
      </c>
      <c r="K1806" s="220"/>
      <c r="CE1806" s="525"/>
    </row>
    <row r="1807">
      <c r="A1807" s="219"/>
      <c r="B1807" s="886" t="s">
        <v>420</v>
      </c>
      <c r="C1807" s="887" t="s">
        <v>289</v>
      </c>
      <c r="D1807" s="887" t="s">
        <v>392</v>
      </c>
      <c r="E1807" s="888">
        <v>2019.0</v>
      </c>
      <c r="F1807" s="887" t="s">
        <v>291</v>
      </c>
      <c r="G1807" s="887" t="s">
        <v>89</v>
      </c>
      <c r="H1807" s="547">
        <v>1.10574561E7</v>
      </c>
      <c r="I1807" s="547">
        <v>1.192574157E7</v>
      </c>
      <c r="J1807" s="548">
        <v>1.021922415E7</v>
      </c>
      <c r="K1807" s="220"/>
      <c r="CE1807" s="525"/>
    </row>
    <row r="1808">
      <c r="A1808" s="219"/>
      <c r="B1808" s="889" t="s">
        <v>420</v>
      </c>
      <c r="C1808" s="890" t="s">
        <v>289</v>
      </c>
      <c r="D1808" s="890" t="s">
        <v>398</v>
      </c>
      <c r="E1808" s="891">
        <v>2019.0</v>
      </c>
      <c r="F1808" s="890" t="s">
        <v>291</v>
      </c>
      <c r="G1808" s="890" t="s">
        <v>89</v>
      </c>
      <c r="H1808" s="532">
        <v>9249436.295</v>
      </c>
      <c r="I1808" s="532">
        <v>9975747.22</v>
      </c>
      <c r="J1808" s="533">
        <v>8548264.804</v>
      </c>
      <c r="K1808" s="220"/>
      <c r="CE1808" s="525"/>
    </row>
    <row r="1809">
      <c r="A1809" s="219"/>
      <c r="B1809" s="886" t="s">
        <v>420</v>
      </c>
      <c r="C1809" s="887" t="s">
        <v>289</v>
      </c>
      <c r="D1809" s="887" t="s">
        <v>402</v>
      </c>
      <c r="E1809" s="888">
        <v>2019.0</v>
      </c>
      <c r="F1809" s="887" t="s">
        <v>291</v>
      </c>
      <c r="G1809" s="887" t="s">
        <v>89</v>
      </c>
      <c r="H1809" s="547">
        <v>8.133336436E7</v>
      </c>
      <c r="I1809" s="547">
        <v>8.765914199E7</v>
      </c>
      <c r="J1809" s="548">
        <v>7.517389185E7</v>
      </c>
      <c r="K1809" s="220"/>
      <c r="CE1809" s="525"/>
    </row>
    <row r="1810">
      <c r="A1810" s="219"/>
      <c r="B1810" s="889" t="s">
        <v>420</v>
      </c>
      <c r="C1810" s="890" t="s">
        <v>289</v>
      </c>
      <c r="D1810" s="890" t="s">
        <v>407</v>
      </c>
      <c r="E1810" s="891">
        <v>2019.0</v>
      </c>
      <c r="F1810" s="890" t="s">
        <v>291</v>
      </c>
      <c r="G1810" s="890" t="s">
        <v>89</v>
      </c>
      <c r="H1810" s="532">
        <v>2.907587715E7</v>
      </c>
      <c r="I1810" s="532">
        <v>3.135905707E7</v>
      </c>
      <c r="J1810" s="533">
        <v>2.687172378E7</v>
      </c>
      <c r="K1810" s="220"/>
      <c r="CE1810" s="525"/>
    </row>
    <row r="1811">
      <c r="A1811" s="219"/>
      <c r="B1811" s="886" t="s">
        <v>420</v>
      </c>
      <c r="C1811" s="887" t="s">
        <v>289</v>
      </c>
      <c r="D1811" s="887" t="s">
        <v>414</v>
      </c>
      <c r="E1811" s="888">
        <v>2019.0</v>
      </c>
      <c r="F1811" s="887" t="s">
        <v>291</v>
      </c>
      <c r="G1811" s="887" t="s">
        <v>89</v>
      </c>
      <c r="H1811" s="547">
        <v>7363025.257</v>
      </c>
      <c r="I1811" s="547">
        <v>7941205.971</v>
      </c>
      <c r="J1811" s="548">
        <v>6804856.82</v>
      </c>
      <c r="K1811" s="220"/>
      <c r="CE1811" s="525"/>
    </row>
    <row r="1812">
      <c r="A1812" s="219"/>
      <c r="B1812" s="889" t="s">
        <v>420</v>
      </c>
      <c r="C1812" s="890" t="s">
        <v>289</v>
      </c>
      <c r="D1812" s="890" t="s">
        <v>417</v>
      </c>
      <c r="E1812" s="891">
        <v>2019.0</v>
      </c>
      <c r="F1812" s="890" t="s">
        <v>291</v>
      </c>
      <c r="G1812" s="890" t="s">
        <v>89</v>
      </c>
      <c r="H1812" s="532">
        <v>2.062352407E7</v>
      </c>
      <c r="I1812" s="532">
        <v>2.224298394E7</v>
      </c>
      <c r="J1812" s="533">
        <v>1.906011775E7</v>
      </c>
      <c r="K1812" s="220"/>
      <c r="CE1812" s="525"/>
    </row>
    <row r="1813">
      <c r="A1813" s="219"/>
      <c r="B1813" s="886" t="s">
        <v>420</v>
      </c>
      <c r="C1813" s="887" t="s">
        <v>289</v>
      </c>
      <c r="D1813" s="887" t="s">
        <v>300</v>
      </c>
      <c r="E1813" s="888">
        <v>2019.0</v>
      </c>
      <c r="F1813" s="887" t="s">
        <v>291</v>
      </c>
      <c r="G1813" s="887" t="s">
        <v>89</v>
      </c>
      <c r="H1813" s="547">
        <v>5.66192936E7</v>
      </c>
      <c r="I1813" s="547">
        <v>6.106531714E7</v>
      </c>
      <c r="J1813" s="548">
        <v>5.232715803E7</v>
      </c>
      <c r="K1813" s="220"/>
      <c r="CE1813" s="525"/>
    </row>
    <row r="1814">
      <c r="A1814" s="219"/>
      <c r="B1814" s="889" t="s">
        <v>420</v>
      </c>
      <c r="C1814" s="890" t="s">
        <v>289</v>
      </c>
      <c r="D1814" s="890" t="s">
        <v>429</v>
      </c>
      <c r="E1814" s="891">
        <v>2019.0</v>
      </c>
      <c r="F1814" s="890" t="s">
        <v>291</v>
      </c>
      <c r="G1814" s="890" t="s">
        <v>89</v>
      </c>
      <c r="H1814" s="532">
        <v>1.777893743E7</v>
      </c>
      <c r="I1814" s="532">
        <v>1.916171073E7</v>
      </c>
      <c r="J1814" s="533">
        <v>1.643251733E7</v>
      </c>
      <c r="K1814" s="220"/>
      <c r="CE1814" s="525"/>
    </row>
    <row r="1815">
      <c r="A1815" s="219"/>
      <c r="B1815" s="886" t="s">
        <v>420</v>
      </c>
      <c r="C1815" s="887" t="s">
        <v>289</v>
      </c>
      <c r="D1815" s="887" t="s">
        <v>432</v>
      </c>
      <c r="E1815" s="888">
        <v>2019.0</v>
      </c>
      <c r="F1815" s="887" t="s">
        <v>291</v>
      </c>
      <c r="G1815" s="887" t="s">
        <v>89</v>
      </c>
      <c r="H1815" s="547">
        <v>5761588.484</v>
      </c>
      <c r="I1815" s="547">
        <v>6214016.56</v>
      </c>
      <c r="J1815" s="548">
        <v>5324820.074</v>
      </c>
      <c r="K1815" s="220"/>
      <c r="CE1815" s="525"/>
    </row>
    <row r="1816">
      <c r="A1816" s="219"/>
      <c r="B1816" s="889" t="s">
        <v>420</v>
      </c>
      <c r="C1816" s="890" t="s">
        <v>289</v>
      </c>
      <c r="D1816" s="890" t="s">
        <v>435</v>
      </c>
      <c r="E1816" s="891">
        <v>2019.0</v>
      </c>
      <c r="F1816" s="890" t="s">
        <v>291</v>
      </c>
      <c r="G1816" s="890" t="s">
        <v>89</v>
      </c>
      <c r="H1816" s="532">
        <v>4354217.966</v>
      </c>
      <c r="I1816" s="532">
        <v>4696132.433</v>
      </c>
      <c r="J1816" s="533">
        <v>4024138.012</v>
      </c>
      <c r="K1816" s="220"/>
      <c r="CE1816" s="525"/>
    </row>
    <row r="1817">
      <c r="A1817" s="219"/>
      <c r="B1817" s="886" t="s">
        <v>420</v>
      </c>
      <c r="C1817" s="887" t="s">
        <v>289</v>
      </c>
      <c r="D1817" s="887" t="s">
        <v>442</v>
      </c>
      <c r="E1817" s="888">
        <v>2019.0</v>
      </c>
      <c r="F1817" s="887" t="s">
        <v>291</v>
      </c>
      <c r="G1817" s="887" t="s">
        <v>89</v>
      </c>
      <c r="H1817" s="547">
        <v>3144692.365</v>
      </c>
      <c r="I1817" s="547">
        <v>3391628.972</v>
      </c>
      <c r="J1817" s="548">
        <v>2906302.849</v>
      </c>
      <c r="K1817" s="220"/>
      <c r="CE1817" s="525"/>
    </row>
    <row r="1818">
      <c r="A1818" s="219"/>
      <c r="B1818" s="889" t="s">
        <v>420</v>
      </c>
      <c r="C1818" s="890" t="s">
        <v>289</v>
      </c>
      <c r="D1818" s="890" t="s">
        <v>445</v>
      </c>
      <c r="E1818" s="891">
        <v>2019.0</v>
      </c>
      <c r="F1818" s="890" t="s">
        <v>291</v>
      </c>
      <c r="G1818" s="890" t="s">
        <v>89</v>
      </c>
      <c r="H1818" s="532">
        <v>5248862.272</v>
      </c>
      <c r="I1818" s="532">
        <v>5657097.389</v>
      </c>
      <c r="J1818" s="533">
        <v>4851359.683</v>
      </c>
      <c r="K1818" s="220"/>
      <c r="CE1818" s="525"/>
    </row>
    <row r="1819">
      <c r="A1819" s="219"/>
      <c r="B1819" s="886" t="s">
        <v>420</v>
      </c>
      <c r="C1819" s="887" t="s">
        <v>289</v>
      </c>
      <c r="D1819" s="887" t="s">
        <v>450</v>
      </c>
      <c r="E1819" s="888">
        <v>2019.0</v>
      </c>
      <c r="F1819" s="887" t="s">
        <v>291</v>
      </c>
      <c r="G1819" s="887" t="s">
        <v>89</v>
      </c>
      <c r="H1819" s="547">
        <v>2104646.415</v>
      </c>
      <c r="I1819" s="547">
        <v>2269913.534</v>
      </c>
      <c r="J1819" s="548">
        <v>1945099.604</v>
      </c>
      <c r="K1819" s="220"/>
      <c r="CE1819" s="525"/>
    </row>
    <row r="1820">
      <c r="A1820" s="219"/>
      <c r="B1820" s="889" t="s">
        <v>420</v>
      </c>
      <c r="C1820" s="890" t="s">
        <v>289</v>
      </c>
      <c r="D1820" s="890" t="s">
        <v>457</v>
      </c>
      <c r="E1820" s="891">
        <v>2019.0</v>
      </c>
      <c r="F1820" s="890" t="s">
        <v>291</v>
      </c>
      <c r="G1820" s="890" t="s">
        <v>89</v>
      </c>
      <c r="H1820" s="532">
        <v>4520052.643</v>
      </c>
      <c r="I1820" s="532">
        <v>4874989.258</v>
      </c>
      <c r="J1820" s="533">
        <v>4177401.269</v>
      </c>
      <c r="K1820" s="220"/>
      <c r="CE1820" s="525"/>
    </row>
    <row r="1821">
      <c r="A1821" s="219"/>
      <c r="B1821" s="886" t="s">
        <v>420</v>
      </c>
      <c r="C1821" s="887" t="s">
        <v>289</v>
      </c>
      <c r="D1821" s="887" t="s">
        <v>463</v>
      </c>
      <c r="E1821" s="888">
        <v>2019.0</v>
      </c>
      <c r="F1821" s="887" t="s">
        <v>291</v>
      </c>
      <c r="G1821" s="887" t="s">
        <v>89</v>
      </c>
      <c r="H1821" s="547">
        <v>2415186.97</v>
      </c>
      <c r="I1821" s="547">
        <v>2603030.369</v>
      </c>
      <c r="J1821" s="548">
        <v>2232281.985</v>
      </c>
      <c r="K1821" s="220"/>
      <c r="CE1821" s="525"/>
    </row>
    <row r="1822">
      <c r="A1822" s="219"/>
      <c r="B1822" s="889" t="s">
        <v>420</v>
      </c>
      <c r="C1822" s="890" t="s">
        <v>289</v>
      </c>
      <c r="D1822" s="890" t="s">
        <v>467</v>
      </c>
      <c r="E1822" s="891">
        <v>2019.0</v>
      </c>
      <c r="F1822" s="890" t="s">
        <v>291</v>
      </c>
      <c r="G1822" s="890" t="s">
        <v>89</v>
      </c>
      <c r="H1822" s="532">
        <v>1323814.647</v>
      </c>
      <c r="I1822" s="532">
        <v>1427767.041</v>
      </c>
      <c r="J1822" s="533">
        <v>1223460.306</v>
      </c>
      <c r="K1822" s="220"/>
      <c r="CE1822" s="525"/>
    </row>
    <row r="1823">
      <c r="A1823" s="219"/>
      <c r="B1823" s="886" t="s">
        <v>420</v>
      </c>
      <c r="C1823" s="887" t="s">
        <v>289</v>
      </c>
      <c r="D1823" s="887" t="s">
        <v>473</v>
      </c>
      <c r="E1823" s="888">
        <v>2019.0</v>
      </c>
      <c r="F1823" s="887" t="s">
        <v>291</v>
      </c>
      <c r="G1823" s="887" t="s">
        <v>89</v>
      </c>
      <c r="H1823" s="547">
        <v>2021851.801</v>
      </c>
      <c r="I1823" s="547">
        <v>2179103.194</v>
      </c>
      <c r="J1823" s="548">
        <v>1868734.557</v>
      </c>
      <c r="K1823" s="220"/>
      <c r="CE1823" s="525"/>
    </row>
    <row r="1824">
      <c r="A1824" s="219"/>
      <c r="B1824" s="889" t="s">
        <v>420</v>
      </c>
      <c r="C1824" s="890" t="s">
        <v>289</v>
      </c>
      <c r="D1824" s="890" t="s">
        <v>477</v>
      </c>
      <c r="E1824" s="891">
        <v>2019.0</v>
      </c>
      <c r="F1824" s="890" t="s">
        <v>291</v>
      </c>
      <c r="G1824" s="890" t="s">
        <v>89</v>
      </c>
      <c r="H1824" s="532">
        <v>1091591.58</v>
      </c>
      <c r="I1824" s="532">
        <v>1177308.684</v>
      </c>
      <c r="J1824" s="533">
        <v>1008841.359</v>
      </c>
      <c r="K1824" s="220"/>
      <c r="CE1824" s="525"/>
    </row>
    <row r="1825">
      <c r="A1825" s="219"/>
      <c r="B1825" s="886" t="s">
        <v>420</v>
      </c>
      <c r="C1825" s="887" t="s">
        <v>289</v>
      </c>
      <c r="D1825" s="887" t="s">
        <v>483</v>
      </c>
      <c r="E1825" s="888">
        <v>2019.0</v>
      </c>
      <c r="F1825" s="887" t="s">
        <v>291</v>
      </c>
      <c r="G1825" s="887" t="s">
        <v>89</v>
      </c>
      <c r="H1825" s="547">
        <v>698220.7033</v>
      </c>
      <c r="I1825" s="547">
        <v>753048.404</v>
      </c>
      <c r="J1825" s="548">
        <v>645290.7261</v>
      </c>
      <c r="K1825" s="220"/>
      <c r="CE1825" s="525"/>
    </row>
    <row r="1826">
      <c r="A1826" s="219"/>
      <c r="B1826" s="889" t="s">
        <v>420</v>
      </c>
      <c r="C1826" s="890" t="s">
        <v>289</v>
      </c>
      <c r="D1826" s="890" t="s">
        <v>489</v>
      </c>
      <c r="E1826" s="891">
        <v>2019.0</v>
      </c>
      <c r="F1826" s="890" t="s">
        <v>291</v>
      </c>
      <c r="G1826" s="890" t="s">
        <v>89</v>
      </c>
      <c r="H1826" s="532">
        <v>393335.1686</v>
      </c>
      <c r="I1826" s="532">
        <v>423927.1751</v>
      </c>
      <c r="J1826" s="533">
        <v>363547.428</v>
      </c>
      <c r="K1826" s="220"/>
      <c r="CE1826" s="525"/>
    </row>
    <row r="1827">
      <c r="A1827" s="219"/>
      <c r="B1827" s="886" t="s">
        <v>420</v>
      </c>
      <c r="C1827" s="887" t="s">
        <v>289</v>
      </c>
      <c r="D1827" s="887" t="s">
        <v>493</v>
      </c>
      <c r="E1827" s="888">
        <v>2019.0</v>
      </c>
      <c r="F1827" s="887" t="s">
        <v>291</v>
      </c>
      <c r="G1827" s="887" t="s">
        <v>89</v>
      </c>
      <c r="H1827" s="547">
        <v>285159.0269</v>
      </c>
      <c r="I1827" s="547">
        <v>307551.1068</v>
      </c>
      <c r="J1827" s="548">
        <v>263541.9927</v>
      </c>
      <c r="K1827" s="220"/>
      <c r="CE1827" s="525"/>
    </row>
    <row r="1828">
      <c r="A1828" s="219"/>
      <c r="B1828" s="889" t="s">
        <v>420</v>
      </c>
      <c r="C1828" s="890" t="s">
        <v>289</v>
      </c>
      <c r="D1828" s="890" t="s">
        <v>496</v>
      </c>
      <c r="E1828" s="891">
        <v>2019.0</v>
      </c>
      <c r="F1828" s="890" t="s">
        <v>291</v>
      </c>
      <c r="G1828" s="890" t="s">
        <v>89</v>
      </c>
      <c r="H1828" s="532">
        <v>87844.77165</v>
      </c>
      <c r="I1828" s="532">
        <v>94742.77228</v>
      </c>
      <c r="J1828" s="533">
        <v>81185.52804</v>
      </c>
      <c r="K1828" s="220"/>
      <c r="CE1828" s="525"/>
    </row>
    <row r="1829">
      <c r="A1829" s="219"/>
      <c r="B1829" s="886" t="s">
        <v>420</v>
      </c>
      <c r="C1829" s="887" t="s">
        <v>289</v>
      </c>
      <c r="D1829" s="887" t="s">
        <v>502</v>
      </c>
      <c r="E1829" s="888">
        <v>2019.0</v>
      </c>
      <c r="F1829" s="887" t="s">
        <v>291</v>
      </c>
      <c r="G1829" s="887" t="s">
        <v>89</v>
      </c>
      <c r="H1829" s="547">
        <v>20367.07825</v>
      </c>
      <c r="I1829" s="547">
        <v>21966.40074</v>
      </c>
      <c r="J1829" s="548">
        <v>18823.11231</v>
      </c>
      <c r="K1829" s="220"/>
      <c r="CE1829" s="525"/>
    </row>
    <row r="1830">
      <c r="A1830" s="219"/>
      <c r="B1830" s="889" t="s">
        <v>420</v>
      </c>
      <c r="C1830" s="890" t="s">
        <v>289</v>
      </c>
      <c r="D1830" s="890" t="s">
        <v>332</v>
      </c>
      <c r="E1830" s="891">
        <v>2019.0</v>
      </c>
      <c r="F1830" s="890" t="s">
        <v>291</v>
      </c>
      <c r="G1830" s="890" t="s">
        <v>89</v>
      </c>
      <c r="H1830" s="532">
        <v>2.240628468E8</v>
      </c>
      <c r="I1830" s="532">
        <v>2.416573561E8</v>
      </c>
      <c r="J1830" s="533">
        <v>2.070773273E8</v>
      </c>
      <c r="K1830" s="220"/>
      <c r="CE1830" s="525"/>
    </row>
    <row r="1831">
      <c r="A1831" s="219"/>
      <c r="B1831" s="886" t="s">
        <v>420</v>
      </c>
      <c r="C1831" s="887" t="s">
        <v>289</v>
      </c>
      <c r="D1831" s="887" t="s">
        <v>510</v>
      </c>
      <c r="E1831" s="888">
        <v>2019.0</v>
      </c>
      <c r="F1831" s="887" t="s">
        <v>291</v>
      </c>
      <c r="G1831" s="887" t="s">
        <v>89</v>
      </c>
      <c r="H1831" s="547">
        <v>6686022.748</v>
      </c>
      <c r="I1831" s="547">
        <v>7548104.407</v>
      </c>
      <c r="J1831" s="548">
        <v>5941982.169</v>
      </c>
      <c r="K1831" s="220"/>
      <c r="CE1831" s="525"/>
    </row>
    <row r="1832">
      <c r="A1832" s="219"/>
      <c r="B1832" s="889" t="s">
        <v>420</v>
      </c>
      <c r="C1832" s="890" t="s">
        <v>289</v>
      </c>
      <c r="D1832" s="890" t="s">
        <v>512</v>
      </c>
      <c r="E1832" s="891">
        <v>2019.0</v>
      </c>
      <c r="F1832" s="890" t="s">
        <v>291</v>
      </c>
      <c r="G1832" s="890" t="s">
        <v>89</v>
      </c>
      <c r="H1832" s="532">
        <v>126569.498</v>
      </c>
      <c r="I1832" s="532">
        <v>136508.3534</v>
      </c>
      <c r="J1832" s="533">
        <v>116974.6513</v>
      </c>
      <c r="K1832" s="220"/>
      <c r="CE1832" s="525"/>
    </row>
    <row r="1833">
      <c r="A1833" s="219"/>
      <c r="B1833" s="886" t="s">
        <v>420</v>
      </c>
      <c r="C1833" s="887" t="s">
        <v>289</v>
      </c>
      <c r="D1833" s="887" t="s">
        <v>515</v>
      </c>
      <c r="E1833" s="888">
        <v>2019.0</v>
      </c>
      <c r="F1833" s="887" t="s">
        <v>291</v>
      </c>
      <c r="G1833" s="887" t="s">
        <v>89</v>
      </c>
      <c r="H1833" s="547">
        <v>371390.1557</v>
      </c>
      <c r="I1833" s="547">
        <v>400553.5251</v>
      </c>
      <c r="J1833" s="548">
        <v>343236.2033</v>
      </c>
      <c r="K1833" s="220"/>
      <c r="CE1833" s="525"/>
    </row>
    <row r="1834">
      <c r="A1834" s="219"/>
      <c r="B1834" s="889" t="s">
        <v>420</v>
      </c>
      <c r="C1834" s="890" t="s">
        <v>289</v>
      </c>
      <c r="D1834" s="890" t="s">
        <v>518</v>
      </c>
      <c r="E1834" s="891">
        <v>2019.0</v>
      </c>
      <c r="F1834" s="890" t="s">
        <v>291</v>
      </c>
      <c r="G1834" s="890" t="s">
        <v>89</v>
      </c>
      <c r="H1834" s="532">
        <v>497959.6537</v>
      </c>
      <c r="I1834" s="532">
        <v>537061.8785</v>
      </c>
      <c r="J1834" s="533">
        <v>460210.8546</v>
      </c>
      <c r="K1834" s="220"/>
      <c r="CE1834" s="525"/>
    </row>
    <row r="1835">
      <c r="A1835" s="219"/>
      <c r="B1835" s="886" t="s">
        <v>420</v>
      </c>
      <c r="C1835" s="887" t="s">
        <v>289</v>
      </c>
      <c r="D1835" s="887" t="s">
        <v>522</v>
      </c>
      <c r="E1835" s="888">
        <v>2019.0</v>
      </c>
      <c r="F1835" s="887" t="s">
        <v>291</v>
      </c>
      <c r="G1835" s="887" t="s">
        <v>89</v>
      </c>
      <c r="H1835" s="547">
        <v>5836755.124</v>
      </c>
      <c r="I1835" s="547">
        <v>6295085.651</v>
      </c>
      <c r="J1835" s="548">
        <v>5394288.56</v>
      </c>
      <c r="K1835" s="220"/>
      <c r="CE1835" s="525"/>
    </row>
    <row r="1836">
      <c r="A1836" s="219"/>
      <c r="B1836" s="889" t="s">
        <v>420</v>
      </c>
      <c r="C1836" s="890" t="s">
        <v>289</v>
      </c>
      <c r="D1836" s="890" t="s">
        <v>302</v>
      </c>
      <c r="E1836" s="891">
        <v>2019.0</v>
      </c>
      <c r="F1836" s="890" t="s">
        <v>291</v>
      </c>
      <c r="G1836" s="890" t="s">
        <v>89</v>
      </c>
      <c r="H1836" s="532">
        <v>3.052648303E7</v>
      </c>
      <c r="I1836" s="532">
        <v>3.292357161E7</v>
      </c>
      <c r="J1836" s="533">
        <v>2.821236366E7</v>
      </c>
      <c r="K1836" s="220"/>
      <c r="CE1836" s="525"/>
    </row>
    <row r="1837">
      <c r="A1837" s="219"/>
      <c r="B1837" s="886" t="s">
        <v>458</v>
      </c>
      <c r="C1837" s="887" t="s">
        <v>289</v>
      </c>
      <c r="D1837" s="887" t="s">
        <v>290</v>
      </c>
      <c r="E1837" s="888">
        <v>2019.0</v>
      </c>
      <c r="F1837" s="887" t="s">
        <v>291</v>
      </c>
      <c r="G1837" s="887" t="s">
        <v>89</v>
      </c>
      <c r="H1837" s="547">
        <v>339198.6328</v>
      </c>
      <c r="I1837" s="547">
        <v>376307.3104</v>
      </c>
      <c r="J1837" s="548">
        <v>303272.4702</v>
      </c>
      <c r="K1837" s="220"/>
      <c r="CE1837" s="525"/>
    </row>
    <row r="1838">
      <c r="A1838" s="219"/>
      <c r="B1838" s="889" t="s">
        <v>458</v>
      </c>
      <c r="C1838" s="890" t="s">
        <v>289</v>
      </c>
      <c r="D1838" s="890" t="s">
        <v>310</v>
      </c>
      <c r="E1838" s="891">
        <v>2019.0</v>
      </c>
      <c r="F1838" s="890" t="s">
        <v>291</v>
      </c>
      <c r="G1838" s="890" t="s">
        <v>89</v>
      </c>
      <c r="H1838" s="532">
        <v>6250246.719</v>
      </c>
      <c r="I1838" s="532">
        <v>6934030.108</v>
      </c>
      <c r="J1838" s="533">
        <v>5588252.954</v>
      </c>
      <c r="K1838" s="220"/>
      <c r="CE1838" s="525"/>
    </row>
    <row r="1839">
      <c r="A1839" s="219"/>
      <c r="B1839" s="886" t="s">
        <v>458</v>
      </c>
      <c r="C1839" s="887" t="s">
        <v>289</v>
      </c>
      <c r="D1839" s="887" t="s">
        <v>318</v>
      </c>
      <c r="E1839" s="888">
        <v>2019.0</v>
      </c>
      <c r="F1839" s="887" t="s">
        <v>291</v>
      </c>
      <c r="G1839" s="887" t="s">
        <v>89</v>
      </c>
      <c r="H1839" s="547">
        <v>4843632.288</v>
      </c>
      <c r="I1839" s="547">
        <v>5373530.619</v>
      </c>
      <c r="J1839" s="548">
        <v>4330619.84</v>
      </c>
      <c r="K1839" s="220"/>
      <c r="CE1839" s="525"/>
    </row>
    <row r="1840">
      <c r="A1840" s="219"/>
      <c r="B1840" s="889" t="s">
        <v>458</v>
      </c>
      <c r="C1840" s="890" t="s">
        <v>289</v>
      </c>
      <c r="D1840" s="890" t="s">
        <v>309</v>
      </c>
      <c r="E1840" s="891">
        <v>2019.0</v>
      </c>
      <c r="F1840" s="890" t="s">
        <v>291</v>
      </c>
      <c r="G1840" s="890" t="s">
        <v>89</v>
      </c>
      <c r="H1840" s="532">
        <v>1311197.918</v>
      </c>
      <c r="I1840" s="532">
        <v>1454644.312</v>
      </c>
      <c r="J1840" s="533">
        <v>1172322.624</v>
      </c>
      <c r="K1840" s="220"/>
      <c r="CE1840" s="525"/>
    </row>
    <row r="1841">
      <c r="A1841" s="219"/>
      <c r="B1841" s="886" t="s">
        <v>458</v>
      </c>
      <c r="C1841" s="887" t="s">
        <v>289</v>
      </c>
      <c r="D1841" s="887" t="s">
        <v>334</v>
      </c>
      <c r="E1841" s="888">
        <v>2019.0</v>
      </c>
      <c r="F1841" s="887" t="s">
        <v>291</v>
      </c>
      <c r="G1841" s="887" t="s">
        <v>89</v>
      </c>
      <c r="H1841" s="547">
        <v>1569068.241</v>
      </c>
      <c r="I1841" s="547">
        <v>1740725.913</v>
      </c>
      <c r="J1841" s="548">
        <v>1402880.659</v>
      </c>
      <c r="K1841" s="220"/>
      <c r="CE1841" s="525"/>
    </row>
    <row r="1842">
      <c r="A1842" s="219"/>
      <c r="B1842" s="889" t="s">
        <v>458</v>
      </c>
      <c r="C1842" s="890" t="s">
        <v>289</v>
      </c>
      <c r="D1842" s="890" t="s">
        <v>339</v>
      </c>
      <c r="E1842" s="891">
        <v>2019.0</v>
      </c>
      <c r="F1842" s="890" t="s">
        <v>291</v>
      </c>
      <c r="G1842" s="890" t="s">
        <v>89</v>
      </c>
      <c r="H1842" s="532">
        <v>2975682.672</v>
      </c>
      <c r="I1842" s="532">
        <v>3301225.402</v>
      </c>
      <c r="J1842" s="533">
        <v>2660513.773</v>
      </c>
      <c r="K1842" s="220"/>
      <c r="CE1842" s="525"/>
    </row>
    <row r="1843">
      <c r="A1843" s="219"/>
      <c r="B1843" s="886" t="s">
        <v>458</v>
      </c>
      <c r="C1843" s="887" t="s">
        <v>289</v>
      </c>
      <c r="D1843" s="887" t="s">
        <v>344</v>
      </c>
      <c r="E1843" s="888">
        <v>2019.0</v>
      </c>
      <c r="F1843" s="887" t="s">
        <v>291</v>
      </c>
      <c r="G1843" s="887" t="s">
        <v>89</v>
      </c>
      <c r="H1843" s="547">
        <v>4193883.101</v>
      </c>
      <c r="I1843" s="547">
        <v>4652698.206</v>
      </c>
      <c r="J1843" s="548">
        <v>3749688.722</v>
      </c>
      <c r="K1843" s="220"/>
      <c r="CE1843" s="525"/>
    </row>
    <row r="1844">
      <c r="A1844" s="219"/>
      <c r="B1844" s="889" t="s">
        <v>458</v>
      </c>
      <c r="C1844" s="890" t="s">
        <v>289</v>
      </c>
      <c r="D1844" s="890" t="s">
        <v>349</v>
      </c>
      <c r="E1844" s="891">
        <v>2019.0</v>
      </c>
      <c r="F1844" s="890" t="s">
        <v>291</v>
      </c>
      <c r="G1844" s="890" t="s">
        <v>89</v>
      </c>
      <c r="H1844" s="532">
        <v>1406614.43</v>
      </c>
      <c r="I1844" s="532">
        <v>1560499.489</v>
      </c>
      <c r="J1844" s="533">
        <v>1257633.114</v>
      </c>
      <c r="K1844" s="220"/>
      <c r="CE1844" s="525"/>
    </row>
    <row r="1845">
      <c r="A1845" s="219"/>
      <c r="B1845" s="886" t="s">
        <v>458</v>
      </c>
      <c r="C1845" s="887" t="s">
        <v>289</v>
      </c>
      <c r="D1845" s="887" t="s">
        <v>355</v>
      </c>
      <c r="E1845" s="888">
        <v>2019.0</v>
      </c>
      <c r="F1845" s="887" t="s">
        <v>291</v>
      </c>
      <c r="G1845" s="887" t="s">
        <v>89</v>
      </c>
      <c r="H1845" s="547">
        <v>5414016.574</v>
      </c>
      <c r="I1845" s="547">
        <v>6006611.296</v>
      </c>
      <c r="J1845" s="548">
        <v>4840189.923</v>
      </c>
      <c r="K1845" s="220"/>
      <c r="CE1845" s="525"/>
    </row>
    <row r="1846">
      <c r="A1846" s="219"/>
      <c r="B1846" s="889" t="s">
        <v>458</v>
      </c>
      <c r="C1846" s="890" t="s">
        <v>289</v>
      </c>
      <c r="D1846" s="890" t="s">
        <v>358</v>
      </c>
      <c r="E1846" s="891">
        <v>2019.0</v>
      </c>
      <c r="F1846" s="890" t="s">
        <v>291</v>
      </c>
      <c r="G1846" s="890" t="s">
        <v>89</v>
      </c>
      <c r="H1846" s="532">
        <v>6468530.126</v>
      </c>
      <c r="I1846" s="532">
        <v>7176193.943</v>
      </c>
      <c r="J1846" s="533">
        <v>5783416.913</v>
      </c>
      <c r="K1846" s="220"/>
      <c r="CE1846" s="525"/>
    </row>
    <row r="1847">
      <c r="A1847" s="219"/>
      <c r="B1847" s="886" t="s">
        <v>458</v>
      </c>
      <c r="C1847" s="887" t="s">
        <v>289</v>
      </c>
      <c r="D1847" s="887" t="s">
        <v>362</v>
      </c>
      <c r="E1847" s="888">
        <v>2019.0</v>
      </c>
      <c r="F1847" s="887" t="s">
        <v>291</v>
      </c>
      <c r="G1847" s="887" t="s">
        <v>89</v>
      </c>
      <c r="H1847" s="547">
        <v>6437562.822</v>
      </c>
      <c r="I1847" s="547">
        <v>7142190.468</v>
      </c>
      <c r="J1847" s="548">
        <v>5755251.444</v>
      </c>
      <c r="K1847" s="220"/>
      <c r="CE1847" s="525"/>
    </row>
    <row r="1848">
      <c r="A1848" s="219"/>
      <c r="B1848" s="889" t="s">
        <v>458</v>
      </c>
      <c r="C1848" s="890" t="s">
        <v>289</v>
      </c>
      <c r="D1848" s="890" t="s">
        <v>366</v>
      </c>
      <c r="E1848" s="891">
        <v>2019.0</v>
      </c>
      <c r="F1848" s="890" t="s">
        <v>291</v>
      </c>
      <c r="G1848" s="890" t="s">
        <v>89</v>
      </c>
      <c r="H1848" s="532">
        <v>1218200.43</v>
      </c>
      <c r="I1848" s="532">
        <v>1351472.804</v>
      </c>
      <c r="J1848" s="533">
        <v>1089174.949</v>
      </c>
      <c r="K1848" s="220"/>
      <c r="CE1848" s="525"/>
    </row>
    <row r="1849">
      <c r="A1849" s="219"/>
      <c r="B1849" s="886" t="s">
        <v>458</v>
      </c>
      <c r="C1849" s="887" t="s">
        <v>289</v>
      </c>
      <c r="D1849" s="887" t="s">
        <v>368</v>
      </c>
      <c r="E1849" s="888">
        <v>2019.0</v>
      </c>
      <c r="F1849" s="887" t="s">
        <v>291</v>
      </c>
      <c r="G1849" s="887" t="s">
        <v>89</v>
      </c>
      <c r="H1849" s="547">
        <v>5219670.157</v>
      </c>
      <c r="I1849" s="547">
        <v>5790707.415</v>
      </c>
      <c r="J1849" s="548">
        <v>4666829.724</v>
      </c>
      <c r="K1849" s="220"/>
      <c r="CE1849" s="525"/>
    </row>
    <row r="1850">
      <c r="A1850" s="219"/>
      <c r="B1850" s="889" t="s">
        <v>458</v>
      </c>
      <c r="C1850" s="890" t="s">
        <v>289</v>
      </c>
      <c r="D1850" s="890" t="s">
        <v>373</v>
      </c>
      <c r="E1850" s="891">
        <v>2019.0</v>
      </c>
      <c r="F1850" s="890" t="s">
        <v>291</v>
      </c>
      <c r="G1850" s="890" t="s">
        <v>89</v>
      </c>
      <c r="H1850" s="532">
        <v>992021.3591</v>
      </c>
      <c r="I1850" s="532">
        <v>1100549.511</v>
      </c>
      <c r="J1850" s="533">
        <v>886951.5941</v>
      </c>
      <c r="K1850" s="220"/>
      <c r="CE1850" s="525"/>
    </row>
    <row r="1851">
      <c r="A1851" s="219"/>
      <c r="B1851" s="886" t="s">
        <v>458</v>
      </c>
      <c r="C1851" s="887" t="s">
        <v>289</v>
      </c>
      <c r="D1851" s="887" t="s">
        <v>379</v>
      </c>
      <c r="E1851" s="888">
        <v>2019.0</v>
      </c>
      <c r="F1851" s="887" t="s">
        <v>291</v>
      </c>
      <c r="G1851" s="887" t="s">
        <v>89</v>
      </c>
      <c r="H1851" s="547">
        <v>3843531.516</v>
      </c>
      <c r="I1851" s="547">
        <v>4264227.77</v>
      </c>
      <c r="J1851" s="548">
        <v>3436159.136</v>
      </c>
      <c r="K1851" s="220"/>
      <c r="CE1851" s="525"/>
    </row>
    <row r="1852">
      <c r="A1852" s="219"/>
      <c r="B1852" s="889" t="s">
        <v>458</v>
      </c>
      <c r="C1852" s="890" t="s">
        <v>289</v>
      </c>
      <c r="D1852" s="890" t="s">
        <v>382</v>
      </c>
      <c r="E1852" s="891">
        <v>2019.0</v>
      </c>
      <c r="F1852" s="890" t="s">
        <v>291</v>
      </c>
      <c r="G1852" s="890" t="s">
        <v>89</v>
      </c>
      <c r="H1852" s="532">
        <v>980263.2062</v>
      </c>
      <c r="I1852" s="532">
        <v>1087505.004</v>
      </c>
      <c r="J1852" s="533">
        <v>876438.8038</v>
      </c>
      <c r="K1852" s="220"/>
      <c r="CE1852" s="525"/>
    </row>
    <row r="1853">
      <c r="A1853" s="219"/>
      <c r="B1853" s="886" t="s">
        <v>458</v>
      </c>
      <c r="C1853" s="887" t="s">
        <v>289</v>
      </c>
      <c r="D1853" s="887" t="s">
        <v>387</v>
      </c>
      <c r="E1853" s="888">
        <v>2019.0</v>
      </c>
      <c r="F1853" s="887" t="s">
        <v>291</v>
      </c>
      <c r="G1853" s="887" t="s">
        <v>89</v>
      </c>
      <c r="H1853" s="547">
        <v>817175.9791</v>
      </c>
      <c r="I1853" s="547">
        <v>906575.8677</v>
      </c>
      <c r="J1853" s="548">
        <v>730624.9312</v>
      </c>
      <c r="K1853" s="220"/>
      <c r="CE1853" s="525"/>
    </row>
    <row r="1854">
      <c r="A1854" s="219"/>
      <c r="B1854" s="889" t="s">
        <v>458</v>
      </c>
      <c r="C1854" s="890" t="s">
        <v>289</v>
      </c>
      <c r="D1854" s="890" t="s">
        <v>392</v>
      </c>
      <c r="E1854" s="891">
        <v>2019.0</v>
      </c>
      <c r="F1854" s="890" t="s">
        <v>291</v>
      </c>
      <c r="G1854" s="890" t="s">
        <v>89</v>
      </c>
      <c r="H1854" s="532">
        <v>606338.3238</v>
      </c>
      <c r="I1854" s="532">
        <v>672672.3571</v>
      </c>
      <c r="J1854" s="533">
        <v>542118.1086</v>
      </c>
      <c r="K1854" s="220"/>
      <c r="CE1854" s="525"/>
    </row>
    <row r="1855">
      <c r="A1855" s="219"/>
      <c r="B1855" s="886" t="s">
        <v>458</v>
      </c>
      <c r="C1855" s="887" t="s">
        <v>289</v>
      </c>
      <c r="D1855" s="887" t="s">
        <v>398</v>
      </c>
      <c r="E1855" s="888">
        <v>2019.0</v>
      </c>
      <c r="F1855" s="887" t="s">
        <v>291</v>
      </c>
      <c r="G1855" s="887" t="s">
        <v>89</v>
      </c>
      <c r="H1855" s="547">
        <v>447916.3973</v>
      </c>
      <c r="I1855" s="547">
        <v>496918.9097</v>
      </c>
      <c r="J1855" s="548">
        <v>400475.4121</v>
      </c>
      <c r="K1855" s="220"/>
      <c r="CE1855" s="525"/>
    </row>
    <row r="1856">
      <c r="A1856" s="219"/>
      <c r="B1856" s="889" t="s">
        <v>458</v>
      </c>
      <c r="C1856" s="890" t="s">
        <v>289</v>
      </c>
      <c r="D1856" s="890" t="s">
        <v>402</v>
      </c>
      <c r="E1856" s="891">
        <v>2019.0</v>
      </c>
      <c r="F1856" s="890" t="s">
        <v>291</v>
      </c>
      <c r="G1856" s="890" t="s">
        <v>89</v>
      </c>
      <c r="H1856" s="532">
        <v>4599630.271</v>
      </c>
      <c r="I1856" s="532">
        <v>5103085.808</v>
      </c>
      <c r="J1856" s="533">
        <v>4112119.678</v>
      </c>
      <c r="K1856" s="220"/>
      <c r="CE1856" s="525"/>
    </row>
    <row r="1857">
      <c r="A1857" s="219"/>
      <c r="B1857" s="886" t="s">
        <v>458</v>
      </c>
      <c r="C1857" s="887" t="s">
        <v>289</v>
      </c>
      <c r="D1857" s="887" t="s">
        <v>407</v>
      </c>
      <c r="E1857" s="888">
        <v>2019.0</v>
      </c>
      <c r="F1857" s="887" t="s">
        <v>291</v>
      </c>
      <c r="G1857" s="887" t="s">
        <v>89</v>
      </c>
      <c r="H1857" s="547">
        <v>1624167.496</v>
      </c>
      <c r="I1857" s="547">
        <v>1801853.083</v>
      </c>
      <c r="J1857" s="548">
        <v>1452144.086</v>
      </c>
      <c r="K1857" s="220"/>
      <c r="CE1857" s="525"/>
    </row>
    <row r="1858">
      <c r="A1858" s="219"/>
      <c r="B1858" s="889" t="s">
        <v>458</v>
      </c>
      <c r="C1858" s="890" t="s">
        <v>289</v>
      </c>
      <c r="D1858" s="890" t="s">
        <v>414</v>
      </c>
      <c r="E1858" s="891">
        <v>2019.0</v>
      </c>
      <c r="F1858" s="890" t="s">
        <v>291</v>
      </c>
      <c r="G1858" s="890" t="s">
        <v>89</v>
      </c>
      <c r="H1858" s="532">
        <v>371826.0604</v>
      </c>
      <c r="I1858" s="532">
        <v>412504.212</v>
      </c>
      <c r="J1858" s="533">
        <v>332444.1696</v>
      </c>
      <c r="K1858" s="220"/>
      <c r="CE1858" s="525"/>
    </row>
    <row r="1859">
      <c r="A1859" s="219"/>
      <c r="B1859" s="886" t="s">
        <v>458</v>
      </c>
      <c r="C1859" s="887" t="s">
        <v>289</v>
      </c>
      <c r="D1859" s="887" t="s">
        <v>417</v>
      </c>
      <c r="E1859" s="888">
        <v>2019.0</v>
      </c>
      <c r="F1859" s="887" t="s">
        <v>291</v>
      </c>
      <c r="G1859" s="887" t="s">
        <v>89</v>
      </c>
      <c r="H1859" s="547">
        <v>1142158.105</v>
      </c>
      <c r="I1859" s="547">
        <v>1267111.371</v>
      </c>
      <c r="J1859" s="548">
        <v>1021186.633</v>
      </c>
      <c r="K1859" s="220"/>
      <c r="CE1859" s="525"/>
    </row>
    <row r="1860">
      <c r="A1860" s="219"/>
      <c r="B1860" s="889" t="s">
        <v>458</v>
      </c>
      <c r="C1860" s="890" t="s">
        <v>289</v>
      </c>
      <c r="D1860" s="890" t="s">
        <v>300</v>
      </c>
      <c r="E1860" s="891">
        <v>2019.0</v>
      </c>
      <c r="F1860" s="890" t="s">
        <v>291</v>
      </c>
      <c r="G1860" s="890" t="s">
        <v>89</v>
      </c>
      <c r="H1860" s="532">
        <v>3193235.738</v>
      </c>
      <c r="I1860" s="532">
        <v>3542578.996</v>
      </c>
      <c r="J1860" s="533">
        <v>2855024.745</v>
      </c>
      <c r="K1860" s="220"/>
      <c r="CE1860" s="525"/>
    </row>
    <row r="1861">
      <c r="A1861" s="219"/>
      <c r="B1861" s="886" t="s">
        <v>458</v>
      </c>
      <c r="C1861" s="887" t="s">
        <v>289</v>
      </c>
      <c r="D1861" s="887" t="s">
        <v>429</v>
      </c>
      <c r="E1861" s="888">
        <v>2019.0</v>
      </c>
      <c r="F1861" s="887" t="s">
        <v>291</v>
      </c>
      <c r="G1861" s="887" t="s">
        <v>89</v>
      </c>
      <c r="H1861" s="547">
        <v>1004080.828</v>
      </c>
      <c r="I1861" s="547">
        <v>1113983.151</v>
      </c>
      <c r="J1861" s="548">
        <v>897659.2222</v>
      </c>
      <c r="K1861" s="220"/>
      <c r="CE1861" s="525"/>
    </row>
    <row r="1862">
      <c r="A1862" s="219"/>
      <c r="B1862" s="889" t="s">
        <v>458</v>
      </c>
      <c r="C1862" s="890" t="s">
        <v>289</v>
      </c>
      <c r="D1862" s="890" t="s">
        <v>432</v>
      </c>
      <c r="E1862" s="891">
        <v>2019.0</v>
      </c>
      <c r="F1862" s="890" t="s">
        <v>291</v>
      </c>
      <c r="G1862" s="890" t="s">
        <v>89</v>
      </c>
      <c r="H1862" s="532">
        <v>321644.931</v>
      </c>
      <c r="I1862" s="532">
        <v>356833.2157</v>
      </c>
      <c r="J1862" s="533">
        <v>287577.9656</v>
      </c>
      <c r="K1862" s="220"/>
      <c r="CE1862" s="525"/>
    </row>
    <row r="1863">
      <c r="A1863" s="219"/>
      <c r="B1863" s="886" t="s">
        <v>458</v>
      </c>
      <c r="C1863" s="887" t="s">
        <v>289</v>
      </c>
      <c r="D1863" s="887" t="s">
        <v>435</v>
      </c>
      <c r="E1863" s="888">
        <v>2019.0</v>
      </c>
      <c r="F1863" s="887" t="s">
        <v>291</v>
      </c>
      <c r="G1863" s="887" t="s">
        <v>89</v>
      </c>
      <c r="H1863" s="547">
        <v>260584.9642</v>
      </c>
      <c r="I1863" s="547">
        <v>289093.226</v>
      </c>
      <c r="J1863" s="548">
        <v>232985.1543</v>
      </c>
      <c r="K1863" s="220"/>
      <c r="CE1863" s="525"/>
    </row>
    <row r="1864">
      <c r="A1864" s="219"/>
      <c r="B1864" s="889" t="s">
        <v>458</v>
      </c>
      <c r="C1864" s="890" t="s">
        <v>289</v>
      </c>
      <c r="D1864" s="890" t="s">
        <v>442</v>
      </c>
      <c r="E1864" s="891">
        <v>2019.0</v>
      </c>
      <c r="F1864" s="890" t="s">
        <v>291</v>
      </c>
      <c r="G1864" s="890" t="s">
        <v>89</v>
      </c>
      <c r="H1864" s="532">
        <v>188102.1494</v>
      </c>
      <c r="I1864" s="532">
        <v>208680.7171</v>
      </c>
      <c r="J1864" s="533">
        <v>168179.3438</v>
      </c>
      <c r="K1864" s="220"/>
      <c r="CE1864" s="525"/>
    </row>
    <row r="1865">
      <c r="A1865" s="219"/>
      <c r="B1865" s="886" t="s">
        <v>458</v>
      </c>
      <c r="C1865" s="887" t="s">
        <v>289</v>
      </c>
      <c r="D1865" s="887" t="s">
        <v>445</v>
      </c>
      <c r="E1865" s="888">
        <v>2019.0</v>
      </c>
      <c r="F1865" s="887" t="s">
        <v>291</v>
      </c>
      <c r="G1865" s="887" t="s">
        <v>89</v>
      </c>
      <c r="H1865" s="547">
        <v>295797.3808</v>
      </c>
      <c r="I1865" s="547">
        <v>328174.0764</v>
      </c>
      <c r="J1865" s="548">
        <v>264446.0877</v>
      </c>
      <c r="K1865" s="220"/>
      <c r="CE1865" s="525"/>
    </row>
    <row r="1866">
      <c r="A1866" s="219"/>
      <c r="B1866" s="889" t="s">
        <v>458</v>
      </c>
      <c r="C1866" s="890" t="s">
        <v>289</v>
      </c>
      <c r="D1866" s="890" t="s">
        <v>450</v>
      </c>
      <c r="E1866" s="891">
        <v>2019.0</v>
      </c>
      <c r="F1866" s="890" t="s">
        <v>291</v>
      </c>
      <c r="G1866" s="890" t="s">
        <v>89</v>
      </c>
      <c r="H1866" s="532">
        <v>107709.3728</v>
      </c>
      <c r="I1866" s="532">
        <v>119492.8884</v>
      </c>
      <c r="J1866" s="533">
        <v>96301.35378</v>
      </c>
      <c r="K1866" s="220"/>
      <c r="CE1866" s="525"/>
    </row>
    <row r="1867">
      <c r="A1867" s="219"/>
      <c r="B1867" s="886" t="s">
        <v>458</v>
      </c>
      <c r="C1867" s="887" t="s">
        <v>289</v>
      </c>
      <c r="D1867" s="887" t="s">
        <v>457</v>
      </c>
      <c r="E1867" s="888">
        <v>2019.0</v>
      </c>
      <c r="F1867" s="887" t="s">
        <v>291</v>
      </c>
      <c r="G1867" s="887" t="s">
        <v>89</v>
      </c>
      <c r="H1867" s="547">
        <v>233796.7863</v>
      </c>
      <c r="I1867" s="547">
        <v>259374.3941</v>
      </c>
      <c r="J1867" s="548">
        <v>209034.2415</v>
      </c>
      <c r="K1867" s="220"/>
      <c r="CE1867" s="525"/>
    </row>
    <row r="1868">
      <c r="A1868" s="219"/>
      <c r="B1868" s="889" t="s">
        <v>458</v>
      </c>
      <c r="C1868" s="890" t="s">
        <v>289</v>
      </c>
      <c r="D1868" s="890" t="s">
        <v>463</v>
      </c>
      <c r="E1868" s="891">
        <v>2019.0</v>
      </c>
      <c r="F1868" s="890" t="s">
        <v>291</v>
      </c>
      <c r="G1868" s="890" t="s">
        <v>89</v>
      </c>
      <c r="H1868" s="532">
        <v>126081.3859</v>
      </c>
      <c r="I1868" s="532">
        <v>139881.7064</v>
      </c>
      <c r="J1868" s="533">
        <v>112718.1355</v>
      </c>
      <c r="K1868" s="220"/>
      <c r="CE1868" s="525"/>
    </row>
    <row r="1869">
      <c r="A1869" s="219"/>
      <c r="B1869" s="886" t="s">
        <v>458</v>
      </c>
      <c r="C1869" s="887" t="s">
        <v>289</v>
      </c>
      <c r="D1869" s="887" t="s">
        <v>467</v>
      </c>
      <c r="E1869" s="888">
        <v>2019.0</v>
      </c>
      <c r="F1869" s="887" t="s">
        <v>291</v>
      </c>
      <c r="G1869" s="887" t="s">
        <v>89</v>
      </c>
      <c r="H1869" s="547">
        <v>66328.56162</v>
      </c>
      <c r="I1869" s="547">
        <v>73584.97416</v>
      </c>
      <c r="J1869" s="548">
        <v>59303.38387</v>
      </c>
      <c r="K1869" s="220"/>
      <c r="CE1869" s="525"/>
    </row>
    <row r="1870">
      <c r="A1870" s="219"/>
      <c r="B1870" s="889" t="s">
        <v>458</v>
      </c>
      <c r="C1870" s="890" t="s">
        <v>289</v>
      </c>
      <c r="D1870" s="890" t="s">
        <v>473</v>
      </c>
      <c r="E1870" s="891">
        <v>2019.0</v>
      </c>
      <c r="F1870" s="890" t="s">
        <v>291</v>
      </c>
      <c r="G1870" s="890" t="s">
        <v>89</v>
      </c>
      <c r="H1870" s="532">
        <v>104249.1606</v>
      </c>
      <c r="I1870" s="532">
        <v>115659.8206</v>
      </c>
      <c r="J1870" s="533">
        <v>93199.88771</v>
      </c>
      <c r="K1870" s="220"/>
      <c r="CE1870" s="525"/>
    </row>
    <row r="1871">
      <c r="A1871" s="219"/>
      <c r="B1871" s="886" t="s">
        <v>458</v>
      </c>
      <c r="C1871" s="887" t="s">
        <v>289</v>
      </c>
      <c r="D1871" s="887" t="s">
        <v>477</v>
      </c>
      <c r="E1871" s="888">
        <v>2019.0</v>
      </c>
      <c r="F1871" s="887" t="s">
        <v>291</v>
      </c>
      <c r="G1871" s="887" t="s">
        <v>89</v>
      </c>
      <c r="H1871" s="547">
        <v>59758.85194</v>
      </c>
      <c r="I1871" s="547">
        <v>66296.53151</v>
      </c>
      <c r="J1871" s="548">
        <v>53429.50381</v>
      </c>
      <c r="K1871" s="220"/>
      <c r="CE1871" s="525"/>
    </row>
    <row r="1872">
      <c r="A1872" s="219"/>
      <c r="B1872" s="889" t="s">
        <v>458</v>
      </c>
      <c r="C1872" s="890" t="s">
        <v>289</v>
      </c>
      <c r="D1872" s="890" t="s">
        <v>483</v>
      </c>
      <c r="E1872" s="891">
        <v>2019.0</v>
      </c>
      <c r="F1872" s="890" t="s">
        <v>291</v>
      </c>
      <c r="G1872" s="890" t="s">
        <v>89</v>
      </c>
      <c r="H1872" s="532">
        <v>37925.5829</v>
      </c>
      <c r="I1872" s="532">
        <v>42074.68049</v>
      </c>
      <c r="J1872" s="533">
        <v>33908.70156</v>
      </c>
      <c r="K1872" s="220"/>
      <c r="CE1872" s="525"/>
    </row>
    <row r="1873">
      <c r="A1873" s="219"/>
      <c r="B1873" s="886" t="s">
        <v>458</v>
      </c>
      <c r="C1873" s="887" t="s">
        <v>289</v>
      </c>
      <c r="D1873" s="887" t="s">
        <v>489</v>
      </c>
      <c r="E1873" s="888">
        <v>2019.0</v>
      </c>
      <c r="F1873" s="887" t="s">
        <v>291</v>
      </c>
      <c r="G1873" s="887" t="s">
        <v>89</v>
      </c>
      <c r="H1873" s="547">
        <v>21832.22529</v>
      </c>
      <c r="I1873" s="547">
        <v>24221.88578</v>
      </c>
      <c r="J1873" s="548">
        <v>19518.24776</v>
      </c>
      <c r="K1873" s="220"/>
      <c r="CE1873" s="525"/>
    </row>
    <row r="1874">
      <c r="A1874" s="219"/>
      <c r="B1874" s="889" t="s">
        <v>458</v>
      </c>
      <c r="C1874" s="890" t="s">
        <v>289</v>
      </c>
      <c r="D1874" s="890" t="s">
        <v>493</v>
      </c>
      <c r="E1874" s="891">
        <v>2019.0</v>
      </c>
      <c r="F1874" s="890" t="s">
        <v>291</v>
      </c>
      <c r="G1874" s="890" t="s">
        <v>89</v>
      </c>
      <c r="H1874" s="532">
        <v>15841.24573</v>
      </c>
      <c r="I1874" s="532">
        <v>17574.29423</v>
      </c>
      <c r="J1874" s="533">
        <v>14163.42302</v>
      </c>
      <c r="K1874" s="220"/>
      <c r="CE1874" s="525"/>
    </row>
    <row r="1875">
      <c r="A1875" s="219"/>
      <c r="B1875" s="886" t="s">
        <v>458</v>
      </c>
      <c r="C1875" s="887" t="s">
        <v>289</v>
      </c>
      <c r="D1875" s="887" t="s">
        <v>496</v>
      </c>
      <c r="E1875" s="888">
        <v>2019.0</v>
      </c>
      <c r="F1875" s="887" t="s">
        <v>291</v>
      </c>
      <c r="G1875" s="887" t="s">
        <v>89</v>
      </c>
      <c r="H1875" s="547">
        <v>4988.817636</v>
      </c>
      <c r="I1875" s="547">
        <v>5534.599393</v>
      </c>
      <c r="J1875" s="548">
        <v>4460.427907</v>
      </c>
      <c r="K1875" s="220"/>
      <c r="CE1875" s="525"/>
    </row>
    <row r="1876">
      <c r="A1876" s="219"/>
      <c r="B1876" s="889" t="s">
        <v>458</v>
      </c>
      <c r="C1876" s="890" t="s">
        <v>289</v>
      </c>
      <c r="D1876" s="890" t="s">
        <v>502</v>
      </c>
      <c r="E1876" s="891">
        <v>2019.0</v>
      </c>
      <c r="F1876" s="890" t="s">
        <v>291</v>
      </c>
      <c r="G1876" s="890" t="s">
        <v>89</v>
      </c>
      <c r="H1876" s="532">
        <v>1003.205665</v>
      </c>
      <c r="I1876" s="532">
        <v>1112.957392</v>
      </c>
      <c r="J1876" s="533">
        <v>896.9513164</v>
      </c>
      <c r="K1876" s="220"/>
      <c r="CE1876" s="525"/>
    </row>
    <row r="1877">
      <c r="A1877" s="219"/>
      <c r="B1877" s="886" t="s">
        <v>458</v>
      </c>
      <c r="C1877" s="887" t="s">
        <v>289</v>
      </c>
      <c r="D1877" s="887" t="s">
        <v>332</v>
      </c>
      <c r="E1877" s="888">
        <v>2019.0</v>
      </c>
      <c r="F1877" s="887" t="s">
        <v>291</v>
      </c>
      <c r="G1877" s="887" t="s">
        <v>89</v>
      </c>
      <c r="H1877" s="547">
        <v>1.268811731E7</v>
      </c>
      <c r="I1877" s="547">
        <v>1.407621033E7</v>
      </c>
      <c r="J1877" s="548">
        <v>1.134425763E7</v>
      </c>
      <c r="K1877" s="220"/>
      <c r="CE1877" s="525"/>
    </row>
    <row r="1878">
      <c r="A1878" s="219"/>
      <c r="B1878" s="889" t="s">
        <v>458</v>
      </c>
      <c r="C1878" s="890" t="s">
        <v>289</v>
      </c>
      <c r="D1878" s="890" t="s">
        <v>510</v>
      </c>
      <c r="E1878" s="891">
        <v>2019.0</v>
      </c>
      <c r="F1878" s="890" t="s">
        <v>291</v>
      </c>
      <c r="G1878" s="890" t="s">
        <v>89</v>
      </c>
      <c r="H1878" s="532">
        <v>352297.7752</v>
      </c>
      <c r="I1878" s="532">
        <v>387873.175</v>
      </c>
      <c r="J1878" s="533">
        <v>321197.352</v>
      </c>
      <c r="K1878" s="220"/>
      <c r="CE1878" s="525"/>
    </row>
    <row r="1879">
      <c r="A1879" s="219"/>
      <c r="B1879" s="886" t="s">
        <v>458</v>
      </c>
      <c r="C1879" s="887" t="s">
        <v>289</v>
      </c>
      <c r="D1879" s="887" t="s">
        <v>512</v>
      </c>
      <c r="E1879" s="888">
        <v>2019.0</v>
      </c>
      <c r="F1879" s="887" t="s">
        <v>291</v>
      </c>
      <c r="G1879" s="887" t="s">
        <v>89</v>
      </c>
      <c r="H1879" s="547">
        <v>6708.108822</v>
      </c>
      <c r="I1879" s="547">
        <v>7441.982794</v>
      </c>
      <c r="J1879" s="548">
        <v>5997.620674</v>
      </c>
      <c r="K1879" s="220"/>
      <c r="CE1879" s="525"/>
    </row>
    <row r="1880">
      <c r="A1880" s="219"/>
      <c r="B1880" s="889" t="s">
        <v>458</v>
      </c>
      <c r="C1880" s="890" t="s">
        <v>289</v>
      </c>
      <c r="D1880" s="890" t="s">
        <v>515</v>
      </c>
      <c r="E1880" s="891">
        <v>2019.0</v>
      </c>
      <c r="F1880" s="890" t="s">
        <v>291</v>
      </c>
      <c r="G1880" s="890" t="s">
        <v>89</v>
      </c>
      <c r="H1880" s="532">
        <v>19902.4706</v>
      </c>
      <c r="I1880" s="532">
        <v>22079.82125</v>
      </c>
      <c r="J1880" s="533">
        <v>17794.50398</v>
      </c>
      <c r="K1880" s="220"/>
      <c r="CE1880" s="525"/>
    </row>
    <row r="1881">
      <c r="A1881" s="219"/>
      <c r="B1881" s="886" t="s">
        <v>458</v>
      </c>
      <c r="C1881" s="887" t="s">
        <v>289</v>
      </c>
      <c r="D1881" s="887" t="s">
        <v>518</v>
      </c>
      <c r="E1881" s="888">
        <v>2019.0</v>
      </c>
      <c r="F1881" s="887" t="s">
        <v>291</v>
      </c>
      <c r="G1881" s="887" t="s">
        <v>89</v>
      </c>
      <c r="H1881" s="547">
        <v>26610.57942</v>
      </c>
      <c r="I1881" s="547">
        <v>29521.80405</v>
      </c>
      <c r="J1881" s="548">
        <v>23792.12465</v>
      </c>
      <c r="K1881" s="220"/>
      <c r="CE1881" s="525"/>
    </row>
    <row r="1882">
      <c r="A1882" s="219"/>
      <c r="B1882" s="889" t="s">
        <v>458</v>
      </c>
      <c r="C1882" s="890" t="s">
        <v>289</v>
      </c>
      <c r="D1882" s="890" t="s">
        <v>522</v>
      </c>
      <c r="E1882" s="891">
        <v>2019.0</v>
      </c>
      <c r="F1882" s="890" t="s">
        <v>291</v>
      </c>
      <c r="G1882" s="890" t="s">
        <v>89</v>
      </c>
      <c r="H1882" s="532">
        <v>312588.0534</v>
      </c>
      <c r="I1882" s="532">
        <v>346785.5064</v>
      </c>
      <c r="J1882" s="533">
        <v>279480.3455</v>
      </c>
      <c r="K1882" s="220"/>
      <c r="CE1882" s="525"/>
    </row>
    <row r="1883">
      <c r="A1883" s="219"/>
      <c r="B1883" s="886" t="s">
        <v>458</v>
      </c>
      <c r="C1883" s="887" t="s">
        <v>289</v>
      </c>
      <c r="D1883" s="887" t="s">
        <v>302</v>
      </c>
      <c r="E1883" s="888">
        <v>2019.0</v>
      </c>
      <c r="F1883" s="887" t="s">
        <v>291</v>
      </c>
      <c r="G1883" s="887" t="s">
        <v>89</v>
      </c>
      <c r="H1883" s="547">
        <v>1650396.551</v>
      </c>
      <c r="I1883" s="547">
        <v>1830951.623</v>
      </c>
      <c r="J1883" s="548">
        <v>1475595.095</v>
      </c>
      <c r="K1883" s="220"/>
      <c r="CE1883" s="525"/>
    </row>
    <row r="1884">
      <c r="A1884" s="219"/>
      <c r="B1884" s="889" t="s">
        <v>508</v>
      </c>
      <c r="C1884" s="890" t="s">
        <v>289</v>
      </c>
      <c r="D1884" s="890" t="s">
        <v>290</v>
      </c>
      <c r="E1884" s="891">
        <v>2019.0</v>
      </c>
      <c r="F1884" s="890" t="s">
        <v>291</v>
      </c>
      <c r="G1884" s="890" t="s">
        <v>89</v>
      </c>
      <c r="H1884" s="532">
        <v>4572.003418</v>
      </c>
      <c r="I1884" s="532">
        <v>5099.720245</v>
      </c>
      <c r="J1884" s="533">
        <v>4060.865819</v>
      </c>
      <c r="K1884" s="220"/>
      <c r="CE1884" s="525"/>
    </row>
    <row r="1885">
      <c r="A1885" s="219"/>
      <c r="B1885" s="886" t="s">
        <v>508</v>
      </c>
      <c r="C1885" s="887" t="s">
        <v>289</v>
      </c>
      <c r="D1885" s="887" t="s">
        <v>310</v>
      </c>
      <c r="E1885" s="888">
        <v>2019.0</v>
      </c>
      <c r="F1885" s="887" t="s">
        <v>291</v>
      </c>
      <c r="G1885" s="887" t="s">
        <v>89</v>
      </c>
      <c r="H1885" s="547">
        <v>97302.12835</v>
      </c>
      <c r="I1885" s="547">
        <v>108533.0846</v>
      </c>
      <c r="J1885" s="548">
        <v>86424.01396</v>
      </c>
      <c r="K1885" s="220"/>
      <c r="CE1885" s="525"/>
    </row>
    <row r="1886">
      <c r="A1886" s="219"/>
      <c r="B1886" s="889" t="s">
        <v>508</v>
      </c>
      <c r="C1886" s="890" t="s">
        <v>289</v>
      </c>
      <c r="D1886" s="890" t="s">
        <v>318</v>
      </c>
      <c r="E1886" s="891">
        <v>2019.0</v>
      </c>
      <c r="F1886" s="890" t="s">
        <v>291</v>
      </c>
      <c r="G1886" s="890" t="s">
        <v>89</v>
      </c>
      <c r="H1886" s="532">
        <v>74399.76426</v>
      </c>
      <c r="I1886" s="532">
        <v>82987.24856</v>
      </c>
      <c r="J1886" s="533">
        <v>66082.07214</v>
      </c>
      <c r="K1886" s="220"/>
      <c r="CE1886" s="525"/>
    </row>
    <row r="1887">
      <c r="A1887" s="219"/>
      <c r="B1887" s="886" t="s">
        <v>508</v>
      </c>
      <c r="C1887" s="887" t="s">
        <v>289</v>
      </c>
      <c r="D1887" s="887" t="s">
        <v>309</v>
      </c>
      <c r="E1887" s="888">
        <v>2019.0</v>
      </c>
      <c r="F1887" s="887" t="s">
        <v>291</v>
      </c>
      <c r="G1887" s="887" t="s">
        <v>89</v>
      </c>
      <c r="H1887" s="547">
        <v>18750.5629</v>
      </c>
      <c r="I1887" s="547">
        <v>20914.81928</v>
      </c>
      <c r="J1887" s="548">
        <v>16654.30075</v>
      </c>
      <c r="K1887" s="220"/>
      <c r="CE1887" s="525"/>
    </row>
    <row r="1888">
      <c r="A1888" s="219"/>
      <c r="B1888" s="889" t="s">
        <v>508</v>
      </c>
      <c r="C1888" s="890" t="s">
        <v>289</v>
      </c>
      <c r="D1888" s="890" t="s">
        <v>334</v>
      </c>
      <c r="E1888" s="891">
        <v>2019.0</v>
      </c>
      <c r="F1888" s="890" t="s">
        <v>291</v>
      </c>
      <c r="G1888" s="890" t="s">
        <v>89</v>
      </c>
      <c r="H1888" s="532">
        <v>25770.45941</v>
      </c>
      <c r="I1888" s="532">
        <v>28744.97711</v>
      </c>
      <c r="J1888" s="533">
        <v>22889.39185</v>
      </c>
      <c r="K1888" s="220"/>
      <c r="CE1888" s="525"/>
    </row>
    <row r="1889">
      <c r="A1889" s="219"/>
      <c r="B1889" s="886" t="s">
        <v>508</v>
      </c>
      <c r="C1889" s="887" t="s">
        <v>289</v>
      </c>
      <c r="D1889" s="887" t="s">
        <v>339</v>
      </c>
      <c r="E1889" s="888">
        <v>2019.0</v>
      </c>
      <c r="F1889" s="887" t="s">
        <v>291</v>
      </c>
      <c r="G1889" s="887" t="s">
        <v>89</v>
      </c>
      <c r="H1889" s="547">
        <v>48672.8235</v>
      </c>
      <c r="I1889" s="547">
        <v>54290.81317</v>
      </c>
      <c r="J1889" s="548">
        <v>43231.33367</v>
      </c>
      <c r="K1889" s="220"/>
      <c r="CE1889" s="525"/>
    </row>
    <row r="1890">
      <c r="A1890" s="219"/>
      <c r="B1890" s="889" t="s">
        <v>508</v>
      </c>
      <c r="C1890" s="890" t="s">
        <v>289</v>
      </c>
      <c r="D1890" s="890" t="s">
        <v>344</v>
      </c>
      <c r="E1890" s="891">
        <v>2019.0</v>
      </c>
      <c r="F1890" s="890" t="s">
        <v>291</v>
      </c>
      <c r="G1890" s="890" t="s">
        <v>89</v>
      </c>
      <c r="H1890" s="532">
        <v>67514.19953</v>
      </c>
      <c r="I1890" s="532">
        <v>75306.92756</v>
      </c>
      <c r="J1890" s="533">
        <v>59966.2949</v>
      </c>
      <c r="K1890" s="220"/>
      <c r="CE1890" s="525"/>
    </row>
    <row r="1891">
      <c r="A1891" s="219"/>
      <c r="B1891" s="886" t="s">
        <v>508</v>
      </c>
      <c r="C1891" s="887" t="s">
        <v>289</v>
      </c>
      <c r="D1891" s="887" t="s">
        <v>349</v>
      </c>
      <c r="E1891" s="888">
        <v>2019.0</v>
      </c>
      <c r="F1891" s="887" t="s">
        <v>291</v>
      </c>
      <c r="G1891" s="887" t="s">
        <v>89</v>
      </c>
      <c r="H1891" s="547">
        <v>22902.36409</v>
      </c>
      <c r="I1891" s="547">
        <v>25545.83606</v>
      </c>
      <c r="J1891" s="548">
        <v>20341.94182</v>
      </c>
      <c r="K1891" s="220"/>
      <c r="CE1891" s="525"/>
    </row>
    <row r="1892">
      <c r="A1892" s="219"/>
      <c r="B1892" s="889" t="s">
        <v>508</v>
      </c>
      <c r="C1892" s="890" t="s">
        <v>289</v>
      </c>
      <c r="D1892" s="890" t="s">
        <v>355</v>
      </c>
      <c r="E1892" s="891">
        <v>2019.0</v>
      </c>
      <c r="F1892" s="890" t="s">
        <v>291</v>
      </c>
      <c r="G1892" s="890" t="s">
        <v>89</v>
      </c>
      <c r="H1892" s="532">
        <v>86839.73185</v>
      </c>
      <c r="I1892" s="532">
        <v>96862.39829</v>
      </c>
      <c r="J1892" s="533">
        <v>77129.0568</v>
      </c>
      <c r="K1892" s="220"/>
      <c r="CE1892" s="525"/>
    </row>
    <row r="1893">
      <c r="A1893" s="219"/>
      <c r="B1893" s="886" t="s">
        <v>508</v>
      </c>
      <c r="C1893" s="887" t="s">
        <v>289</v>
      </c>
      <c r="D1893" s="887" t="s">
        <v>358</v>
      </c>
      <c r="E1893" s="888">
        <v>2019.0</v>
      </c>
      <c r="F1893" s="887" t="s">
        <v>291</v>
      </c>
      <c r="G1893" s="887" t="s">
        <v>89</v>
      </c>
      <c r="H1893" s="547">
        <v>107042.3214</v>
      </c>
      <c r="I1893" s="547">
        <v>119397.5253</v>
      </c>
      <c r="J1893" s="548">
        <v>95075.27981</v>
      </c>
      <c r="K1893" s="220"/>
      <c r="CE1893" s="525"/>
    </row>
    <row r="1894">
      <c r="A1894" s="219"/>
      <c r="B1894" s="889" t="s">
        <v>508</v>
      </c>
      <c r="C1894" s="890" t="s">
        <v>289</v>
      </c>
      <c r="D1894" s="890" t="s">
        <v>362</v>
      </c>
      <c r="E1894" s="891">
        <v>2019.0</v>
      </c>
      <c r="F1894" s="890" t="s">
        <v>291</v>
      </c>
      <c r="G1894" s="890" t="s">
        <v>89</v>
      </c>
      <c r="H1894" s="532">
        <v>108085.5</v>
      </c>
      <c r="I1894" s="532">
        <v>120560.2611</v>
      </c>
      <c r="J1894" s="533">
        <v>95999.06046</v>
      </c>
      <c r="K1894" s="220"/>
      <c r="CE1894" s="525"/>
    </row>
    <row r="1895">
      <c r="A1895" s="219"/>
      <c r="B1895" s="886" t="s">
        <v>508</v>
      </c>
      <c r="C1895" s="887" t="s">
        <v>289</v>
      </c>
      <c r="D1895" s="887" t="s">
        <v>366</v>
      </c>
      <c r="E1895" s="888">
        <v>2019.0</v>
      </c>
      <c r="F1895" s="887" t="s">
        <v>291</v>
      </c>
      <c r="G1895" s="887" t="s">
        <v>89</v>
      </c>
      <c r="H1895" s="547">
        <v>18841.37604</v>
      </c>
      <c r="I1895" s="547">
        <v>21016.11439</v>
      </c>
      <c r="J1895" s="548">
        <v>16734.96123</v>
      </c>
      <c r="K1895" s="220"/>
      <c r="CE1895" s="525"/>
    </row>
    <row r="1896">
      <c r="A1896" s="219"/>
      <c r="B1896" s="889" t="s">
        <v>508</v>
      </c>
      <c r="C1896" s="890" t="s">
        <v>289</v>
      </c>
      <c r="D1896" s="890" t="s">
        <v>368</v>
      </c>
      <c r="E1896" s="891">
        <v>2019.0</v>
      </c>
      <c r="F1896" s="890" t="s">
        <v>291</v>
      </c>
      <c r="G1896" s="890" t="s">
        <v>89</v>
      </c>
      <c r="H1896" s="532">
        <v>89241.6351</v>
      </c>
      <c r="I1896" s="532">
        <v>99542.22069</v>
      </c>
      <c r="J1896" s="533">
        <v>79264.66201</v>
      </c>
      <c r="K1896" s="220"/>
      <c r="CE1896" s="525"/>
    </row>
    <row r="1897">
      <c r="A1897" s="219"/>
      <c r="B1897" s="886" t="s">
        <v>508</v>
      </c>
      <c r="C1897" s="887" t="s">
        <v>289</v>
      </c>
      <c r="D1897" s="887" t="s">
        <v>373</v>
      </c>
      <c r="E1897" s="888">
        <v>2019.0</v>
      </c>
      <c r="F1897" s="887" t="s">
        <v>291</v>
      </c>
      <c r="G1897" s="887" t="s">
        <v>89</v>
      </c>
      <c r="H1897" s="547">
        <v>16494.48297</v>
      </c>
      <c r="I1897" s="547">
        <v>18398.33461</v>
      </c>
      <c r="J1897" s="548">
        <v>14650.44445</v>
      </c>
      <c r="K1897" s="220"/>
      <c r="CE1897" s="525"/>
    </row>
    <row r="1898">
      <c r="A1898" s="219"/>
      <c r="B1898" s="889" t="s">
        <v>508</v>
      </c>
      <c r="C1898" s="890" t="s">
        <v>289</v>
      </c>
      <c r="D1898" s="890" t="s">
        <v>379</v>
      </c>
      <c r="E1898" s="891">
        <v>2019.0</v>
      </c>
      <c r="F1898" s="890" t="s">
        <v>291</v>
      </c>
      <c r="G1898" s="890" t="s">
        <v>89</v>
      </c>
      <c r="H1898" s="532">
        <v>65300.08493</v>
      </c>
      <c r="I1898" s="532">
        <v>72836.73843</v>
      </c>
      <c r="J1898" s="533">
        <v>57998.03675</v>
      </c>
      <c r="K1898" s="220"/>
      <c r="CE1898" s="525"/>
    </row>
    <row r="1899">
      <c r="A1899" s="219"/>
      <c r="B1899" s="886" t="s">
        <v>508</v>
      </c>
      <c r="C1899" s="887" t="s">
        <v>289</v>
      </c>
      <c r="D1899" s="887" t="s">
        <v>382</v>
      </c>
      <c r="E1899" s="888">
        <v>2019.0</v>
      </c>
      <c r="F1899" s="887" t="s">
        <v>291</v>
      </c>
      <c r="G1899" s="887" t="s">
        <v>89</v>
      </c>
      <c r="H1899" s="547">
        <v>15216.1016</v>
      </c>
      <c r="I1899" s="547">
        <v>16972.39793</v>
      </c>
      <c r="J1899" s="548">
        <v>13514.98265</v>
      </c>
      <c r="K1899" s="220"/>
      <c r="CE1899" s="525"/>
    </row>
    <row r="1900">
      <c r="A1900" s="219"/>
      <c r="B1900" s="889" t="s">
        <v>508</v>
      </c>
      <c r="C1900" s="890" t="s">
        <v>289</v>
      </c>
      <c r="D1900" s="890" t="s">
        <v>387</v>
      </c>
      <c r="E1900" s="891">
        <v>2019.0</v>
      </c>
      <c r="F1900" s="890" t="s">
        <v>291</v>
      </c>
      <c r="G1900" s="890" t="s">
        <v>89</v>
      </c>
      <c r="H1900" s="532">
        <v>13383.40753</v>
      </c>
      <c r="I1900" s="532">
        <v>14928.16783</v>
      </c>
      <c r="J1900" s="533">
        <v>11887.17882</v>
      </c>
      <c r="K1900" s="220"/>
      <c r="CE1900" s="525"/>
    </row>
    <row r="1901">
      <c r="A1901" s="219"/>
      <c r="B1901" s="886" t="s">
        <v>508</v>
      </c>
      <c r="C1901" s="887" t="s">
        <v>289</v>
      </c>
      <c r="D1901" s="887" t="s">
        <v>392</v>
      </c>
      <c r="E1901" s="888">
        <v>2019.0</v>
      </c>
      <c r="F1901" s="887" t="s">
        <v>291</v>
      </c>
      <c r="G1901" s="887" t="s">
        <v>89</v>
      </c>
      <c r="H1901" s="547">
        <v>11138.3681</v>
      </c>
      <c r="I1901" s="547">
        <v>12423.998</v>
      </c>
      <c r="J1901" s="548">
        <v>9893.12872</v>
      </c>
      <c r="K1901" s="220"/>
      <c r="CE1901" s="525"/>
    </row>
    <row r="1902">
      <c r="A1902" s="219"/>
      <c r="B1902" s="889" t="s">
        <v>508</v>
      </c>
      <c r="C1902" s="890" t="s">
        <v>289</v>
      </c>
      <c r="D1902" s="890" t="s">
        <v>398</v>
      </c>
      <c r="E1902" s="891">
        <v>2019.0</v>
      </c>
      <c r="F1902" s="890" t="s">
        <v>291</v>
      </c>
      <c r="G1902" s="890" t="s">
        <v>89</v>
      </c>
      <c r="H1902" s="532">
        <v>9066.221082</v>
      </c>
      <c r="I1902" s="532">
        <v>10112.67643</v>
      </c>
      <c r="J1902" s="533">
        <v>8052.642122</v>
      </c>
      <c r="K1902" s="220"/>
      <c r="CE1902" s="525"/>
    </row>
    <row r="1903">
      <c r="A1903" s="219"/>
      <c r="B1903" s="886" t="s">
        <v>508</v>
      </c>
      <c r="C1903" s="887" t="s">
        <v>289</v>
      </c>
      <c r="D1903" s="887" t="s">
        <v>402</v>
      </c>
      <c r="E1903" s="888">
        <v>2019.0</v>
      </c>
      <c r="F1903" s="887" t="s">
        <v>291</v>
      </c>
      <c r="G1903" s="887" t="s">
        <v>89</v>
      </c>
      <c r="H1903" s="547">
        <v>73981.26558</v>
      </c>
      <c r="I1903" s="547">
        <v>82519.86342</v>
      </c>
      <c r="J1903" s="548">
        <v>65708.46217</v>
      </c>
      <c r="K1903" s="220"/>
      <c r="CE1903" s="525"/>
    </row>
    <row r="1904">
      <c r="A1904" s="219"/>
      <c r="B1904" s="889" t="s">
        <v>508</v>
      </c>
      <c r="C1904" s="890" t="s">
        <v>289</v>
      </c>
      <c r="D1904" s="890" t="s">
        <v>407</v>
      </c>
      <c r="E1904" s="891">
        <v>2019.0</v>
      </c>
      <c r="F1904" s="890" t="s">
        <v>291</v>
      </c>
      <c r="G1904" s="890" t="s">
        <v>89</v>
      </c>
      <c r="H1904" s="532">
        <v>25306.73854</v>
      </c>
      <c r="I1904" s="532">
        <v>28227.73193</v>
      </c>
      <c r="J1904" s="533">
        <v>22477.51372</v>
      </c>
      <c r="K1904" s="220"/>
      <c r="CE1904" s="525"/>
    </row>
    <row r="1905">
      <c r="A1905" s="219"/>
      <c r="B1905" s="886" t="s">
        <v>508</v>
      </c>
      <c r="C1905" s="887" t="s">
        <v>289</v>
      </c>
      <c r="D1905" s="887" t="s">
        <v>414</v>
      </c>
      <c r="E1905" s="888">
        <v>2019.0</v>
      </c>
      <c r="F1905" s="887" t="s">
        <v>291</v>
      </c>
      <c r="G1905" s="887" t="s">
        <v>89</v>
      </c>
      <c r="H1905" s="547">
        <v>6947.39643</v>
      </c>
      <c r="I1905" s="547">
        <v>7749.289531</v>
      </c>
      <c r="J1905" s="548">
        <v>6170.696327</v>
      </c>
      <c r="K1905" s="220"/>
      <c r="CE1905" s="525"/>
    </row>
    <row r="1906">
      <c r="A1906" s="219"/>
      <c r="B1906" s="889" t="s">
        <v>508</v>
      </c>
      <c r="C1906" s="890" t="s">
        <v>289</v>
      </c>
      <c r="D1906" s="890" t="s">
        <v>417</v>
      </c>
      <c r="E1906" s="891">
        <v>2019.0</v>
      </c>
      <c r="F1906" s="890" t="s">
        <v>291</v>
      </c>
      <c r="G1906" s="890" t="s">
        <v>89</v>
      </c>
      <c r="H1906" s="532">
        <v>19489.91441</v>
      </c>
      <c r="I1906" s="532">
        <v>21739.50935</v>
      </c>
      <c r="J1906" s="533">
        <v>17310.99477</v>
      </c>
      <c r="K1906" s="220"/>
      <c r="CE1906" s="525"/>
    </row>
    <row r="1907">
      <c r="A1907" s="219"/>
      <c r="B1907" s="886" t="s">
        <v>508</v>
      </c>
      <c r="C1907" s="887" t="s">
        <v>289</v>
      </c>
      <c r="D1907" s="887" t="s">
        <v>300</v>
      </c>
      <c r="E1907" s="888">
        <v>2019.0</v>
      </c>
      <c r="F1907" s="887" t="s">
        <v>291</v>
      </c>
      <c r="G1907" s="887" t="s">
        <v>89</v>
      </c>
      <c r="H1907" s="547">
        <v>51077.19795</v>
      </c>
      <c r="I1907" s="547">
        <v>56972.70904</v>
      </c>
      <c r="J1907" s="548">
        <v>45366.90557</v>
      </c>
      <c r="K1907" s="220"/>
      <c r="CE1907" s="525"/>
    </row>
    <row r="1908">
      <c r="A1908" s="219"/>
      <c r="B1908" s="889" t="s">
        <v>508</v>
      </c>
      <c r="C1908" s="890" t="s">
        <v>289</v>
      </c>
      <c r="D1908" s="890" t="s">
        <v>429</v>
      </c>
      <c r="E1908" s="891">
        <v>2019.0</v>
      </c>
      <c r="F1908" s="890" t="s">
        <v>291</v>
      </c>
      <c r="G1908" s="890" t="s">
        <v>89</v>
      </c>
      <c r="H1908" s="532">
        <v>16996.04875</v>
      </c>
      <c r="I1908" s="532">
        <v>18957.65922</v>
      </c>
      <c r="J1908" s="533">
        <v>15095.50043</v>
      </c>
      <c r="K1908" s="220"/>
      <c r="CE1908" s="525"/>
    </row>
    <row r="1909">
      <c r="A1909" s="219"/>
      <c r="B1909" s="886" t="s">
        <v>508</v>
      </c>
      <c r="C1909" s="887" t="s">
        <v>289</v>
      </c>
      <c r="D1909" s="887" t="s">
        <v>432</v>
      </c>
      <c r="E1909" s="888">
        <v>2019.0</v>
      </c>
      <c r="F1909" s="887" t="s">
        <v>291</v>
      </c>
      <c r="G1909" s="887" t="s">
        <v>89</v>
      </c>
      <c r="H1909" s="547">
        <v>5571.574172</v>
      </c>
      <c r="I1909" s="547">
        <v>6214.664996</v>
      </c>
      <c r="J1909" s="548">
        <v>4948.687271</v>
      </c>
      <c r="K1909" s="220"/>
      <c r="CE1909" s="525"/>
    </row>
    <row r="1910">
      <c r="A1910" s="219"/>
      <c r="B1910" s="889" t="s">
        <v>508</v>
      </c>
      <c r="C1910" s="890" t="s">
        <v>289</v>
      </c>
      <c r="D1910" s="890" t="s">
        <v>435</v>
      </c>
      <c r="E1910" s="891">
        <v>2019.0</v>
      </c>
      <c r="F1910" s="890" t="s">
        <v>291</v>
      </c>
      <c r="G1910" s="890" t="s">
        <v>89</v>
      </c>
      <c r="H1910" s="532">
        <v>4123.450363</v>
      </c>
      <c r="I1910" s="532">
        <v>4599.393608</v>
      </c>
      <c r="J1910" s="533">
        <v>3662.459781</v>
      </c>
      <c r="K1910" s="220"/>
      <c r="CE1910" s="525"/>
    </row>
    <row r="1911">
      <c r="A1911" s="219"/>
      <c r="B1911" s="886" t="s">
        <v>508</v>
      </c>
      <c r="C1911" s="887" t="s">
        <v>289</v>
      </c>
      <c r="D1911" s="887" t="s">
        <v>442</v>
      </c>
      <c r="E1911" s="888">
        <v>2019.0</v>
      </c>
      <c r="F1911" s="887" t="s">
        <v>291</v>
      </c>
      <c r="G1911" s="887" t="s">
        <v>89</v>
      </c>
      <c r="H1911" s="547">
        <v>2847.49344</v>
      </c>
      <c r="I1911" s="547">
        <v>3176.161218</v>
      </c>
      <c r="J1911" s="548">
        <v>2529.151386</v>
      </c>
      <c r="K1911" s="220"/>
      <c r="CE1911" s="525"/>
    </row>
    <row r="1912">
      <c r="A1912" s="219"/>
      <c r="B1912" s="889" t="s">
        <v>508</v>
      </c>
      <c r="C1912" s="890" t="s">
        <v>289</v>
      </c>
      <c r="D1912" s="890" t="s">
        <v>445</v>
      </c>
      <c r="E1912" s="891">
        <v>2019.0</v>
      </c>
      <c r="F1912" s="890" t="s">
        <v>291</v>
      </c>
      <c r="G1912" s="890" t="s">
        <v>89</v>
      </c>
      <c r="H1912" s="532">
        <v>4643.956504</v>
      </c>
      <c r="I1912" s="532">
        <v>5179.941888</v>
      </c>
      <c r="J1912" s="533">
        <v>4124.655585</v>
      </c>
      <c r="K1912" s="220"/>
      <c r="CE1912" s="525"/>
    </row>
    <row r="1913">
      <c r="A1913" s="219"/>
      <c r="B1913" s="886" t="s">
        <v>508</v>
      </c>
      <c r="C1913" s="887" t="s">
        <v>289</v>
      </c>
      <c r="D1913" s="887" t="s">
        <v>450</v>
      </c>
      <c r="E1913" s="888">
        <v>2019.0</v>
      </c>
      <c r="F1913" s="887" t="s">
        <v>291</v>
      </c>
      <c r="G1913" s="887" t="s">
        <v>89</v>
      </c>
      <c r="H1913" s="547">
        <v>1796.356129</v>
      </c>
      <c r="I1913" s="547">
        <v>2003.697916</v>
      </c>
      <c r="J1913" s="548">
        <v>1595.52838</v>
      </c>
      <c r="K1913" s="220"/>
      <c r="CE1913" s="525"/>
    </row>
    <row r="1914">
      <c r="A1914" s="219"/>
      <c r="B1914" s="889" t="s">
        <v>508</v>
      </c>
      <c r="C1914" s="890" t="s">
        <v>289</v>
      </c>
      <c r="D1914" s="890" t="s">
        <v>457</v>
      </c>
      <c r="E1914" s="891">
        <v>2019.0</v>
      </c>
      <c r="F1914" s="890" t="s">
        <v>291</v>
      </c>
      <c r="G1914" s="890" t="s">
        <v>89</v>
      </c>
      <c r="H1914" s="532">
        <v>4453.139407</v>
      </c>
      <c r="I1914" s="532">
        <v>4967.136529</v>
      </c>
      <c r="J1914" s="533">
        <v>3955.290483</v>
      </c>
      <c r="K1914" s="220"/>
      <c r="CE1914" s="525"/>
    </row>
    <row r="1915">
      <c r="A1915" s="219"/>
      <c r="B1915" s="886" t="s">
        <v>508</v>
      </c>
      <c r="C1915" s="887" t="s">
        <v>289</v>
      </c>
      <c r="D1915" s="887" t="s">
        <v>463</v>
      </c>
      <c r="E1915" s="888">
        <v>2019.0</v>
      </c>
      <c r="F1915" s="887" t="s">
        <v>291</v>
      </c>
      <c r="G1915" s="887" t="s">
        <v>89</v>
      </c>
      <c r="H1915" s="547">
        <v>2656.844457</v>
      </c>
      <c r="I1915" s="547">
        <v>2963.485958</v>
      </c>
      <c r="J1915" s="548">
        <v>2359.74827</v>
      </c>
      <c r="K1915" s="220"/>
      <c r="CE1915" s="525"/>
    </row>
    <row r="1916">
      <c r="A1916" s="219"/>
      <c r="B1916" s="889" t="s">
        <v>508</v>
      </c>
      <c r="C1916" s="890" t="s">
        <v>289</v>
      </c>
      <c r="D1916" s="890" t="s">
        <v>467</v>
      </c>
      <c r="E1916" s="891">
        <v>2019.0</v>
      </c>
      <c r="F1916" s="890" t="s">
        <v>291</v>
      </c>
      <c r="G1916" s="890" t="s">
        <v>89</v>
      </c>
      <c r="H1916" s="532">
        <v>1282.719038</v>
      </c>
      <c r="I1916" s="532">
        <v>1430.775012</v>
      </c>
      <c r="J1916" s="533">
        <v>1139.314524</v>
      </c>
      <c r="K1916" s="220"/>
      <c r="CE1916" s="525"/>
    </row>
    <row r="1917">
      <c r="A1917" s="219"/>
      <c r="B1917" s="886" t="s">
        <v>508</v>
      </c>
      <c r="C1917" s="887" t="s">
        <v>289</v>
      </c>
      <c r="D1917" s="887" t="s">
        <v>473</v>
      </c>
      <c r="E1917" s="888">
        <v>2019.0</v>
      </c>
      <c r="F1917" s="887" t="s">
        <v>291</v>
      </c>
      <c r="G1917" s="887" t="s">
        <v>89</v>
      </c>
      <c r="H1917" s="547">
        <v>2130.176844</v>
      </c>
      <c r="I1917" s="547">
        <v>2376.032646</v>
      </c>
      <c r="J1917" s="548">
        <v>1891.974184</v>
      </c>
      <c r="K1917" s="220"/>
      <c r="CE1917" s="525"/>
    </row>
    <row r="1918">
      <c r="A1918" s="219"/>
      <c r="B1918" s="889" t="s">
        <v>508</v>
      </c>
      <c r="C1918" s="890" t="s">
        <v>289</v>
      </c>
      <c r="D1918" s="890" t="s">
        <v>477</v>
      </c>
      <c r="E1918" s="891">
        <v>2019.0</v>
      </c>
      <c r="F1918" s="890" t="s">
        <v>291</v>
      </c>
      <c r="G1918" s="890" t="s">
        <v>89</v>
      </c>
      <c r="H1918" s="532">
        <v>1374.064241</v>
      </c>
      <c r="I1918" s="532">
        <v>1532.663602</v>
      </c>
      <c r="J1918" s="533">
        <v>1220.44758</v>
      </c>
      <c r="K1918" s="220"/>
      <c r="CE1918" s="525"/>
    </row>
    <row r="1919">
      <c r="A1919" s="219"/>
      <c r="B1919" s="886" t="s">
        <v>508</v>
      </c>
      <c r="C1919" s="887" t="s">
        <v>289</v>
      </c>
      <c r="D1919" s="887" t="s">
        <v>483</v>
      </c>
      <c r="E1919" s="888">
        <v>2019.0</v>
      </c>
      <c r="F1919" s="887" t="s">
        <v>291</v>
      </c>
      <c r="G1919" s="887" t="s">
        <v>89</v>
      </c>
      <c r="H1919" s="547">
        <v>847.4087554</v>
      </c>
      <c r="I1919" s="547">
        <v>945.2196752</v>
      </c>
      <c r="J1919" s="548">
        <v>752.6707518</v>
      </c>
      <c r="K1919" s="220"/>
      <c r="CE1919" s="525"/>
    </row>
    <row r="1920">
      <c r="A1920" s="219"/>
      <c r="B1920" s="889" t="s">
        <v>508</v>
      </c>
      <c r="C1920" s="890" t="s">
        <v>289</v>
      </c>
      <c r="D1920" s="890" t="s">
        <v>489</v>
      </c>
      <c r="E1920" s="891">
        <v>2019.0</v>
      </c>
      <c r="F1920" s="890" t="s">
        <v>291</v>
      </c>
      <c r="G1920" s="890" t="s">
        <v>89</v>
      </c>
      <c r="H1920" s="532">
        <v>526.6676126</v>
      </c>
      <c r="I1920" s="532">
        <v>587.4533116</v>
      </c>
      <c r="J1920" s="533">
        <v>467.7740861</v>
      </c>
      <c r="K1920" s="220"/>
      <c r="CE1920" s="525"/>
    </row>
    <row r="1921">
      <c r="A1921" s="219"/>
      <c r="B1921" s="886" t="s">
        <v>508</v>
      </c>
      <c r="C1921" s="887" t="s">
        <v>289</v>
      </c>
      <c r="D1921" s="887" t="s">
        <v>493</v>
      </c>
      <c r="E1921" s="888">
        <v>2019.0</v>
      </c>
      <c r="F1921" s="887" t="s">
        <v>291</v>
      </c>
      <c r="G1921" s="887" t="s">
        <v>89</v>
      </c>
      <c r="H1921" s="547">
        <v>377.9297927</v>
      </c>
      <c r="I1921" s="547">
        <v>421.5517879</v>
      </c>
      <c r="J1921" s="548">
        <v>335.6782655</v>
      </c>
      <c r="K1921" s="220"/>
      <c r="CE1921" s="525"/>
    </row>
    <row r="1922">
      <c r="A1922" s="219"/>
      <c r="B1922" s="889" t="s">
        <v>508</v>
      </c>
      <c r="C1922" s="890" t="s">
        <v>289</v>
      </c>
      <c r="D1922" s="890" t="s">
        <v>496</v>
      </c>
      <c r="E1922" s="891">
        <v>2019.0</v>
      </c>
      <c r="F1922" s="890" t="s">
        <v>291</v>
      </c>
      <c r="G1922" s="890" t="s">
        <v>89</v>
      </c>
      <c r="H1922" s="532">
        <v>122.1976888</v>
      </c>
      <c r="I1922" s="532">
        <v>136.3021788</v>
      </c>
      <c r="J1922" s="533">
        <v>108.5363182</v>
      </c>
      <c r="K1922" s="220"/>
      <c r="CE1922" s="525"/>
    </row>
    <row r="1923">
      <c r="A1923" s="219"/>
      <c r="B1923" s="886" t="s">
        <v>508</v>
      </c>
      <c r="C1923" s="887" t="s">
        <v>289</v>
      </c>
      <c r="D1923" s="887" t="s">
        <v>502</v>
      </c>
      <c r="E1923" s="888">
        <v>2019.0</v>
      </c>
      <c r="F1923" s="887" t="s">
        <v>291</v>
      </c>
      <c r="G1923" s="887" t="s">
        <v>89</v>
      </c>
      <c r="H1923" s="547">
        <v>26.52800368</v>
      </c>
      <c r="I1923" s="547">
        <v>29.58995982</v>
      </c>
      <c r="J1923" s="548">
        <v>23.56224472</v>
      </c>
      <c r="K1923" s="220"/>
      <c r="CE1923" s="525"/>
    </row>
    <row r="1924">
      <c r="A1924" s="219"/>
      <c r="B1924" s="889" t="s">
        <v>508</v>
      </c>
      <c r="C1924" s="890" t="s">
        <v>289</v>
      </c>
      <c r="D1924" s="890" t="s">
        <v>332</v>
      </c>
      <c r="E1924" s="891">
        <v>2019.0</v>
      </c>
      <c r="F1924" s="890" t="s">
        <v>291</v>
      </c>
      <c r="G1924" s="890" t="s">
        <v>89</v>
      </c>
      <c r="H1924" s="532">
        <v>205385.1395</v>
      </c>
      <c r="I1924" s="532">
        <v>229091.4197</v>
      </c>
      <c r="J1924" s="533">
        <v>182423.6372</v>
      </c>
      <c r="K1924" s="220"/>
      <c r="CE1924" s="525"/>
    </row>
    <row r="1925">
      <c r="A1925" s="219"/>
      <c r="B1925" s="886" t="s">
        <v>508</v>
      </c>
      <c r="C1925" s="887" t="s">
        <v>289</v>
      </c>
      <c r="D1925" s="887" t="s">
        <v>510</v>
      </c>
      <c r="E1925" s="888">
        <v>2019.0</v>
      </c>
      <c r="F1925" s="887" t="s">
        <v>291</v>
      </c>
      <c r="G1925" s="887" t="s">
        <v>89</v>
      </c>
      <c r="H1925" s="547">
        <v>4672.860987</v>
      </c>
      <c r="I1925" s="547">
        <v>5410.211692</v>
      </c>
      <c r="J1925" s="548">
        <v>4010.597532</v>
      </c>
      <c r="K1925" s="220"/>
      <c r="CE1925" s="525"/>
    </row>
    <row r="1926">
      <c r="A1926" s="219"/>
      <c r="B1926" s="889" t="s">
        <v>508</v>
      </c>
      <c r="C1926" s="890" t="s">
        <v>289</v>
      </c>
      <c r="D1926" s="890" t="s">
        <v>512</v>
      </c>
      <c r="E1926" s="891">
        <v>2019.0</v>
      </c>
      <c r="F1926" s="890" t="s">
        <v>291</v>
      </c>
      <c r="G1926" s="890" t="s">
        <v>89</v>
      </c>
      <c r="H1926" s="532">
        <v>89.18533722</v>
      </c>
      <c r="I1926" s="532">
        <v>99.47942471</v>
      </c>
      <c r="J1926" s="533">
        <v>79.21465809</v>
      </c>
      <c r="K1926" s="220"/>
      <c r="CE1926" s="525"/>
    </row>
    <row r="1927">
      <c r="A1927" s="219"/>
      <c r="B1927" s="886" t="s">
        <v>508</v>
      </c>
      <c r="C1927" s="887" t="s">
        <v>289</v>
      </c>
      <c r="D1927" s="887" t="s">
        <v>515</v>
      </c>
      <c r="E1927" s="888">
        <v>2019.0</v>
      </c>
      <c r="F1927" s="887" t="s">
        <v>291</v>
      </c>
      <c r="G1927" s="887" t="s">
        <v>89</v>
      </c>
      <c r="H1927" s="547">
        <v>265.8054461</v>
      </c>
      <c r="I1927" s="547">
        <v>296.4856521</v>
      </c>
      <c r="J1927" s="548">
        <v>236.0891172</v>
      </c>
      <c r="K1927" s="220"/>
      <c r="CE1927" s="525"/>
    </row>
    <row r="1928">
      <c r="A1928" s="219"/>
      <c r="B1928" s="889" t="s">
        <v>508</v>
      </c>
      <c r="C1928" s="890" t="s">
        <v>289</v>
      </c>
      <c r="D1928" s="890" t="s">
        <v>518</v>
      </c>
      <c r="E1928" s="891">
        <v>2019.0</v>
      </c>
      <c r="F1928" s="890" t="s">
        <v>291</v>
      </c>
      <c r="G1928" s="890" t="s">
        <v>89</v>
      </c>
      <c r="H1928" s="532">
        <v>354.9907833</v>
      </c>
      <c r="I1928" s="532">
        <v>395.9650768</v>
      </c>
      <c r="J1928" s="533">
        <v>315.3037753</v>
      </c>
      <c r="K1928" s="220"/>
      <c r="CE1928" s="525"/>
    </row>
    <row r="1929">
      <c r="A1929" s="219"/>
      <c r="B1929" s="886" t="s">
        <v>508</v>
      </c>
      <c r="C1929" s="887" t="s">
        <v>289</v>
      </c>
      <c r="D1929" s="887" t="s">
        <v>522</v>
      </c>
      <c r="E1929" s="888">
        <v>2019.0</v>
      </c>
      <c r="F1929" s="887" t="s">
        <v>291</v>
      </c>
      <c r="G1929" s="887" t="s">
        <v>89</v>
      </c>
      <c r="H1929" s="547">
        <v>4217.012634</v>
      </c>
      <c r="I1929" s="547">
        <v>4703.755168</v>
      </c>
      <c r="J1929" s="548">
        <v>3745.562044</v>
      </c>
      <c r="K1929" s="220"/>
      <c r="CE1929" s="525"/>
    </row>
    <row r="1930">
      <c r="A1930" s="219"/>
      <c r="B1930" s="889" t="s">
        <v>508</v>
      </c>
      <c r="C1930" s="890" t="s">
        <v>289</v>
      </c>
      <c r="D1930" s="890" t="s">
        <v>302</v>
      </c>
      <c r="E1930" s="891">
        <v>2019.0</v>
      </c>
      <c r="F1930" s="890" t="s">
        <v>291</v>
      </c>
      <c r="G1930" s="890" t="s">
        <v>89</v>
      </c>
      <c r="H1930" s="532">
        <v>23322.56631</v>
      </c>
      <c r="I1930" s="532">
        <v>26014.53952</v>
      </c>
      <c r="J1930" s="533">
        <v>20715.16657</v>
      </c>
      <c r="K1930" s="220"/>
      <c r="CE1930" s="525"/>
    </row>
    <row r="1931">
      <c r="A1931" s="219"/>
      <c r="B1931" s="886" t="s">
        <v>511</v>
      </c>
      <c r="C1931" s="887" t="s">
        <v>289</v>
      </c>
      <c r="D1931" s="887" t="s">
        <v>290</v>
      </c>
      <c r="E1931" s="888">
        <v>2019.0</v>
      </c>
      <c r="F1931" s="887" t="s">
        <v>291</v>
      </c>
      <c r="G1931" s="887" t="s">
        <v>89</v>
      </c>
      <c r="H1931" s="547">
        <v>445866.7205</v>
      </c>
      <c r="I1931" s="547">
        <v>496493.9487</v>
      </c>
      <c r="J1931" s="548">
        <v>397842.8597</v>
      </c>
      <c r="K1931" s="220"/>
      <c r="CE1931" s="525"/>
    </row>
    <row r="1932">
      <c r="A1932" s="219"/>
      <c r="B1932" s="889" t="s">
        <v>511</v>
      </c>
      <c r="C1932" s="890" t="s">
        <v>289</v>
      </c>
      <c r="D1932" s="890" t="s">
        <v>310</v>
      </c>
      <c r="E1932" s="891">
        <v>2019.0</v>
      </c>
      <c r="F1932" s="890" t="s">
        <v>291</v>
      </c>
      <c r="G1932" s="890" t="s">
        <v>89</v>
      </c>
      <c r="H1932" s="532">
        <v>7778364.165</v>
      </c>
      <c r="I1932" s="532">
        <v>8661581.053</v>
      </c>
      <c r="J1932" s="533">
        <v>6940564.3</v>
      </c>
      <c r="K1932" s="220"/>
      <c r="CE1932" s="525"/>
    </row>
    <row r="1933">
      <c r="A1933" s="219"/>
      <c r="B1933" s="886" t="s">
        <v>511</v>
      </c>
      <c r="C1933" s="887" t="s">
        <v>289</v>
      </c>
      <c r="D1933" s="887" t="s">
        <v>318</v>
      </c>
      <c r="E1933" s="888">
        <v>2019.0</v>
      </c>
      <c r="F1933" s="887" t="s">
        <v>291</v>
      </c>
      <c r="G1933" s="887" t="s">
        <v>89</v>
      </c>
      <c r="H1933" s="547">
        <v>6102048.136</v>
      </c>
      <c r="I1933" s="547">
        <v>6794922.865</v>
      </c>
      <c r="J1933" s="548">
        <v>5444802.602</v>
      </c>
      <c r="K1933" s="220"/>
      <c r="CE1933" s="525"/>
    </row>
    <row r="1934">
      <c r="A1934" s="219"/>
      <c r="B1934" s="889" t="s">
        <v>511</v>
      </c>
      <c r="C1934" s="890" t="s">
        <v>289</v>
      </c>
      <c r="D1934" s="890" t="s">
        <v>309</v>
      </c>
      <c r="E1934" s="891">
        <v>2019.0</v>
      </c>
      <c r="F1934" s="890" t="s">
        <v>291</v>
      </c>
      <c r="G1934" s="890" t="s">
        <v>89</v>
      </c>
      <c r="H1934" s="532">
        <v>1704740.107</v>
      </c>
      <c r="I1934" s="532">
        <v>1898309.76</v>
      </c>
      <c r="J1934" s="533">
        <v>1521124.246</v>
      </c>
      <c r="K1934" s="220"/>
      <c r="CE1934" s="525"/>
    </row>
    <row r="1935">
      <c r="A1935" s="219"/>
      <c r="B1935" s="886" t="s">
        <v>511</v>
      </c>
      <c r="C1935" s="887" t="s">
        <v>289</v>
      </c>
      <c r="D1935" s="887" t="s">
        <v>334</v>
      </c>
      <c r="E1935" s="888">
        <v>2019.0</v>
      </c>
      <c r="F1935" s="887" t="s">
        <v>291</v>
      </c>
      <c r="G1935" s="887" t="s">
        <v>89</v>
      </c>
      <c r="H1935" s="547">
        <v>1907093.617</v>
      </c>
      <c r="I1935" s="547">
        <v>2123640.085</v>
      </c>
      <c r="J1935" s="548">
        <v>1701682.461</v>
      </c>
      <c r="K1935" s="220"/>
      <c r="CE1935" s="525"/>
    </row>
    <row r="1936">
      <c r="A1936" s="219"/>
      <c r="B1936" s="889" t="s">
        <v>511</v>
      </c>
      <c r="C1936" s="890" t="s">
        <v>289</v>
      </c>
      <c r="D1936" s="890" t="s">
        <v>339</v>
      </c>
      <c r="E1936" s="891">
        <v>2019.0</v>
      </c>
      <c r="F1936" s="890" t="s">
        <v>291</v>
      </c>
      <c r="G1936" s="890" t="s">
        <v>89</v>
      </c>
      <c r="H1936" s="532">
        <v>3583409.647</v>
      </c>
      <c r="I1936" s="532">
        <v>3990298.274</v>
      </c>
      <c r="J1936" s="533">
        <v>3197444.159</v>
      </c>
      <c r="K1936" s="220"/>
      <c r="CE1936" s="525"/>
    </row>
    <row r="1937">
      <c r="A1937" s="219"/>
      <c r="B1937" s="886" t="s">
        <v>511</v>
      </c>
      <c r="C1937" s="887" t="s">
        <v>289</v>
      </c>
      <c r="D1937" s="887" t="s">
        <v>344</v>
      </c>
      <c r="E1937" s="888">
        <v>2019.0</v>
      </c>
      <c r="F1937" s="887" t="s">
        <v>291</v>
      </c>
      <c r="G1937" s="887" t="s">
        <v>89</v>
      </c>
      <c r="H1937" s="547">
        <v>5000932.349</v>
      </c>
      <c r="I1937" s="547">
        <v>5568777.697</v>
      </c>
      <c r="J1937" s="548">
        <v>4462286.902</v>
      </c>
      <c r="K1937" s="220"/>
      <c r="CE1937" s="525"/>
    </row>
    <row r="1938">
      <c r="A1938" s="219"/>
      <c r="B1938" s="889" t="s">
        <v>511</v>
      </c>
      <c r="C1938" s="890" t="s">
        <v>289</v>
      </c>
      <c r="D1938" s="890" t="s">
        <v>349</v>
      </c>
      <c r="E1938" s="891">
        <v>2019.0</v>
      </c>
      <c r="F1938" s="890" t="s">
        <v>291</v>
      </c>
      <c r="G1938" s="890" t="s">
        <v>89</v>
      </c>
      <c r="H1938" s="532">
        <v>1676316.03</v>
      </c>
      <c r="I1938" s="532">
        <v>1866658.188</v>
      </c>
      <c r="J1938" s="533">
        <v>1495761.698</v>
      </c>
      <c r="K1938" s="220"/>
      <c r="CE1938" s="525"/>
    </row>
    <row r="1939">
      <c r="A1939" s="219"/>
      <c r="B1939" s="886" t="s">
        <v>511</v>
      </c>
      <c r="C1939" s="887" t="s">
        <v>289</v>
      </c>
      <c r="D1939" s="887" t="s">
        <v>355</v>
      </c>
      <c r="E1939" s="888">
        <v>2019.0</v>
      </c>
      <c r="F1939" s="887" t="s">
        <v>291</v>
      </c>
      <c r="G1939" s="887" t="s">
        <v>89</v>
      </c>
      <c r="H1939" s="547">
        <v>6129256.623</v>
      </c>
      <c r="I1939" s="547">
        <v>6825653.555</v>
      </c>
      <c r="J1939" s="548">
        <v>5469365.534</v>
      </c>
      <c r="K1939" s="220"/>
      <c r="CE1939" s="525"/>
    </row>
    <row r="1940">
      <c r="A1940" s="219"/>
      <c r="B1940" s="889" t="s">
        <v>511</v>
      </c>
      <c r="C1940" s="890" t="s">
        <v>289</v>
      </c>
      <c r="D1940" s="890" t="s">
        <v>358</v>
      </c>
      <c r="E1940" s="891">
        <v>2019.0</v>
      </c>
      <c r="F1940" s="890" t="s">
        <v>291</v>
      </c>
      <c r="G1940" s="890" t="s">
        <v>89</v>
      </c>
      <c r="H1940" s="532">
        <v>7342059.614</v>
      </c>
      <c r="I1940" s="532">
        <v>8175735.038</v>
      </c>
      <c r="J1940" s="533">
        <v>6551253.678</v>
      </c>
      <c r="K1940" s="220"/>
      <c r="CE1940" s="525"/>
    </row>
    <row r="1941">
      <c r="A1941" s="219"/>
      <c r="B1941" s="886" t="s">
        <v>511</v>
      </c>
      <c r="C1941" s="887" t="s">
        <v>289</v>
      </c>
      <c r="D1941" s="887" t="s">
        <v>362</v>
      </c>
      <c r="E1941" s="888">
        <v>2019.0</v>
      </c>
      <c r="F1941" s="887" t="s">
        <v>291</v>
      </c>
      <c r="G1941" s="887" t="s">
        <v>89</v>
      </c>
      <c r="H1941" s="547">
        <v>7355303.297</v>
      </c>
      <c r="I1941" s="547">
        <v>8191001.811</v>
      </c>
      <c r="J1941" s="548">
        <v>6563412.959</v>
      </c>
      <c r="K1941" s="220"/>
      <c r="CE1941" s="525"/>
    </row>
    <row r="1942">
      <c r="A1942" s="219"/>
      <c r="B1942" s="889" t="s">
        <v>511</v>
      </c>
      <c r="C1942" s="890" t="s">
        <v>289</v>
      </c>
      <c r="D1942" s="890" t="s">
        <v>366</v>
      </c>
      <c r="E1942" s="891">
        <v>2019.0</v>
      </c>
      <c r="F1942" s="890" t="s">
        <v>291</v>
      </c>
      <c r="G1942" s="890" t="s">
        <v>89</v>
      </c>
      <c r="H1942" s="532">
        <v>1417522.703</v>
      </c>
      <c r="I1942" s="532">
        <v>1578479.424</v>
      </c>
      <c r="J1942" s="533">
        <v>1264842.743</v>
      </c>
      <c r="K1942" s="220"/>
      <c r="CE1942" s="525"/>
    </row>
    <row r="1943">
      <c r="A1943" s="219"/>
      <c r="B1943" s="886" t="s">
        <v>511</v>
      </c>
      <c r="C1943" s="887" t="s">
        <v>289</v>
      </c>
      <c r="D1943" s="887" t="s">
        <v>368</v>
      </c>
      <c r="E1943" s="888">
        <v>2019.0</v>
      </c>
      <c r="F1943" s="887" t="s">
        <v>291</v>
      </c>
      <c r="G1943" s="887" t="s">
        <v>89</v>
      </c>
      <c r="H1943" s="547">
        <v>5938180.277</v>
      </c>
      <c r="I1943" s="547">
        <v>6612448.156</v>
      </c>
      <c r="J1943" s="548">
        <v>5298584.788</v>
      </c>
      <c r="K1943" s="220"/>
      <c r="CE1943" s="525"/>
    </row>
    <row r="1944">
      <c r="A1944" s="219"/>
      <c r="B1944" s="889" t="s">
        <v>511</v>
      </c>
      <c r="C1944" s="890" t="s">
        <v>289</v>
      </c>
      <c r="D1944" s="890" t="s">
        <v>373</v>
      </c>
      <c r="E1944" s="891">
        <v>2019.0</v>
      </c>
      <c r="F1944" s="890" t="s">
        <v>291</v>
      </c>
      <c r="G1944" s="890" t="s">
        <v>89</v>
      </c>
      <c r="H1944" s="532">
        <v>1205284.667</v>
      </c>
      <c r="I1944" s="532">
        <v>1342142.205</v>
      </c>
      <c r="J1944" s="533">
        <v>1075464.654</v>
      </c>
      <c r="K1944" s="220"/>
      <c r="CE1944" s="525"/>
    </row>
    <row r="1945">
      <c r="A1945" s="219"/>
      <c r="B1945" s="886" t="s">
        <v>511</v>
      </c>
      <c r="C1945" s="887" t="s">
        <v>289</v>
      </c>
      <c r="D1945" s="887" t="s">
        <v>379</v>
      </c>
      <c r="E1945" s="888">
        <v>2019.0</v>
      </c>
      <c r="F1945" s="887" t="s">
        <v>291</v>
      </c>
      <c r="G1945" s="887" t="s">
        <v>89</v>
      </c>
      <c r="H1945" s="547">
        <v>4247990.048</v>
      </c>
      <c r="I1945" s="547">
        <v>4730640.298</v>
      </c>
      <c r="J1945" s="548">
        <v>3790640.821</v>
      </c>
      <c r="K1945" s="220"/>
      <c r="CE1945" s="525"/>
    </row>
    <row r="1946">
      <c r="A1946" s="219"/>
      <c r="B1946" s="889" t="s">
        <v>511</v>
      </c>
      <c r="C1946" s="890" t="s">
        <v>289</v>
      </c>
      <c r="D1946" s="890" t="s">
        <v>382</v>
      </c>
      <c r="E1946" s="891">
        <v>2019.0</v>
      </c>
      <c r="F1946" s="890" t="s">
        <v>291</v>
      </c>
      <c r="G1946" s="890" t="s">
        <v>89</v>
      </c>
      <c r="H1946" s="532">
        <v>1005215.879</v>
      </c>
      <c r="I1946" s="532">
        <v>1119356.027</v>
      </c>
      <c r="J1946" s="533">
        <v>896945.0767</v>
      </c>
      <c r="K1946" s="220"/>
      <c r="CE1946" s="525"/>
    </row>
    <row r="1947">
      <c r="A1947" s="219"/>
      <c r="B1947" s="886" t="s">
        <v>511</v>
      </c>
      <c r="C1947" s="887" t="s">
        <v>289</v>
      </c>
      <c r="D1947" s="887" t="s">
        <v>387</v>
      </c>
      <c r="E1947" s="888">
        <v>2019.0</v>
      </c>
      <c r="F1947" s="887" t="s">
        <v>291</v>
      </c>
      <c r="G1947" s="887" t="s">
        <v>89</v>
      </c>
      <c r="H1947" s="547">
        <v>825250.4054</v>
      </c>
      <c r="I1947" s="547">
        <v>918955.8529</v>
      </c>
      <c r="J1947" s="548">
        <v>736363.5054</v>
      </c>
      <c r="K1947" s="220"/>
      <c r="CE1947" s="525"/>
    </row>
    <row r="1948">
      <c r="A1948" s="219"/>
      <c r="B1948" s="889" t="s">
        <v>511</v>
      </c>
      <c r="C1948" s="890" t="s">
        <v>289</v>
      </c>
      <c r="D1948" s="890" t="s">
        <v>392</v>
      </c>
      <c r="E1948" s="891">
        <v>2019.0</v>
      </c>
      <c r="F1948" s="890" t="s">
        <v>291</v>
      </c>
      <c r="G1948" s="890" t="s">
        <v>89</v>
      </c>
      <c r="H1948" s="532">
        <v>671353.8826</v>
      </c>
      <c r="I1948" s="532">
        <v>747584.7036</v>
      </c>
      <c r="J1948" s="533">
        <v>599043.0239</v>
      </c>
      <c r="K1948" s="220"/>
      <c r="CE1948" s="525"/>
    </row>
    <row r="1949">
      <c r="A1949" s="219"/>
      <c r="B1949" s="886" t="s">
        <v>511</v>
      </c>
      <c r="C1949" s="887" t="s">
        <v>289</v>
      </c>
      <c r="D1949" s="887" t="s">
        <v>398</v>
      </c>
      <c r="E1949" s="888">
        <v>2019.0</v>
      </c>
      <c r="F1949" s="887" t="s">
        <v>291</v>
      </c>
      <c r="G1949" s="887" t="s">
        <v>89</v>
      </c>
      <c r="H1949" s="547">
        <v>541116.048</v>
      </c>
      <c r="I1949" s="547">
        <v>602558.6369</v>
      </c>
      <c r="J1949" s="548">
        <v>482832.9769</v>
      </c>
      <c r="K1949" s="220"/>
      <c r="CE1949" s="525"/>
    </row>
    <row r="1950">
      <c r="A1950" s="219"/>
      <c r="B1950" s="889" t="s">
        <v>511</v>
      </c>
      <c r="C1950" s="890" t="s">
        <v>289</v>
      </c>
      <c r="D1950" s="890" t="s">
        <v>402</v>
      </c>
      <c r="E1950" s="891">
        <v>2019.0</v>
      </c>
      <c r="F1950" s="890" t="s">
        <v>291</v>
      </c>
      <c r="G1950" s="890" t="s">
        <v>89</v>
      </c>
      <c r="H1950" s="532">
        <v>5627451.545</v>
      </c>
      <c r="I1950" s="532">
        <v>6266834.138</v>
      </c>
      <c r="J1950" s="533">
        <v>5021586.046</v>
      </c>
      <c r="K1950" s="220"/>
      <c r="CE1950" s="525"/>
    </row>
    <row r="1951">
      <c r="A1951" s="219"/>
      <c r="B1951" s="886" t="s">
        <v>511</v>
      </c>
      <c r="C1951" s="887" t="s">
        <v>289</v>
      </c>
      <c r="D1951" s="887" t="s">
        <v>407</v>
      </c>
      <c r="E1951" s="888">
        <v>2019.0</v>
      </c>
      <c r="F1951" s="887" t="s">
        <v>291</v>
      </c>
      <c r="G1951" s="887" t="s">
        <v>89</v>
      </c>
      <c r="H1951" s="547">
        <v>2044347.691</v>
      </c>
      <c r="I1951" s="547">
        <v>2276479.071</v>
      </c>
      <c r="J1951" s="548">
        <v>1824153.035</v>
      </c>
      <c r="K1951" s="220"/>
      <c r="CE1951" s="525"/>
    </row>
    <row r="1952">
      <c r="A1952" s="219"/>
      <c r="B1952" s="889" t="s">
        <v>511</v>
      </c>
      <c r="C1952" s="890" t="s">
        <v>289</v>
      </c>
      <c r="D1952" s="890" t="s">
        <v>414</v>
      </c>
      <c r="E1952" s="891">
        <v>2019.0</v>
      </c>
      <c r="F1952" s="890" t="s">
        <v>291</v>
      </c>
      <c r="G1952" s="890" t="s">
        <v>89</v>
      </c>
      <c r="H1952" s="532">
        <v>450086.953</v>
      </c>
      <c r="I1952" s="532">
        <v>501193.3797</v>
      </c>
      <c r="J1952" s="533">
        <v>401608.5352</v>
      </c>
      <c r="K1952" s="220"/>
      <c r="CE1952" s="525"/>
    </row>
    <row r="1953">
      <c r="A1953" s="219"/>
      <c r="B1953" s="886" t="s">
        <v>511</v>
      </c>
      <c r="C1953" s="887" t="s">
        <v>289</v>
      </c>
      <c r="D1953" s="887" t="s">
        <v>417</v>
      </c>
      <c r="E1953" s="888">
        <v>2019.0</v>
      </c>
      <c r="F1953" s="887" t="s">
        <v>291</v>
      </c>
      <c r="G1953" s="887" t="s">
        <v>89</v>
      </c>
      <c r="H1953" s="547">
        <v>1343856.161</v>
      </c>
      <c r="I1953" s="547">
        <v>1496448.201</v>
      </c>
      <c r="J1953" s="548">
        <v>1199110.751</v>
      </c>
      <c r="K1953" s="220"/>
      <c r="CE1953" s="525"/>
    </row>
    <row r="1954">
      <c r="A1954" s="219"/>
      <c r="B1954" s="889" t="s">
        <v>511</v>
      </c>
      <c r="C1954" s="890" t="s">
        <v>289</v>
      </c>
      <c r="D1954" s="890" t="s">
        <v>300</v>
      </c>
      <c r="E1954" s="891">
        <v>2019.0</v>
      </c>
      <c r="F1954" s="890" t="s">
        <v>291</v>
      </c>
      <c r="G1954" s="890" t="s">
        <v>89</v>
      </c>
      <c r="H1954" s="532">
        <v>3951441.308</v>
      </c>
      <c r="I1954" s="532">
        <v>4400119.156</v>
      </c>
      <c r="J1954" s="533">
        <v>3525835.496</v>
      </c>
      <c r="K1954" s="220"/>
      <c r="CE1954" s="525"/>
    </row>
    <row r="1955">
      <c r="A1955" s="219"/>
      <c r="B1955" s="886" t="s">
        <v>511</v>
      </c>
      <c r="C1955" s="887" t="s">
        <v>289</v>
      </c>
      <c r="D1955" s="887" t="s">
        <v>429</v>
      </c>
      <c r="E1955" s="888">
        <v>2019.0</v>
      </c>
      <c r="F1955" s="887" t="s">
        <v>291</v>
      </c>
      <c r="G1955" s="887" t="s">
        <v>89</v>
      </c>
      <c r="H1955" s="547">
        <v>1239805.073</v>
      </c>
      <c r="I1955" s="547">
        <v>1380669.863</v>
      </c>
      <c r="J1955" s="548">
        <v>1106324.56</v>
      </c>
      <c r="K1955" s="220"/>
      <c r="CE1955" s="525"/>
    </row>
    <row r="1956">
      <c r="A1956" s="219"/>
      <c r="B1956" s="889" t="s">
        <v>511</v>
      </c>
      <c r="C1956" s="890" t="s">
        <v>289</v>
      </c>
      <c r="D1956" s="890" t="s">
        <v>432</v>
      </c>
      <c r="E1956" s="891">
        <v>2019.0</v>
      </c>
      <c r="F1956" s="890" t="s">
        <v>291</v>
      </c>
      <c r="G1956" s="890" t="s">
        <v>89</v>
      </c>
      <c r="H1956" s="532">
        <v>379048.9384</v>
      </c>
      <c r="I1956" s="532">
        <v>422089.1479</v>
      </c>
      <c r="J1956" s="533">
        <v>338221.9544</v>
      </c>
      <c r="K1956" s="220"/>
      <c r="CE1956" s="525"/>
    </row>
    <row r="1957">
      <c r="A1957" s="219"/>
      <c r="B1957" s="886" t="s">
        <v>511</v>
      </c>
      <c r="C1957" s="887" t="s">
        <v>289</v>
      </c>
      <c r="D1957" s="887" t="s">
        <v>435</v>
      </c>
      <c r="E1957" s="888">
        <v>2019.0</v>
      </c>
      <c r="F1957" s="887" t="s">
        <v>291</v>
      </c>
      <c r="G1957" s="887" t="s">
        <v>89</v>
      </c>
      <c r="H1957" s="547">
        <v>297274.9635</v>
      </c>
      <c r="I1957" s="547">
        <v>331029.9102</v>
      </c>
      <c r="J1957" s="548">
        <v>265255.773</v>
      </c>
      <c r="K1957" s="220"/>
      <c r="CE1957" s="525"/>
    </row>
    <row r="1958">
      <c r="A1958" s="219"/>
      <c r="B1958" s="889" t="s">
        <v>511</v>
      </c>
      <c r="C1958" s="890" t="s">
        <v>289</v>
      </c>
      <c r="D1958" s="890" t="s">
        <v>442</v>
      </c>
      <c r="E1958" s="891">
        <v>2019.0</v>
      </c>
      <c r="F1958" s="890" t="s">
        <v>291</v>
      </c>
      <c r="G1958" s="890" t="s">
        <v>89</v>
      </c>
      <c r="H1958" s="532">
        <v>217445.3059</v>
      </c>
      <c r="I1958" s="532">
        <v>242135.7629</v>
      </c>
      <c r="J1958" s="533">
        <v>194024.4883</v>
      </c>
      <c r="K1958" s="220"/>
      <c r="CE1958" s="525"/>
    </row>
    <row r="1959">
      <c r="A1959" s="219"/>
      <c r="B1959" s="886" t="s">
        <v>511</v>
      </c>
      <c r="C1959" s="887" t="s">
        <v>289</v>
      </c>
      <c r="D1959" s="887" t="s">
        <v>445</v>
      </c>
      <c r="E1959" s="888">
        <v>2019.0</v>
      </c>
      <c r="F1959" s="887" t="s">
        <v>291</v>
      </c>
      <c r="G1959" s="887" t="s">
        <v>89</v>
      </c>
      <c r="H1959" s="547">
        <v>369668.0553</v>
      </c>
      <c r="I1959" s="547">
        <v>411669.1845</v>
      </c>
      <c r="J1959" s="548">
        <v>329868.6684</v>
      </c>
      <c r="K1959" s="220"/>
      <c r="CE1959" s="525"/>
    </row>
    <row r="1960">
      <c r="A1960" s="219"/>
      <c r="B1960" s="889" t="s">
        <v>511</v>
      </c>
      <c r="C1960" s="890" t="s">
        <v>289</v>
      </c>
      <c r="D1960" s="890" t="s">
        <v>450</v>
      </c>
      <c r="E1960" s="891">
        <v>2019.0</v>
      </c>
      <c r="F1960" s="890" t="s">
        <v>291</v>
      </c>
      <c r="G1960" s="890" t="s">
        <v>89</v>
      </c>
      <c r="H1960" s="532">
        <v>152242.8369</v>
      </c>
      <c r="I1960" s="532">
        <v>169529.6908</v>
      </c>
      <c r="J1960" s="533">
        <v>135844.9125</v>
      </c>
      <c r="K1960" s="220"/>
      <c r="CE1960" s="525"/>
    </row>
    <row r="1961">
      <c r="A1961" s="219"/>
      <c r="B1961" s="886" t="s">
        <v>511</v>
      </c>
      <c r="C1961" s="887" t="s">
        <v>289</v>
      </c>
      <c r="D1961" s="887" t="s">
        <v>457</v>
      </c>
      <c r="E1961" s="888">
        <v>2019.0</v>
      </c>
      <c r="F1961" s="887" t="s">
        <v>291</v>
      </c>
      <c r="G1961" s="887" t="s">
        <v>89</v>
      </c>
      <c r="H1961" s="547">
        <v>346103.2352</v>
      </c>
      <c r="I1961" s="547">
        <v>385402.5295</v>
      </c>
      <c r="J1961" s="548">
        <v>308824.8001</v>
      </c>
      <c r="K1961" s="220"/>
      <c r="CE1961" s="525"/>
    </row>
    <row r="1962">
      <c r="A1962" s="219"/>
      <c r="B1962" s="889" t="s">
        <v>511</v>
      </c>
      <c r="C1962" s="890" t="s">
        <v>289</v>
      </c>
      <c r="D1962" s="890" t="s">
        <v>463</v>
      </c>
      <c r="E1962" s="891">
        <v>2019.0</v>
      </c>
      <c r="F1962" s="890" t="s">
        <v>291</v>
      </c>
      <c r="G1962" s="890" t="s">
        <v>89</v>
      </c>
      <c r="H1962" s="532">
        <v>193849.8646</v>
      </c>
      <c r="I1962" s="532">
        <v>215874.7951</v>
      </c>
      <c r="J1962" s="533">
        <v>172979.5036</v>
      </c>
      <c r="K1962" s="220"/>
      <c r="CE1962" s="525"/>
    </row>
    <row r="1963">
      <c r="A1963" s="219"/>
      <c r="B1963" s="886" t="s">
        <v>511</v>
      </c>
      <c r="C1963" s="887" t="s">
        <v>289</v>
      </c>
      <c r="D1963" s="887" t="s">
        <v>467</v>
      </c>
      <c r="E1963" s="888">
        <v>2019.0</v>
      </c>
      <c r="F1963" s="887" t="s">
        <v>291</v>
      </c>
      <c r="G1963" s="887" t="s">
        <v>89</v>
      </c>
      <c r="H1963" s="547">
        <v>98743.3736</v>
      </c>
      <c r="I1963" s="547">
        <v>109955.4759</v>
      </c>
      <c r="J1963" s="548">
        <v>88107.82308</v>
      </c>
      <c r="K1963" s="220"/>
      <c r="CE1963" s="525"/>
    </row>
    <row r="1964">
      <c r="A1964" s="219"/>
      <c r="B1964" s="889" t="s">
        <v>511</v>
      </c>
      <c r="C1964" s="890" t="s">
        <v>289</v>
      </c>
      <c r="D1964" s="890" t="s">
        <v>473</v>
      </c>
      <c r="E1964" s="891">
        <v>2019.0</v>
      </c>
      <c r="F1964" s="890" t="s">
        <v>291</v>
      </c>
      <c r="G1964" s="890" t="s">
        <v>89</v>
      </c>
      <c r="H1964" s="532">
        <v>156603.0024</v>
      </c>
      <c r="I1964" s="532">
        <v>174396.0003</v>
      </c>
      <c r="J1964" s="533">
        <v>139742.7317</v>
      </c>
      <c r="K1964" s="220"/>
      <c r="CE1964" s="525"/>
    </row>
    <row r="1965">
      <c r="A1965" s="219"/>
      <c r="B1965" s="886" t="s">
        <v>511</v>
      </c>
      <c r="C1965" s="887" t="s">
        <v>289</v>
      </c>
      <c r="D1965" s="887" t="s">
        <v>477</v>
      </c>
      <c r="E1965" s="888">
        <v>2019.0</v>
      </c>
      <c r="F1965" s="887" t="s">
        <v>291</v>
      </c>
      <c r="G1965" s="887" t="s">
        <v>89</v>
      </c>
      <c r="H1965" s="547">
        <v>95117.0247</v>
      </c>
      <c r="I1965" s="547">
        <v>105917.3628</v>
      </c>
      <c r="J1965" s="548">
        <v>84872.06461</v>
      </c>
      <c r="K1965" s="220"/>
      <c r="CE1965" s="525"/>
    </row>
    <row r="1966">
      <c r="A1966" s="219"/>
      <c r="B1966" s="889" t="s">
        <v>511</v>
      </c>
      <c r="C1966" s="890" t="s">
        <v>289</v>
      </c>
      <c r="D1966" s="890" t="s">
        <v>483</v>
      </c>
      <c r="E1966" s="891">
        <v>2019.0</v>
      </c>
      <c r="F1966" s="890" t="s">
        <v>291</v>
      </c>
      <c r="G1966" s="890" t="s">
        <v>89</v>
      </c>
      <c r="H1966" s="532">
        <v>57868.1385</v>
      </c>
      <c r="I1966" s="532">
        <v>64438.94389</v>
      </c>
      <c r="J1966" s="533">
        <v>51635.21888</v>
      </c>
      <c r="K1966" s="220"/>
      <c r="CE1966" s="525"/>
    </row>
    <row r="1967">
      <c r="A1967" s="219"/>
      <c r="B1967" s="886" t="s">
        <v>511</v>
      </c>
      <c r="C1967" s="887" t="s">
        <v>289</v>
      </c>
      <c r="D1967" s="887" t="s">
        <v>489</v>
      </c>
      <c r="E1967" s="888">
        <v>2019.0</v>
      </c>
      <c r="F1967" s="887" t="s">
        <v>291</v>
      </c>
      <c r="G1967" s="887" t="s">
        <v>89</v>
      </c>
      <c r="H1967" s="547">
        <v>37246.86222</v>
      </c>
      <c r="I1967" s="547">
        <v>41478.79477</v>
      </c>
      <c r="J1967" s="548">
        <v>33236.77194</v>
      </c>
      <c r="K1967" s="220"/>
      <c r="CE1967" s="525"/>
    </row>
    <row r="1968">
      <c r="A1968" s="219"/>
      <c r="B1968" s="889" t="s">
        <v>511</v>
      </c>
      <c r="C1968" s="890" t="s">
        <v>289</v>
      </c>
      <c r="D1968" s="890" t="s">
        <v>493</v>
      </c>
      <c r="E1968" s="891">
        <v>2019.0</v>
      </c>
      <c r="F1968" s="890" t="s">
        <v>291</v>
      </c>
      <c r="G1968" s="890" t="s">
        <v>89</v>
      </c>
      <c r="H1968" s="532">
        <v>26262.20124</v>
      </c>
      <c r="I1968" s="532">
        <v>29244.21895</v>
      </c>
      <c r="J1968" s="533">
        <v>23433.52568</v>
      </c>
      <c r="K1968" s="220"/>
      <c r="CE1968" s="525"/>
    </row>
    <row r="1969">
      <c r="A1969" s="219"/>
      <c r="B1969" s="886" t="s">
        <v>511</v>
      </c>
      <c r="C1969" s="887" t="s">
        <v>289</v>
      </c>
      <c r="D1969" s="887" t="s">
        <v>496</v>
      </c>
      <c r="E1969" s="888">
        <v>2019.0</v>
      </c>
      <c r="F1969" s="887" t="s">
        <v>291</v>
      </c>
      <c r="G1969" s="887" t="s">
        <v>89</v>
      </c>
      <c r="H1969" s="547">
        <v>8903.574523</v>
      </c>
      <c r="I1969" s="547">
        <v>9914.55668</v>
      </c>
      <c r="J1969" s="548">
        <v>7944.57937</v>
      </c>
      <c r="K1969" s="220"/>
      <c r="CE1969" s="525"/>
    </row>
    <row r="1970">
      <c r="A1970" s="219"/>
      <c r="B1970" s="889" t="s">
        <v>511</v>
      </c>
      <c r="C1970" s="890" t="s">
        <v>289</v>
      </c>
      <c r="D1970" s="890" t="s">
        <v>502</v>
      </c>
      <c r="E1970" s="891">
        <v>2019.0</v>
      </c>
      <c r="F1970" s="890" t="s">
        <v>291</v>
      </c>
      <c r="G1970" s="890" t="s">
        <v>89</v>
      </c>
      <c r="H1970" s="532">
        <v>2083.11043</v>
      </c>
      <c r="I1970" s="532">
        <v>2319.643237</v>
      </c>
      <c r="J1970" s="533">
        <v>1858.740678</v>
      </c>
      <c r="K1970" s="220"/>
      <c r="CE1970" s="525"/>
    </row>
    <row r="1971">
      <c r="A1971" s="219"/>
      <c r="B1971" s="886" t="s">
        <v>511</v>
      </c>
      <c r="C1971" s="887" t="s">
        <v>289</v>
      </c>
      <c r="D1971" s="887" t="s">
        <v>332</v>
      </c>
      <c r="E1971" s="888">
        <v>2019.0</v>
      </c>
      <c r="F1971" s="887" t="s">
        <v>291</v>
      </c>
      <c r="G1971" s="887" t="s">
        <v>89</v>
      </c>
      <c r="H1971" s="547">
        <v>1.513406715E7</v>
      </c>
      <c r="I1971" s="547">
        <v>1.685250863E7</v>
      </c>
      <c r="J1971" s="548">
        <v>1.350399183E7</v>
      </c>
      <c r="K1971" s="220"/>
      <c r="CE1971" s="525"/>
    </row>
    <row r="1972">
      <c r="A1972" s="219"/>
      <c r="B1972" s="889" t="s">
        <v>511</v>
      </c>
      <c r="C1972" s="890" t="s">
        <v>289</v>
      </c>
      <c r="D1972" s="890" t="s">
        <v>510</v>
      </c>
      <c r="E1972" s="891">
        <v>2019.0</v>
      </c>
      <c r="F1972" s="890" t="s">
        <v>291</v>
      </c>
      <c r="G1972" s="890" t="s">
        <v>89</v>
      </c>
      <c r="H1972" s="532">
        <v>466541.4073</v>
      </c>
      <c r="I1972" s="532">
        <v>510213.174</v>
      </c>
      <c r="J1972" s="533">
        <v>430435.1005</v>
      </c>
      <c r="K1972" s="220"/>
      <c r="CE1972" s="525"/>
    </row>
    <row r="1973">
      <c r="A1973" s="219"/>
      <c r="B1973" s="886" t="s">
        <v>511</v>
      </c>
      <c r="C1973" s="887" t="s">
        <v>289</v>
      </c>
      <c r="D1973" s="887" t="s">
        <v>512</v>
      </c>
      <c r="E1973" s="888">
        <v>2019.0</v>
      </c>
      <c r="F1973" s="887" t="s">
        <v>291</v>
      </c>
      <c r="G1973" s="887" t="s">
        <v>89</v>
      </c>
      <c r="H1973" s="547">
        <v>8818.390813</v>
      </c>
      <c r="I1973" s="547">
        <v>9819.700539</v>
      </c>
      <c r="J1973" s="548">
        <v>7868.570713</v>
      </c>
      <c r="K1973" s="220"/>
      <c r="CE1973" s="525"/>
    </row>
    <row r="1974">
      <c r="A1974" s="219"/>
      <c r="B1974" s="889" t="s">
        <v>511</v>
      </c>
      <c r="C1974" s="890" t="s">
        <v>289</v>
      </c>
      <c r="D1974" s="890" t="s">
        <v>515</v>
      </c>
      <c r="E1974" s="891">
        <v>2019.0</v>
      </c>
      <c r="F1974" s="890" t="s">
        <v>291</v>
      </c>
      <c r="G1974" s="890" t="s">
        <v>89</v>
      </c>
      <c r="H1974" s="532">
        <v>26101.18872</v>
      </c>
      <c r="I1974" s="532">
        <v>29064.92379</v>
      </c>
      <c r="J1974" s="533">
        <v>23289.85565</v>
      </c>
      <c r="K1974" s="220"/>
      <c r="CE1974" s="525"/>
    </row>
    <row r="1975">
      <c r="A1975" s="219"/>
      <c r="B1975" s="886" t="s">
        <v>511</v>
      </c>
      <c r="C1975" s="887" t="s">
        <v>289</v>
      </c>
      <c r="D1975" s="887" t="s">
        <v>518</v>
      </c>
      <c r="E1975" s="888">
        <v>2019.0</v>
      </c>
      <c r="F1975" s="887" t="s">
        <v>291</v>
      </c>
      <c r="G1975" s="887" t="s">
        <v>89</v>
      </c>
      <c r="H1975" s="547">
        <v>34919.57953</v>
      </c>
      <c r="I1975" s="547">
        <v>38884.62433</v>
      </c>
      <c r="J1975" s="548">
        <v>31158.42636</v>
      </c>
      <c r="K1975" s="220"/>
      <c r="CE1975" s="525"/>
    </row>
    <row r="1976">
      <c r="A1976" s="219"/>
      <c r="B1976" s="889" t="s">
        <v>511</v>
      </c>
      <c r="C1976" s="890" t="s">
        <v>289</v>
      </c>
      <c r="D1976" s="890" t="s">
        <v>522</v>
      </c>
      <c r="E1976" s="891">
        <v>2019.0</v>
      </c>
      <c r="F1976" s="890" t="s">
        <v>291</v>
      </c>
      <c r="G1976" s="890" t="s">
        <v>89</v>
      </c>
      <c r="H1976" s="532">
        <v>410947.141</v>
      </c>
      <c r="I1976" s="532">
        <v>457609.3244</v>
      </c>
      <c r="J1976" s="533">
        <v>366684.4333</v>
      </c>
      <c r="K1976" s="220"/>
      <c r="CE1976" s="525"/>
    </row>
    <row r="1977">
      <c r="A1977" s="219"/>
      <c r="B1977" s="886" t="s">
        <v>511</v>
      </c>
      <c r="C1977" s="887" t="s">
        <v>289</v>
      </c>
      <c r="D1977" s="887" t="s">
        <v>302</v>
      </c>
      <c r="E1977" s="888">
        <v>2019.0</v>
      </c>
      <c r="F1977" s="887" t="s">
        <v>291</v>
      </c>
      <c r="G1977" s="887" t="s">
        <v>89</v>
      </c>
      <c r="H1977" s="547">
        <v>2150606.828</v>
      </c>
      <c r="I1977" s="547">
        <v>2394803.709</v>
      </c>
      <c r="J1977" s="548">
        <v>1918967.106</v>
      </c>
      <c r="K1977" s="220"/>
      <c r="CE1977" s="525"/>
    </row>
    <row r="1978">
      <c r="A1978" s="219"/>
      <c r="B1978" s="889" t="s">
        <v>514</v>
      </c>
      <c r="C1978" s="890" t="s">
        <v>289</v>
      </c>
      <c r="D1978" s="890" t="s">
        <v>290</v>
      </c>
      <c r="E1978" s="891">
        <v>2019.0</v>
      </c>
      <c r="F1978" s="890" t="s">
        <v>291</v>
      </c>
      <c r="G1978" s="890" t="s">
        <v>89</v>
      </c>
      <c r="H1978" s="532">
        <v>263101.6554</v>
      </c>
      <c r="I1978" s="532">
        <v>288363.4003</v>
      </c>
      <c r="J1978" s="533">
        <v>239016.6528</v>
      </c>
      <c r="K1978" s="220"/>
      <c r="CE1978" s="525"/>
    </row>
    <row r="1979">
      <c r="A1979" s="219"/>
      <c r="B1979" s="886" t="s">
        <v>514</v>
      </c>
      <c r="C1979" s="887" t="s">
        <v>289</v>
      </c>
      <c r="D1979" s="887" t="s">
        <v>310</v>
      </c>
      <c r="E1979" s="888">
        <v>2019.0</v>
      </c>
      <c r="F1979" s="887" t="s">
        <v>291</v>
      </c>
      <c r="G1979" s="887" t="s">
        <v>89</v>
      </c>
      <c r="H1979" s="547">
        <v>4269474.694</v>
      </c>
      <c r="I1979" s="547">
        <v>4679408.947</v>
      </c>
      <c r="J1979" s="548">
        <v>3878635.994</v>
      </c>
      <c r="K1979" s="220"/>
      <c r="CE1979" s="525"/>
    </row>
    <row r="1980">
      <c r="A1980" s="219"/>
      <c r="B1980" s="889" t="s">
        <v>514</v>
      </c>
      <c r="C1980" s="890" t="s">
        <v>289</v>
      </c>
      <c r="D1980" s="890" t="s">
        <v>318</v>
      </c>
      <c r="E1980" s="891">
        <v>2019.0</v>
      </c>
      <c r="F1980" s="890" t="s">
        <v>291</v>
      </c>
      <c r="G1980" s="890" t="s">
        <v>89</v>
      </c>
      <c r="H1980" s="532">
        <v>3341378.432</v>
      </c>
      <c r="I1980" s="532">
        <v>3662201.384</v>
      </c>
      <c r="J1980" s="533">
        <v>3035500.052</v>
      </c>
      <c r="K1980" s="220"/>
      <c r="CE1980" s="525"/>
    </row>
    <row r="1981">
      <c r="A1981" s="219"/>
      <c r="B1981" s="886" t="s">
        <v>514</v>
      </c>
      <c r="C1981" s="887" t="s">
        <v>289</v>
      </c>
      <c r="D1981" s="887" t="s">
        <v>309</v>
      </c>
      <c r="E1981" s="888">
        <v>2019.0</v>
      </c>
      <c r="F1981" s="887" t="s">
        <v>291</v>
      </c>
      <c r="G1981" s="887" t="s">
        <v>89</v>
      </c>
      <c r="H1981" s="547">
        <v>966556.4304</v>
      </c>
      <c r="I1981" s="547">
        <v>1059360.491</v>
      </c>
      <c r="J1981" s="548">
        <v>878075.3675</v>
      </c>
      <c r="K1981" s="220"/>
      <c r="CE1981" s="525"/>
    </row>
    <row r="1982">
      <c r="A1982" s="219"/>
      <c r="B1982" s="889" t="s">
        <v>514</v>
      </c>
      <c r="C1982" s="890" t="s">
        <v>289</v>
      </c>
      <c r="D1982" s="890" t="s">
        <v>334</v>
      </c>
      <c r="E1982" s="891">
        <v>2019.0</v>
      </c>
      <c r="F1982" s="890" t="s">
        <v>291</v>
      </c>
      <c r="G1982" s="890" t="s">
        <v>89</v>
      </c>
      <c r="H1982" s="532">
        <v>1005724.469</v>
      </c>
      <c r="I1982" s="532">
        <v>1102289.255</v>
      </c>
      <c r="J1982" s="533">
        <v>913657.863</v>
      </c>
      <c r="K1982" s="220"/>
      <c r="CE1982" s="525"/>
    </row>
    <row r="1983">
      <c r="A1983" s="219"/>
      <c r="B1983" s="886" t="s">
        <v>514</v>
      </c>
      <c r="C1983" s="887" t="s">
        <v>289</v>
      </c>
      <c r="D1983" s="887" t="s">
        <v>339</v>
      </c>
      <c r="E1983" s="888">
        <v>2019.0</v>
      </c>
      <c r="F1983" s="887" t="s">
        <v>291</v>
      </c>
      <c r="G1983" s="887" t="s">
        <v>89</v>
      </c>
      <c r="H1983" s="547">
        <v>1933820.731</v>
      </c>
      <c r="I1983" s="547">
        <v>2119496.818</v>
      </c>
      <c r="J1983" s="548">
        <v>1756793.805</v>
      </c>
      <c r="K1983" s="220"/>
      <c r="CE1983" s="525"/>
    </row>
    <row r="1984">
      <c r="A1984" s="219"/>
      <c r="B1984" s="889" t="s">
        <v>514</v>
      </c>
      <c r="C1984" s="890" t="s">
        <v>289</v>
      </c>
      <c r="D1984" s="890" t="s">
        <v>344</v>
      </c>
      <c r="E1984" s="891">
        <v>2019.0</v>
      </c>
      <c r="F1984" s="890" t="s">
        <v>291</v>
      </c>
      <c r="G1984" s="890" t="s">
        <v>89</v>
      </c>
      <c r="H1984" s="532">
        <v>2749838.806</v>
      </c>
      <c r="I1984" s="532">
        <v>3013864.991</v>
      </c>
      <c r="J1984" s="533">
        <v>2498111.485</v>
      </c>
      <c r="K1984" s="220"/>
      <c r="CE1984" s="525"/>
    </row>
    <row r="1985">
      <c r="A1985" s="219"/>
      <c r="B1985" s="886" t="s">
        <v>514</v>
      </c>
      <c r="C1985" s="887" t="s">
        <v>289</v>
      </c>
      <c r="D1985" s="887" t="s">
        <v>349</v>
      </c>
      <c r="E1985" s="888">
        <v>2019.0</v>
      </c>
      <c r="F1985" s="887" t="s">
        <v>291</v>
      </c>
      <c r="G1985" s="887" t="s">
        <v>89</v>
      </c>
      <c r="H1985" s="547">
        <v>928096.2617</v>
      </c>
      <c r="I1985" s="547">
        <v>1017207.564</v>
      </c>
      <c r="J1985" s="548">
        <v>843135.9416</v>
      </c>
      <c r="K1985" s="220"/>
      <c r="CE1985" s="525"/>
    </row>
    <row r="1986">
      <c r="A1986" s="219"/>
      <c r="B1986" s="889" t="s">
        <v>514</v>
      </c>
      <c r="C1986" s="890" t="s">
        <v>289</v>
      </c>
      <c r="D1986" s="890" t="s">
        <v>355</v>
      </c>
      <c r="E1986" s="891">
        <v>2019.0</v>
      </c>
      <c r="F1986" s="890" t="s">
        <v>291</v>
      </c>
      <c r="G1986" s="890" t="s">
        <v>89</v>
      </c>
      <c r="H1986" s="532">
        <v>3496311.801</v>
      </c>
      <c r="I1986" s="532">
        <v>3832104.092</v>
      </c>
      <c r="J1986" s="533">
        <v>3176228.41</v>
      </c>
      <c r="K1986" s="220"/>
      <c r="CE1986" s="525"/>
    </row>
    <row r="1987">
      <c r="A1987" s="219"/>
      <c r="B1987" s="886" t="s">
        <v>514</v>
      </c>
      <c r="C1987" s="887" t="s">
        <v>289</v>
      </c>
      <c r="D1987" s="887" t="s">
        <v>358</v>
      </c>
      <c r="E1987" s="888">
        <v>2019.0</v>
      </c>
      <c r="F1987" s="887" t="s">
        <v>291</v>
      </c>
      <c r="G1987" s="887" t="s">
        <v>89</v>
      </c>
      <c r="H1987" s="547">
        <v>4154482.986</v>
      </c>
      <c r="I1987" s="547">
        <v>4553376.293</v>
      </c>
      <c r="J1987" s="548">
        <v>3774170.923</v>
      </c>
      <c r="K1987" s="220"/>
      <c r="CE1987" s="525"/>
    </row>
    <row r="1988">
      <c r="A1988" s="219"/>
      <c r="B1988" s="889" t="s">
        <v>514</v>
      </c>
      <c r="C1988" s="890" t="s">
        <v>289</v>
      </c>
      <c r="D1988" s="890" t="s">
        <v>362</v>
      </c>
      <c r="E1988" s="891">
        <v>2019.0</v>
      </c>
      <c r="F1988" s="890" t="s">
        <v>291</v>
      </c>
      <c r="G1988" s="890" t="s">
        <v>89</v>
      </c>
      <c r="H1988" s="532">
        <v>4015275.754</v>
      </c>
      <c r="I1988" s="532">
        <v>4400910.308</v>
      </c>
      <c r="J1988" s="533">
        <v>3647681.799</v>
      </c>
      <c r="K1988" s="220"/>
      <c r="CE1988" s="525"/>
    </row>
    <row r="1989">
      <c r="A1989" s="219"/>
      <c r="B1989" s="886" t="s">
        <v>514</v>
      </c>
      <c r="C1989" s="887" t="s">
        <v>289</v>
      </c>
      <c r="D1989" s="887" t="s">
        <v>366</v>
      </c>
      <c r="E1989" s="888">
        <v>2019.0</v>
      </c>
      <c r="F1989" s="887" t="s">
        <v>291</v>
      </c>
      <c r="G1989" s="887" t="s">
        <v>89</v>
      </c>
      <c r="H1989" s="547">
        <v>816018.0749</v>
      </c>
      <c r="I1989" s="547">
        <v>894368.1728</v>
      </c>
      <c r="J1989" s="548">
        <v>741317.6804</v>
      </c>
      <c r="K1989" s="220"/>
      <c r="CE1989" s="525"/>
    </row>
    <row r="1990">
      <c r="A1990" s="219"/>
      <c r="B1990" s="889" t="s">
        <v>514</v>
      </c>
      <c r="C1990" s="890" t="s">
        <v>289</v>
      </c>
      <c r="D1990" s="890" t="s">
        <v>368</v>
      </c>
      <c r="E1990" s="891">
        <v>2019.0</v>
      </c>
      <c r="F1990" s="890" t="s">
        <v>291</v>
      </c>
      <c r="G1990" s="890" t="s">
        <v>89</v>
      </c>
      <c r="H1990" s="532">
        <v>3199262.707</v>
      </c>
      <c r="I1990" s="532">
        <v>3506440.396</v>
      </c>
      <c r="J1990" s="533">
        <v>2906393.966</v>
      </c>
      <c r="K1990" s="220"/>
      <c r="CE1990" s="525"/>
    </row>
    <row r="1991">
      <c r="A1991" s="219"/>
      <c r="B1991" s="886" t="s">
        <v>514</v>
      </c>
      <c r="C1991" s="887" t="s">
        <v>289</v>
      </c>
      <c r="D1991" s="887" t="s">
        <v>373</v>
      </c>
      <c r="E1991" s="888">
        <v>2019.0</v>
      </c>
      <c r="F1991" s="887" t="s">
        <v>291</v>
      </c>
      <c r="G1991" s="887" t="s">
        <v>89</v>
      </c>
      <c r="H1991" s="547">
        <v>705187.6677</v>
      </c>
      <c r="I1991" s="547">
        <v>772896.3674</v>
      </c>
      <c r="J1991" s="548">
        <v>640632.9739</v>
      </c>
      <c r="K1991" s="220"/>
      <c r="CE1991" s="525"/>
    </row>
    <row r="1992">
      <c r="A1992" s="219"/>
      <c r="B1992" s="889" t="s">
        <v>514</v>
      </c>
      <c r="C1992" s="890" t="s">
        <v>289</v>
      </c>
      <c r="D1992" s="890" t="s">
        <v>379</v>
      </c>
      <c r="E1992" s="891">
        <v>2019.0</v>
      </c>
      <c r="F1992" s="890" t="s">
        <v>291</v>
      </c>
      <c r="G1992" s="890" t="s">
        <v>89</v>
      </c>
      <c r="H1992" s="532">
        <v>2410365.631</v>
      </c>
      <c r="I1992" s="532">
        <v>2641861.631</v>
      </c>
      <c r="J1992" s="533">
        <v>2189699.383</v>
      </c>
      <c r="K1992" s="220"/>
      <c r="CE1992" s="525"/>
    </row>
    <row r="1993">
      <c r="A1993" s="219"/>
      <c r="B1993" s="886" t="s">
        <v>514</v>
      </c>
      <c r="C1993" s="887" t="s">
        <v>289</v>
      </c>
      <c r="D1993" s="887" t="s">
        <v>382</v>
      </c>
      <c r="E1993" s="888">
        <v>2019.0</v>
      </c>
      <c r="F1993" s="887" t="s">
        <v>291</v>
      </c>
      <c r="G1993" s="887" t="s">
        <v>89</v>
      </c>
      <c r="H1993" s="547">
        <v>586854.9724</v>
      </c>
      <c r="I1993" s="547">
        <v>643201.9406</v>
      </c>
      <c r="J1993" s="548">
        <v>533132.758</v>
      </c>
      <c r="K1993" s="220"/>
      <c r="CE1993" s="525"/>
    </row>
    <row r="1994">
      <c r="A1994" s="219"/>
      <c r="B1994" s="889" t="s">
        <v>514</v>
      </c>
      <c r="C1994" s="890" t="s">
        <v>289</v>
      </c>
      <c r="D1994" s="890" t="s">
        <v>387</v>
      </c>
      <c r="E1994" s="891">
        <v>2019.0</v>
      </c>
      <c r="F1994" s="890" t="s">
        <v>291</v>
      </c>
      <c r="G1994" s="890" t="s">
        <v>89</v>
      </c>
      <c r="H1994" s="532">
        <v>460159.2029</v>
      </c>
      <c r="I1994" s="532">
        <v>504341.4578</v>
      </c>
      <c r="J1994" s="533">
        <v>418035.0453</v>
      </c>
      <c r="K1994" s="220"/>
      <c r="CE1994" s="525"/>
    </row>
    <row r="1995">
      <c r="A1995" s="219"/>
      <c r="B1995" s="886" t="s">
        <v>514</v>
      </c>
      <c r="C1995" s="887" t="s">
        <v>289</v>
      </c>
      <c r="D1995" s="887" t="s">
        <v>392</v>
      </c>
      <c r="E1995" s="888">
        <v>2019.0</v>
      </c>
      <c r="F1995" s="887" t="s">
        <v>291</v>
      </c>
      <c r="G1995" s="887" t="s">
        <v>89</v>
      </c>
      <c r="H1995" s="547">
        <v>370720.7926</v>
      </c>
      <c r="I1995" s="547">
        <v>406315.6051</v>
      </c>
      <c r="J1995" s="548">
        <v>336784.0573</v>
      </c>
      <c r="K1995" s="220"/>
      <c r="CE1995" s="525"/>
    </row>
    <row r="1996">
      <c r="A1996" s="219"/>
      <c r="B1996" s="889" t="s">
        <v>514</v>
      </c>
      <c r="C1996" s="890" t="s">
        <v>289</v>
      </c>
      <c r="D1996" s="890" t="s">
        <v>398</v>
      </c>
      <c r="E1996" s="891">
        <v>2019.0</v>
      </c>
      <c r="F1996" s="890" t="s">
        <v>291</v>
      </c>
      <c r="G1996" s="890" t="s">
        <v>89</v>
      </c>
      <c r="H1996" s="532">
        <v>287446.014</v>
      </c>
      <c r="I1996" s="532">
        <v>315045.1861</v>
      </c>
      <c r="J1996" s="533">
        <v>261132.4662</v>
      </c>
      <c r="K1996" s="220"/>
      <c r="CE1996" s="525"/>
    </row>
    <row r="1997">
      <c r="A1997" s="219"/>
      <c r="B1997" s="886" t="s">
        <v>514</v>
      </c>
      <c r="C1997" s="887" t="s">
        <v>289</v>
      </c>
      <c r="D1997" s="887" t="s">
        <v>402</v>
      </c>
      <c r="E1997" s="888">
        <v>2019.0</v>
      </c>
      <c r="F1997" s="887" t="s">
        <v>291</v>
      </c>
      <c r="G1997" s="887" t="s">
        <v>89</v>
      </c>
      <c r="H1997" s="547">
        <v>3039812.801</v>
      </c>
      <c r="I1997" s="547">
        <v>3331762.079</v>
      </c>
      <c r="J1997" s="548">
        <v>2761521.377</v>
      </c>
      <c r="K1997" s="220"/>
      <c r="CE1997" s="525"/>
    </row>
    <row r="1998">
      <c r="A1998" s="219"/>
      <c r="B1998" s="889" t="s">
        <v>514</v>
      </c>
      <c r="C1998" s="890" t="s">
        <v>289</v>
      </c>
      <c r="D1998" s="890" t="s">
        <v>407</v>
      </c>
      <c r="E1998" s="891">
        <v>2019.0</v>
      </c>
      <c r="F1998" s="890" t="s">
        <v>291</v>
      </c>
      <c r="G1998" s="890" t="s">
        <v>89</v>
      </c>
      <c r="H1998" s="532">
        <v>1105995.877</v>
      </c>
      <c r="I1998" s="532">
        <v>1212188.238</v>
      </c>
      <c r="J1998" s="533">
        <v>1004750.169</v>
      </c>
      <c r="K1998" s="220"/>
      <c r="CE1998" s="525"/>
    </row>
    <row r="1999">
      <c r="A1999" s="219"/>
      <c r="B1999" s="886" t="s">
        <v>514</v>
      </c>
      <c r="C1999" s="887" t="s">
        <v>289</v>
      </c>
      <c r="D1999" s="887" t="s">
        <v>414</v>
      </c>
      <c r="E1999" s="888">
        <v>2019.0</v>
      </c>
      <c r="F1999" s="887" t="s">
        <v>291</v>
      </c>
      <c r="G1999" s="887" t="s">
        <v>89</v>
      </c>
      <c r="H1999" s="547">
        <v>222124.2415</v>
      </c>
      <c r="I1999" s="547">
        <v>243451.5338</v>
      </c>
      <c r="J1999" s="548">
        <v>201790.4168</v>
      </c>
      <c r="K1999" s="220"/>
      <c r="CE1999" s="525"/>
    </row>
    <row r="2000">
      <c r="A2000" s="219"/>
      <c r="B2000" s="889" t="s">
        <v>514</v>
      </c>
      <c r="C2000" s="890" t="s">
        <v>289</v>
      </c>
      <c r="D2000" s="890" t="s">
        <v>417</v>
      </c>
      <c r="E2000" s="891">
        <v>2019.0</v>
      </c>
      <c r="F2000" s="890" t="s">
        <v>291</v>
      </c>
      <c r="G2000" s="890" t="s">
        <v>89</v>
      </c>
      <c r="H2000" s="532">
        <v>623615.9507</v>
      </c>
      <c r="I2000" s="532">
        <v>683492.5298</v>
      </c>
      <c r="J2000" s="533">
        <v>566528.5418</v>
      </c>
      <c r="K2000" s="220"/>
      <c r="CE2000" s="525"/>
    </row>
    <row r="2001">
      <c r="A2001" s="219"/>
      <c r="B2001" s="886" t="s">
        <v>514</v>
      </c>
      <c r="C2001" s="887" t="s">
        <v>289</v>
      </c>
      <c r="D2001" s="887" t="s">
        <v>300</v>
      </c>
      <c r="E2001" s="888">
        <v>2019.0</v>
      </c>
      <c r="F2001" s="887" t="s">
        <v>291</v>
      </c>
      <c r="G2001" s="887" t="s">
        <v>89</v>
      </c>
      <c r="H2001" s="547">
        <v>2111720.346</v>
      </c>
      <c r="I2001" s="547">
        <v>2314477.492</v>
      </c>
      <c r="J2001" s="548">
        <v>1918408.032</v>
      </c>
      <c r="K2001" s="220"/>
      <c r="CE2001" s="525"/>
    </row>
    <row r="2002">
      <c r="A2002" s="219"/>
      <c r="B2002" s="889" t="s">
        <v>514</v>
      </c>
      <c r="C2002" s="890" t="s">
        <v>289</v>
      </c>
      <c r="D2002" s="890" t="s">
        <v>429</v>
      </c>
      <c r="E2002" s="891">
        <v>2019.0</v>
      </c>
      <c r="F2002" s="890" t="s">
        <v>291</v>
      </c>
      <c r="G2002" s="890" t="s">
        <v>89</v>
      </c>
      <c r="H2002" s="532">
        <v>566769.1064</v>
      </c>
      <c r="I2002" s="532">
        <v>621202.6658</v>
      </c>
      <c r="J2002" s="533">
        <v>514882.0356</v>
      </c>
      <c r="K2002" s="220"/>
      <c r="CE2002" s="525"/>
    </row>
    <row r="2003">
      <c r="A2003" s="219"/>
      <c r="B2003" s="886" t="s">
        <v>514</v>
      </c>
      <c r="C2003" s="887" t="s">
        <v>289</v>
      </c>
      <c r="D2003" s="887" t="s">
        <v>432</v>
      </c>
      <c r="E2003" s="888">
        <v>2019.0</v>
      </c>
      <c r="F2003" s="887" t="s">
        <v>291</v>
      </c>
      <c r="G2003" s="887" t="s">
        <v>89</v>
      </c>
      <c r="H2003" s="547">
        <v>171347.8361</v>
      </c>
      <c r="I2003" s="547">
        <v>187799.8243</v>
      </c>
      <c r="J2003" s="548">
        <v>155662.2143</v>
      </c>
      <c r="K2003" s="220"/>
      <c r="CE2003" s="525"/>
    </row>
    <row r="2004">
      <c r="A2004" s="219"/>
      <c r="B2004" s="889" t="s">
        <v>514</v>
      </c>
      <c r="C2004" s="890" t="s">
        <v>289</v>
      </c>
      <c r="D2004" s="890" t="s">
        <v>435</v>
      </c>
      <c r="E2004" s="891">
        <v>2019.0</v>
      </c>
      <c r="F2004" s="890" t="s">
        <v>291</v>
      </c>
      <c r="G2004" s="890" t="s">
        <v>89</v>
      </c>
      <c r="H2004" s="532">
        <v>131204.0857</v>
      </c>
      <c r="I2004" s="532">
        <v>143801.6657</v>
      </c>
      <c r="J2004" s="533">
        <v>119193.3261</v>
      </c>
      <c r="K2004" s="220"/>
      <c r="CE2004" s="525"/>
    </row>
    <row r="2005">
      <c r="A2005" s="219"/>
      <c r="B2005" s="886" t="s">
        <v>514</v>
      </c>
      <c r="C2005" s="887" t="s">
        <v>289</v>
      </c>
      <c r="D2005" s="887" t="s">
        <v>442</v>
      </c>
      <c r="E2005" s="888">
        <v>2019.0</v>
      </c>
      <c r="F2005" s="887" t="s">
        <v>291</v>
      </c>
      <c r="G2005" s="887" t="s">
        <v>89</v>
      </c>
      <c r="H2005" s="547">
        <v>98939.78747</v>
      </c>
      <c r="I2005" s="547">
        <v>108439.506</v>
      </c>
      <c r="J2005" s="548">
        <v>89882.58472</v>
      </c>
      <c r="K2005" s="220"/>
      <c r="CE2005" s="525"/>
    </row>
    <row r="2006">
      <c r="A2006" s="219"/>
      <c r="B2006" s="889" t="s">
        <v>514</v>
      </c>
      <c r="C2006" s="890" t="s">
        <v>289</v>
      </c>
      <c r="D2006" s="890" t="s">
        <v>445</v>
      </c>
      <c r="E2006" s="891">
        <v>2019.0</v>
      </c>
      <c r="F2006" s="890" t="s">
        <v>291</v>
      </c>
      <c r="G2006" s="890" t="s">
        <v>89</v>
      </c>
      <c r="H2006" s="532">
        <v>170991.4511</v>
      </c>
      <c r="I2006" s="532">
        <v>187413.7882</v>
      </c>
      <c r="J2006" s="533">
        <v>155337.3771</v>
      </c>
      <c r="K2006" s="220"/>
      <c r="CE2006" s="525"/>
    </row>
    <row r="2007">
      <c r="A2007" s="219"/>
      <c r="B2007" s="886" t="s">
        <v>514</v>
      </c>
      <c r="C2007" s="887" t="s">
        <v>289</v>
      </c>
      <c r="D2007" s="887" t="s">
        <v>450</v>
      </c>
      <c r="E2007" s="888">
        <v>2019.0</v>
      </c>
      <c r="F2007" s="887" t="s">
        <v>291</v>
      </c>
      <c r="G2007" s="887" t="s">
        <v>89</v>
      </c>
      <c r="H2007" s="547">
        <v>72051.87774</v>
      </c>
      <c r="I2007" s="547">
        <v>78969.94959</v>
      </c>
      <c r="J2007" s="548">
        <v>65456.06344</v>
      </c>
      <c r="K2007" s="220"/>
      <c r="CE2007" s="525"/>
    </row>
    <row r="2008">
      <c r="A2008" s="219"/>
      <c r="B2008" s="889" t="s">
        <v>514</v>
      </c>
      <c r="C2008" s="890" t="s">
        <v>289</v>
      </c>
      <c r="D2008" s="890" t="s">
        <v>457</v>
      </c>
      <c r="E2008" s="891">
        <v>2019.0</v>
      </c>
      <c r="F2008" s="890" t="s">
        <v>291</v>
      </c>
      <c r="G2008" s="890" t="s">
        <v>89</v>
      </c>
      <c r="H2008" s="532">
        <v>165278.1068</v>
      </c>
      <c r="I2008" s="532">
        <v>181147.3091</v>
      </c>
      <c r="J2008" s="533">
        <v>150148.1236</v>
      </c>
      <c r="K2008" s="220"/>
      <c r="CE2008" s="525"/>
    </row>
    <row r="2009">
      <c r="A2009" s="219"/>
      <c r="B2009" s="886" t="s">
        <v>514</v>
      </c>
      <c r="C2009" s="887" t="s">
        <v>289</v>
      </c>
      <c r="D2009" s="887" t="s">
        <v>463</v>
      </c>
      <c r="E2009" s="888">
        <v>2019.0</v>
      </c>
      <c r="F2009" s="887" t="s">
        <v>291</v>
      </c>
      <c r="G2009" s="887" t="s">
        <v>89</v>
      </c>
      <c r="H2009" s="547">
        <v>93226.11236</v>
      </c>
      <c r="I2009" s="547">
        <v>102179.7216</v>
      </c>
      <c r="J2009" s="548">
        <v>84691.3672</v>
      </c>
      <c r="K2009" s="220"/>
      <c r="CE2009" s="525"/>
    </row>
    <row r="2010">
      <c r="A2010" s="219"/>
      <c r="B2010" s="889" t="s">
        <v>514</v>
      </c>
      <c r="C2010" s="890" t="s">
        <v>289</v>
      </c>
      <c r="D2010" s="890" t="s">
        <v>467</v>
      </c>
      <c r="E2010" s="891">
        <v>2019.0</v>
      </c>
      <c r="F2010" s="890" t="s">
        <v>291</v>
      </c>
      <c r="G2010" s="890" t="s">
        <v>89</v>
      </c>
      <c r="H2010" s="532">
        <v>50465.91993</v>
      </c>
      <c r="I2010" s="532">
        <v>55311.41281</v>
      </c>
      <c r="J2010" s="533">
        <v>45846.13976</v>
      </c>
      <c r="K2010" s="220"/>
      <c r="CE2010" s="525"/>
    </row>
    <row r="2011">
      <c r="A2011" s="219"/>
      <c r="B2011" s="886" t="s">
        <v>514</v>
      </c>
      <c r="C2011" s="887" t="s">
        <v>289</v>
      </c>
      <c r="D2011" s="887" t="s">
        <v>473</v>
      </c>
      <c r="E2011" s="888">
        <v>2019.0</v>
      </c>
      <c r="F2011" s="887" t="s">
        <v>291</v>
      </c>
      <c r="G2011" s="887" t="s">
        <v>89</v>
      </c>
      <c r="H2011" s="547">
        <v>77752.68402</v>
      </c>
      <c r="I2011" s="547">
        <v>85220.19646</v>
      </c>
      <c r="J2011" s="548">
        <v>70634.51373</v>
      </c>
      <c r="K2011" s="220"/>
      <c r="CE2011" s="525"/>
    </row>
    <row r="2012">
      <c r="A2012" s="219"/>
      <c r="B2012" s="889" t="s">
        <v>514</v>
      </c>
      <c r="C2012" s="890" t="s">
        <v>289</v>
      </c>
      <c r="D2012" s="890" t="s">
        <v>477</v>
      </c>
      <c r="E2012" s="891">
        <v>2019.0</v>
      </c>
      <c r="F2012" s="890" t="s">
        <v>291</v>
      </c>
      <c r="G2012" s="890" t="s">
        <v>89</v>
      </c>
      <c r="H2012" s="532">
        <v>42760.30917</v>
      </c>
      <c r="I2012" s="532">
        <v>46865.94667</v>
      </c>
      <c r="J2012" s="533">
        <v>38845.92043</v>
      </c>
      <c r="K2012" s="220"/>
      <c r="CE2012" s="525"/>
    </row>
    <row r="2013">
      <c r="A2013" s="219"/>
      <c r="B2013" s="886" t="s">
        <v>514</v>
      </c>
      <c r="C2013" s="887" t="s">
        <v>289</v>
      </c>
      <c r="D2013" s="887" t="s">
        <v>483</v>
      </c>
      <c r="E2013" s="888">
        <v>2019.0</v>
      </c>
      <c r="F2013" s="887" t="s">
        <v>291</v>
      </c>
      <c r="G2013" s="887" t="s">
        <v>89</v>
      </c>
      <c r="H2013" s="547">
        <v>27286.86146</v>
      </c>
      <c r="I2013" s="547">
        <v>29906.81356</v>
      </c>
      <c r="J2013" s="548">
        <v>24788.95194</v>
      </c>
      <c r="K2013" s="220"/>
      <c r="CE2013" s="525"/>
    </row>
    <row r="2014">
      <c r="A2014" s="219"/>
      <c r="B2014" s="889" t="s">
        <v>514</v>
      </c>
      <c r="C2014" s="890" t="s">
        <v>289</v>
      </c>
      <c r="D2014" s="890" t="s">
        <v>489</v>
      </c>
      <c r="E2014" s="891">
        <v>2019.0</v>
      </c>
      <c r="F2014" s="890" t="s">
        <v>291</v>
      </c>
      <c r="G2014" s="890" t="s">
        <v>89</v>
      </c>
      <c r="H2014" s="532">
        <v>15473.42833</v>
      </c>
      <c r="I2014" s="532">
        <v>16959.52518</v>
      </c>
      <c r="J2014" s="533">
        <v>14056.85347</v>
      </c>
      <c r="K2014" s="220"/>
      <c r="CE2014" s="525"/>
    </row>
    <row r="2015">
      <c r="A2015" s="219"/>
      <c r="B2015" s="886" t="s">
        <v>514</v>
      </c>
      <c r="C2015" s="887" t="s">
        <v>289</v>
      </c>
      <c r="D2015" s="887" t="s">
        <v>493</v>
      </c>
      <c r="E2015" s="888">
        <v>2019.0</v>
      </c>
      <c r="F2015" s="887" t="s">
        <v>291</v>
      </c>
      <c r="G2015" s="887" t="s">
        <v>89</v>
      </c>
      <c r="H2015" s="547">
        <v>10993.45635</v>
      </c>
      <c r="I2015" s="547">
        <v>12048.99471</v>
      </c>
      <c r="J2015" s="548">
        <v>9987.087069</v>
      </c>
      <c r="K2015" s="220"/>
      <c r="CE2015" s="525"/>
    </row>
    <row r="2016">
      <c r="A2016" s="219"/>
      <c r="B2016" s="889" t="s">
        <v>514</v>
      </c>
      <c r="C2016" s="890" t="s">
        <v>289</v>
      </c>
      <c r="D2016" s="890" t="s">
        <v>496</v>
      </c>
      <c r="E2016" s="891">
        <v>2019.0</v>
      </c>
      <c r="F2016" s="890" t="s">
        <v>291</v>
      </c>
      <c r="G2016" s="890" t="s">
        <v>89</v>
      </c>
      <c r="H2016" s="532">
        <v>3650.941343</v>
      </c>
      <c r="I2016" s="532">
        <v>4001.487024</v>
      </c>
      <c r="J2016" s="533">
        <v>3316.724777</v>
      </c>
      <c r="K2016" s="220"/>
      <c r="CE2016" s="525"/>
    </row>
    <row r="2017">
      <c r="A2017" s="219"/>
      <c r="B2017" s="886" t="s">
        <v>514</v>
      </c>
      <c r="C2017" s="887" t="s">
        <v>289</v>
      </c>
      <c r="D2017" s="887" t="s">
        <v>502</v>
      </c>
      <c r="E2017" s="888">
        <v>2019.0</v>
      </c>
      <c r="F2017" s="887" t="s">
        <v>291</v>
      </c>
      <c r="G2017" s="887" t="s">
        <v>89</v>
      </c>
      <c r="H2017" s="547">
        <v>829.0500143</v>
      </c>
      <c r="I2017" s="547">
        <v>908.6513758</v>
      </c>
      <c r="J2017" s="548">
        <v>753.1566425</v>
      </c>
      <c r="K2017" s="220"/>
      <c r="CE2017" s="525"/>
    </row>
    <row r="2018">
      <c r="A2018" s="219"/>
      <c r="B2018" s="889" t="s">
        <v>514</v>
      </c>
      <c r="C2018" s="890" t="s">
        <v>289</v>
      </c>
      <c r="D2018" s="890" t="s">
        <v>332</v>
      </c>
      <c r="E2018" s="891">
        <v>2019.0</v>
      </c>
      <c r="F2018" s="890" t="s">
        <v>291</v>
      </c>
      <c r="G2018" s="890" t="s">
        <v>89</v>
      </c>
      <c r="H2018" s="532">
        <v>8284755.476</v>
      </c>
      <c r="I2018" s="532">
        <v>9080217.516</v>
      </c>
      <c r="J2018" s="533">
        <v>7526347.64</v>
      </c>
      <c r="K2018" s="220"/>
      <c r="CE2018" s="525"/>
    </row>
    <row r="2019">
      <c r="A2019" s="219"/>
      <c r="B2019" s="886" t="s">
        <v>514</v>
      </c>
      <c r="C2019" s="887" t="s">
        <v>289</v>
      </c>
      <c r="D2019" s="887" t="s">
        <v>510</v>
      </c>
      <c r="E2019" s="888">
        <v>2019.0</v>
      </c>
      <c r="F2019" s="887" t="s">
        <v>291</v>
      </c>
      <c r="G2019" s="887" t="s">
        <v>89</v>
      </c>
      <c r="H2019" s="547">
        <v>280671.47</v>
      </c>
      <c r="I2019" s="547">
        <v>309412.4572</v>
      </c>
      <c r="J2019" s="548">
        <v>256456.8295</v>
      </c>
      <c r="K2019" s="220"/>
      <c r="CE2019" s="525"/>
    </row>
    <row r="2020">
      <c r="A2020" s="219"/>
      <c r="B2020" s="889" t="s">
        <v>514</v>
      </c>
      <c r="C2020" s="890" t="s">
        <v>289</v>
      </c>
      <c r="D2020" s="890" t="s">
        <v>512</v>
      </c>
      <c r="E2020" s="891">
        <v>2019.0</v>
      </c>
      <c r="F2020" s="890" t="s">
        <v>291</v>
      </c>
      <c r="G2020" s="890" t="s">
        <v>89</v>
      </c>
      <c r="H2020" s="532">
        <v>5303.828792</v>
      </c>
      <c r="I2020" s="532">
        <v>5813.076709</v>
      </c>
      <c r="J2020" s="533">
        <v>4818.302656</v>
      </c>
      <c r="K2020" s="220"/>
      <c r="CE2020" s="525"/>
    </row>
    <row r="2021">
      <c r="A2021" s="219"/>
      <c r="B2021" s="886" t="s">
        <v>514</v>
      </c>
      <c r="C2021" s="887" t="s">
        <v>289</v>
      </c>
      <c r="D2021" s="887" t="s">
        <v>515</v>
      </c>
      <c r="E2021" s="888">
        <v>2019.0</v>
      </c>
      <c r="F2021" s="887" t="s">
        <v>291</v>
      </c>
      <c r="G2021" s="887" t="s">
        <v>89</v>
      </c>
      <c r="H2021" s="547">
        <v>15664.57945</v>
      </c>
      <c r="I2021" s="547">
        <v>17168.6164</v>
      </c>
      <c r="J2021" s="548">
        <v>14230.60354</v>
      </c>
      <c r="K2021" s="220"/>
      <c r="CE2021" s="525"/>
    </row>
    <row r="2022">
      <c r="A2022" s="219"/>
      <c r="B2022" s="889" t="s">
        <v>514</v>
      </c>
      <c r="C2022" s="890" t="s">
        <v>289</v>
      </c>
      <c r="D2022" s="890" t="s">
        <v>518</v>
      </c>
      <c r="E2022" s="891">
        <v>2019.0</v>
      </c>
      <c r="F2022" s="890" t="s">
        <v>291</v>
      </c>
      <c r="G2022" s="890" t="s">
        <v>89</v>
      </c>
      <c r="H2022" s="532">
        <v>20968.40825</v>
      </c>
      <c r="I2022" s="532">
        <v>22981.69311</v>
      </c>
      <c r="J2022" s="533">
        <v>19048.9062</v>
      </c>
      <c r="K2022" s="220"/>
      <c r="CE2022" s="525"/>
    </row>
    <row r="2023">
      <c r="A2023" s="219"/>
      <c r="B2023" s="886" t="s">
        <v>514</v>
      </c>
      <c r="C2023" s="887" t="s">
        <v>289</v>
      </c>
      <c r="D2023" s="887" t="s">
        <v>522</v>
      </c>
      <c r="E2023" s="888">
        <v>2019.0</v>
      </c>
      <c r="F2023" s="887" t="s">
        <v>291</v>
      </c>
      <c r="G2023" s="887" t="s">
        <v>89</v>
      </c>
      <c r="H2023" s="547">
        <v>242133.2471</v>
      </c>
      <c r="I2023" s="547">
        <v>265381.7071</v>
      </c>
      <c r="J2023" s="548">
        <v>219967.7466</v>
      </c>
      <c r="K2023" s="220"/>
      <c r="CE2023" s="525"/>
    </row>
    <row r="2024">
      <c r="A2024" s="219"/>
      <c r="B2024" s="889" t="s">
        <v>514</v>
      </c>
      <c r="C2024" s="890" t="s">
        <v>289</v>
      </c>
      <c r="D2024" s="890" t="s">
        <v>302</v>
      </c>
      <c r="E2024" s="891">
        <v>2019.0</v>
      </c>
      <c r="F2024" s="890" t="s">
        <v>291</v>
      </c>
      <c r="G2024" s="890" t="s">
        <v>89</v>
      </c>
      <c r="H2024" s="532">
        <v>1229658.086</v>
      </c>
      <c r="I2024" s="532">
        <v>1347723.891</v>
      </c>
      <c r="J2024" s="533">
        <v>1117092.02</v>
      </c>
      <c r="K2024" s="220"/>
      <c r="CE2024" s="525"/>
    </row>
    <row r="2025">
      <c r="A2025" s="219"/>
      <c r="B2025" s="886" t="s">
        <v>314</v>
      </c>
      <c r="C2025" s="887" t="s">
        <v>289</v>
      </c>
      <c r="D2025" s="887" t="s">
        <v>290</v>
      </c>
      <c r="E2025" s="888">
        <v>2019.0</v>
      </c>
      <c r="F2025" s="887" t="s">
        <v>291</v>
      </c>
      <c r="G2025" s="887" t="s">
        <v>89</v>
      </c>
      <c r="H2025" s="547">
        <v>816428.9432</v>
      </c>
      <c r="I2025" s="547">
        <v>1031562.201</v>
      </c>
      <c r="J2025" s="548">
        <v>610078.7159</v>
      </c>
      <c r="K2025" s="220"/>
      <c r="CE2025" s="525"/>
    </row>
    <row r="2026">
      <c r="A2026" s="219"/>
      <c r="B2026" s="889" t="s">
        <v>314</v>
      </c>
      <c r="C2026" s="890" t="s">
        <v>289</v>
      </c>
      <c r="D2026" s="890" t="s">
        <v>310</v>
      </c>
      <c r="E2026" s="891">
        <v>2019.0</v>
      </c>
      <c r="F2026" s="890" t="s">
        <v>291</v>
      </c>
      <c r="G2026" s="890" t="s">
        <v>89</v>
      </c>
      <c r="H2026" s="532">
        <v>1.179971503E7</v>
      </c>
      <c r="I2026" s="532">
        <v>1.49090011E7</v>
      </c>
      <c r="J2026" s="533">
        <v>8817368.683</v>
      </c>
      <c r="K2026" s="220"/>
      <c r="CE2026" s="525"/>
    </row>
    <row r="2027">
      <c r="A2027" s="219"/>
      <c r="B2027" s="886" t="s">
        <v>314</v>
      </c>
      <c r="C2027" s="887" t="s">
        <v>289</v>
      </c>
      <c r="D2027" s="887" t="s">
        <v>318</v>
      </c>
      <c r="E2027" s="888">
        <v>2019.0</v>
      </c>
      <c r="F2027" s="887" t="s">
        <v>291</v>
      </c>
      <c r="G2027" s="887" t="s">
        <v>89</v>
      </c>
      <c r="H2027" s="547">
        <v>9500150.465</v>
      </c>
      <c r="I2027" s="547">
        <v>1.200348935E7</v>
      </c>
      <c r="J2027" s="548">
        <v>7099012.896</v>
      </c>
      <c r="K2027" s="220"/>
      <c r="CE2027" s="525"/>
    </row>
    <row r="2028">
      <c r="A2028" s="219"/>
      <c r="B2028" s="889" t="s">
        <v>314</v>
      </c>
      <c r="C2028" s="890" t="s">
        <v>289</v>
      </c>
      <c r="D2028" s="890" t="s">
        <v>309</v>
      </c>
      <c r="E2028" s="891">
        <v>2019.0</v>
      </c>
      <c r="F2028" s="890" t="s">
        <v>291</v>
      </c>
      <c r="G2028" s="890" t="s">
        <v>89</v>
      </c>
      <c r="H2028" s="532">
        <v>2915576.916</v>
      </c>
      <c r="I2028" s="532">
        <v>3683846.545</v>
      </c>
      <c r="J2028" s="533">
        <v>2178672.665</v>
      </c>
      <c r="K2028" s="220"/>
      <c r="CE2028" s="525"/>
    </row>
    <row r="2029">
      <c r="A2029" s="219"/>
      <c r="B2029" s="886" t="s">
        <v>314</v>
      </c>
      <c r="C2029" s="887" t="s">
        <v>289</v>
      </c>
      <c r="D2029" s="887" t="s">
        <v>334</v>
      </c>
      <c r="E2029" s="888">
        <v>2019.0</v>
      </c>
      <c r="F2029" s="887" t="s">
        <v>291</v>
      </c>
      <c r="G2029" s="887" t="s">
        <v>89</v>
      </c>
      <c r="H2029" s="547">
        <v>2664526.828</v>
      </c>
      <c r="I2029" s="547">
        <v>3366643.457</v>
      </c>
      <c r="J2029" s="548">
        <v>1991074.813</v>
      </c>
      <c r="K2029" s="220"/>
      <c r="CE2029" s="525"/>
    </row>
    <row r="2030">
      <c r="A2030" s="219"/>
      <c r="B2030" s="889" t="s">
        <v>314</v>
      </c>
      <c r="C2030" s="890" t="s">
        <v>289</v>
      </c>
      <c r="D2030" s="890" t="s">
        <v>339</v>
      </c>
      <c r="E2030" s="891">
        <v>2019.0</v>
      </c>
      <c r="F2030" s="890" t="s">
        <v>291</v>
      </c>
      <c r="G2030" s="890" t="s">
        <v>89</v>
      </c>
      <c r="H2030" s="532">
        <v>4964091.396</v>
      </c>
      <c r="I2030" s="532">
        <v>6272155.207</v>
      </c>
      <c r="J2030" s="533">
        <v>3709430.6</v>
      </c>
      <c r="K2030" s="220"/>
      <c r="CE2030" s="525"/>
    </row>
    <row r="2031">
      <c r="A2031" s="219"/>
      <c r="B2031" s="886" t="s">
        <v>314</v>
      </c>
      <c r="C2031" s="887" t="s">
        <v>289</v>
      </c>
      <c r="D2031" s="887" t="s">
        <v>344</v>
      </c>
      <c r="E2031" s="888">
        <v>2019.0</v>
      </c>
      <c r="F2031" s="887" t="s">
        <v>291</v>
      </c>
      <c r="G2031" s="887" t="s">
        <v>89</v>
      </c>
      <c r="H2031" s="547">
        <v>6849431.622</v>
      </c>
      <c r="I2031" s="547">
        <v>8654292.354</v>
      </c>
      <c r="J2031" s="548">
        <v>5118256.136</v>
      </c>
      <c r="K2031" s="220"/>
      <c r="CE2031" s="525"/>
    </row>
    <row r="2032">
      <c r="A2032" s="219"/>
      <c r="B2032" s="889" t="s">
        <v>314</v>
      </c>
      <c r="C2032" s="890" t="s">
        <v>289</v>
      </c>
      <c r="D2032" s="890" t="s">
        <v>349</v>
      </c>
      <c r="E2032" s="891">
        <v>2019.0</v>
      </c>
      <c r="F2032" s="890" t="s">
        <v>291</v>
      </c>
      <c r="G2032" s="890" t="s">
        <v>89</v>
      </c>
      <c r="H2032" s="532">
        <v>2299564.568</v>
      </c>
      <c r="I2032" s="532">
        <v>2905511.751</v>
      </c>
      <c r="J2032" s="533">
        <v>1718355.787</v>
      </c>
      <c r="K2032" s="220"/>
      <c r="CE2032" s="525"/>
    </row>
    <row r="2033">
      <c r="A2033" s="219"/>
      <c r="B2033" s="886" t="s">
        <v>314</v>
      </c>
      <c r="C2033" s="887" t="s">
        <v>289</v>
      </c>
      <c r="D2033" s="887" t="s">
        <v>355</v>
      </c>
      <c r="E2033" s="888">
        <v>2019.0</v>
      </c>
      <c r="F2033" s="887" t="s">
        <v>291</v>
      </c>
      <c r="G2033" s="887" t="s">
        <v>89</v>
      </c>
      <c r="H2033" s="547">
        <v>7842477.819</v>
      </c>
      <c r="I2033" s="547">
        <v>9909289.946</v>
      </c>
      <c r="J2033" s="548">
        <v>5860193.065</v>
      </c>
      <c r="K2033" s="220"/>
      <c r="CE2033" s="525"/>
    </row>
    <row r="2034">
      <c r="A2034" s="219"/>
      <c r="B2034" s="889" t="s">
        <v>314</v>
      </c>
      <c r="C2034" s="890" t="s">
        <v>289</v>
      </c>
      <c r="D2034" s="890" t="s">
        <v>358</v>
      </c>
      <c r="E2034" s="891">
        <v>2019.0</v>
      </c>
      <c r="F2034" s="890" t="s">
        <v>291</v>
      </c>
      <c r="G2034" s="890" t="s">
        <v>89</v>
      </c>
      <c r="H2034" s="532">
        <v>9465950.984</v>
      </c>
      <c r="I2034" s="532">
        <v>1.196027813E7</v>
      </c>
      <c r="J2034" s="533">
        <v>7073457.242</v>
      </c>
      <c r="K2034" s="220"/>
      <c r="CE2034" s="525"/>
    </row>
    <row r="2035">
      <c r="A2035" s="219"/>
      <c r="B2035" s="886" t="s">
        <v>314</v>
      </c>
      <c r="C2035" s="887" t="s">
        <v>289</v>
      </c>
      <c r="D2035" s="887" t="s">
        <v>362</v>
      </c>
      <c r="E2035" s="888">
        <v>2019.0</v>
      </c>
      <c r="F2035" s="887" t="s">
        <v>291</v>
      </c>
      <c r="G2035" s="887" t="s">
        <v>89</v>
      </c>
      <c r="H2035" s="547">
        <v>8543168.973</v>
      </c>
      <c r="I2035" s="547">
        <v>1.079464174E7</v>
      </c>
      <c r="J2035" s="548">
        <v>6383775.73</v>
      </c>
      <c r="K2035" s="220"/>
      <c r="CE2035" s="525"/>
    </row>
    <row r="2036">
      <c r="A2036" s="219"/>
      <c r="B2036" s="889" t="s">
        <v>314</v>
      </c>
      <c r="C2036" s="890" t="s">
        <v>289</v>
      </c>
      <c r="D2036" s="890" t="s">
        <v>366</v>
      </c>
      <c r="E2036" s="891">
        <v>2019.0</v>
      </c>
      <c r="F2036" s="890" t="s">
        <v>291</v>
      </c>
      <c r="G2036" s="890" t="s">
        <v>89</v>
      </c>
      <c r="H2036" s="532">
        <v>1885340.226</v>
      </c>
      <c r="I2036" s="532">
        <v>2382137.147</v>
      </c>
      <c r="J2036" s="533">
        <v>1408825.536</v>
      </c>
      <c r="K2036" s="220"/>
      <c r="CE2036" s="525"/>
    </row>
    <row r="2037">
      <c r="A2037" s="219"/>
      <c r="B2037" s="886" t="s">
        <v>314</v>
      </c>
      <c r="C2037" s="887" t="s">
        <v>289</v>
      </c>
      <c r="D2037" s="887" t="s">
        <v>368</v>
      </c>
      <c r="E2037" s="888">
        <v>2019.0</v>
      </c>
      <c r="F2037" s="887" t="s">
        <v>291</v>
      </c>
      <c r="G2037" s="887" t="s">
        <v>89</v>
      </c>
      <c r="H2037" s="547">
        <v>6658056.687</v>
      </c>
      <c r="I2037" s="547">
        <v>8412489.132</v>
      </c>
      <c r="J2037" s="548">
        <v>4975250.703</v>
      </c>
      <c r="K2037" s="220"/>
      <c r="CE2037" s="525"/>
    </row>
    <row r="2038">
      <c r="A2038" s="219"/>
      <c r="B2038" s="889" t="s">
        <v>314</v>
      </c>
      <c r="C2038" s="890" t="s">
        <v>289</v>
      </c>
      <c r="D2038" s="890" t="s">
        <v>373</v>
      </c>
      <c r="E2038" s="891">
        <v>2019.0</v>
      </c>
      <c r="F2038" s="890" t="s">
        <v>291</v>
      </c>
      <c r="G2038" s="890" t="s">
        <v>89</v>
      </c>
      <c r="H2038" s="532">
        <v>1463429.261</v>
      </c>
      <c r="I2038" s="532">
        <v>1849050.456</v>
      </c>
      <c r="J2038" s="533">
        <v>1093551.437</v>
      </c>
      <c r="K2038" s="220"/>
      <c r="CE2038" s="525"/>
    </row>
    <row r="2039">
      <c r="A2039" s="219"/>
      <c r="B2039" s="886" t="s">
        <v>314</v>
      </c>
      <c r="C2039" s="887" t="s">
        <v>289</v>
      </c>
      <c r="D2039" s="887" t="s">
        <v>379</v>
      </c>
      <c r="E2039" s="888">
        <v>2019.0</v>
      </c>
      <c r="F2039" s="887" t="s">
        <v>291</v>
      </c>
      <c r="G2039" s="887" t="s">
        <v>89</v>
      </c>
      <c r="H2039" s="547">
        <v>5280905.291</v>
      </c>
      <c r="I2039" s="547">
        <v>6672638.79</v>
      </c>
      <c r="J2039" s="548">
        <v>3946090.161</v>
      </c>
      <c r="K2039" s="220"/>
      <c r="CE2039" s="525"/>
    </row>
    <row r="2040">
      <c r="A2040" s="219"/>
      <c r="B2040" s="889" t="s">
        <v>314</v>
      </c>
      <c r="C2040" s="890" t="s">
        <v>289</v>
      </c>
      <c r="D2040" s="890" t="s">
        <v>382</v>
      </c>
      <c r="E2040" s="891">
        <v>2019.0</v>
      </c>
      <c r="F2040" s="890" t="s">
        <v>291</v>
      </c>
      <c r="G2040" s="890" t="s">
        <v>89</v>
      </c>
      <c r="H2040" s="532">
        <v>1124703.028</v>
      </c>
      <c r="I2040" s="532">
        <v>1421068.105</v>
      </c>
      <c r="J2040" s="533">
        <v>840437.3518</v>
      </c>
      <c r="K2040" s="220"/>
      <c r="CE2040" s="525"/>
    </row>
    <row r="2041">
      <c r="A2041" s="219"/>
      <c r="B2041" s="886" t="s">
        <v>314</v>
      </c>
      <c r="C2041" s="887" t="s">
        <v>289</v>
      </c>
      <c r="D2041" s="887" t="s">
        <v>387</v>
      </c>
      <c r="E2041" s="888">
        <v>2019.0</v>
      </c>
      <c r="F2041" s="887" t="s">
        <v>291</v>
      </c>
      <c r="G2041" s="887" t="s">
        <v>89</v>
      </c>
      <c r="H2041" s="547">
        <v>1069649.98</v>
      </c>
      <c r="I2041" s="547">
        <v>1351508.294</v>
      </c>
      <c r="J2041" s="548">
        <v>799298.8146</v>
      </c>
      <c r="K2041" s="220"/>
      <c r="CE2041" s="525"/>
    </row>
    <row r="2042">
      <c r="A2042" s="219"/>
      <c r="B2042" s="889" t="s">
        <v>314</v>
      </c>
      <c r="C2042" s="890" t="s">
        <v>289</v>
      </c>
      <c r="D2042" s="890" t="s">
        <v>392</v>
      </c>
      <c r="E2042" s="891">
        <v>2019.0</v>
      </c>
      <c r="F2042" s="890" t="s">
        <v>291</v>
      </c>
      <c r="G2042" s="890" t="s">
        <v>89</v>
      </c>
      <c r="H2042" s="532">
        <v>972830.1803</v>
      </c>
      <c r="I2042" s="532">
        <v>1229175.975</v>
      </c>
      <c r="J2042" s="533">
        <v>726949.9594</v>
      </c>
      <c r="K2042" s="220"/>
      <c r="CE2042" s="525"/>
    </row>
    <row r="2043">
      <c r="A2043" s="219"/>
      <c r="B2043" s="886" t="s">
        <v>314</v>
      </c>
      <c r="C2043" s="887" t="s">
        <v>289</v>
      </c>
      <c r="D2043" s="887" t="s">
        <v>398</v>
      </c>
      <c r="E2043" s="888">
        <v>2019.0</v>
      </c>
      <c r="F2043" s="887" t="s">
        <v>291</v>
      </c>
      <c r="G2043" s="887" t="s">
        <v>89</v>
      </c>
      <c r="H2043" s="547">
        <v>650433.7408</v>
      </c>
      <c r="I2043" s="547">
        <v>821826.4026</v>
      </c>
      <c r="J2043" s="548">
        <v>486038.356</v>
      </c>
      <c r="K2043" s="220"/>
      <c r="CE2043" s="525"/>
    </row>
    <row r="2044">
      <c r="A2044" s="219"/>
      <c r="B2044" s="889" t="s">
        <v>314</v>
      </c>
      <c r="C2044" s="890" t="s">
        <v>289</v>
      </c>
      <c r="D2044" s="890" t="s">
        <v>402</v>
      </c>
      <c r="E2044" s="891">
        <v>2019.0</v>
      </c>
      <c r="F2044" s="890" t="s">
        <v>291</v>
      </c>
      <c r="G2044" s="890" t="s">
        <v>89</v>
      </c>
      <c r="H2044" s="532">
        <v>8067493.926</v>
      </c>
      <c r="I2044" s="532">
        <v>1.019360696E7</v>
      </c>
      <c r="J2044" s="533">
        <v>6028333.525</v>
      </c>
      <c r="K2044" s="220"/>
      <c r="CE2044" s="525"/>
    </row>
    <row r="2045">
      <c r="A2045" s="219"/>
      <c r="B2045" s="886" t="s">
        <v>314</v>
      </c>
      <c r="C2045" s="887" t="s">
        <v>289</v>
      </c>
      <c r="D2045" s="887" t="s">
        <v>407</v>
      </c>
      <c r="E2045" s="888">
        <v>2019.0</v>
      </c>
      <c r="F2045" s="887" t="s">
        <v>291</v>
      </c>
      <c r="G2045" s="887" t="s">
        <v>89</v>
      </c>
      <c r="H2045" s="547">
        <v>3103617.778</v>
      </c>
      <c r="I2045" s="547">
        <v>3921437.148</v>
      </c>
      <c r="J2045" s="548">
        <v>2319186.703</v>
      </c>
      <c r="K2045" s="220"/>
      <c r="CE2045" s="525"/>
    </row>
    <row r="2046">
      <c r="A2046" s="219"/>
      <c r="B2046" s="889" t="s">
        <v>314</v>
      </c>
      <c r="C2046" s="890" t="s">
        <v>289</v>
      </c>
      <c r="D2046" s="890" t="s">
        <v>414</v>
      </c>
      <c r="E2046" s="891">
        <v>2019.0</v>
      </c>
      <c r="F2046" s="890" t="s">
        <v>291</v>
      </c>
      <c r="G2046" s="890" t="s">
        <v>89</v>
      </c>
      <c r="H2046" s="532">
        <v>359031.2839</v>
      </c>
      <c r="I2046" s="532">
        <v>453637.888</v>
      </c>
      <c r="J2046" s="533">
        <v>268287.0891</v>
      </c>
      <c r="K2046" s="220"/>
      <c r="CE2046" s="525"/>
    </row>
    <row r="2047">
      <c r="A2047" s="219"/>
      <c r="B2047" s="886" t="s">
        <v>314</v>
      </c>
      <c r="C2047" s="887" t="s">
        <v>289</v>
      </c>
      <c r="D2047" s="887" t="s">
        <v>417</v>
      </c>
      <c r="E2047" s="888">
        <v>2019.0</v>
      </c>
      <c r="F2047" s="887" t="s">
        <v>291</v>
      </c>
      <c r="G2047" s="887" t="s">
        <v>89</v>
      </c>
      <c r="H2047" s="547">
        <v>1149491.242</v>
      </c>
      <c r="I2047" s="547">
        <v>1452388.143</v>
      </c>
      <c r="J2047" s="548">
        <v>858960.4116</v>
      </c>
      <c r="K2047" s="220"/>
      <c r="CE2047" s="525"/>
    </row>
    <row r="2048">
      <c r="A2048" s="219"/>
      <c r="B2048" s="889" t="s">
        <v>314</v>
      </c>
      <c r="C2048" s="890" t="s">
        <v>289</v>
      </c>
      <c r="D2048" s="890" t="s">
        <v>300</v>
      </c>
      <c r="E2048" s="891">
        <v>2019.0</v>
      </c>
      <c r="F2048" s="890" t="s">
        <v>291</v>
      </c>
      <c r="G2048" s="890" t="s">
        <v>89</v>
      </c>
      <c r="H2048" s="532">
        <v>5768144.606</v>
      </c>
      <c r="I2048" s="532">
        <v>7288080.605</v>
      </c>
      <c r="J2048" s="533">
        <v>4310261.515</v>
      </c>
      <c r="K2048" s="220"/>
      <c r="CE2048" s="525"/>
    </row>
    <row r="2049">
      <c r="A2049" s="219"/>
      <c r="B2049" s="886" t="s">
        <v>314</v>
      </c>
      <c r="C2049" s="887" t="s">
        <v>289</v>
      </c>
      <c r="D2049" s="887" t="s">
        <v>429</v>
      </c>
      <c r="E2049" s="888">
        <v>2019.0</v>
      </c>
      <c r="F2049" s="887" t="s">
        <v>291</v>
      </c>
      <c r="G2049" s="887" t="s">
        <v>89</v>
      </c>
      <c r="H2049" s="547">
        <v>1017952.053</v>
      </c>
      <c r="I2049" s="547">
        <v>1286223.854</v>
      </c>
      <c r="J2049" s="548">
        <v>760651.8881</v>
      </c>
      <c r="K2049" s="220"/>
      <c r="CE2049" s="525"/>
    </row>
    <row r="2050">
      <c r="A2050" s="219"/>
      <c r="B2050" s="889" t="s">
        <v>314</v>
      </c>
      <c r="C2050" s="890" t="s">
        <v>289</v>
      </c>
      <c r="D2050" s="890" t="s">
        <v>432</v>
      </c>
      <c r="E2050" s="891">
        <v>2019.0</v>
      </c>
      <c r="F2050" s="890" t="s">
        <v>291</v>
      </c>
      <c r="G2050" s="890" t="s">
        <v>89</v>
      </c>
      <c r="H2050" s="532">
        <v>303431.097</v>
      </c>
      <c r="I2050" s="532">
        <v>383386.7638</v>
      </c>
      <c r="J2050" s="533">
        <v>226739.7005</v>
      </c>
      <c r="K2050" s="220"/>
      <c r="CE2050" s="525"/>
    </row>
    <row r="2051">
      <c r="A2051" s="219"/>
      <c r="B2051" s="886" t="s">
        <v>314</v>
      </c>
      <c r="C2051" s="887" t="s">
        <v>289</v>
      </c>
      <c r="D2051" s="887" t="s">
        <v>435</v>
      </c>
      <c r="E2051" s="888">
        <v>2019.0</v>
      </c>
      <c r="F2051" s="887" t="s">
        <v>291</v>
      </c>
      <c r="G2051" s="887" t="s">
        <v>89</v>
      </c>
      <c r="H2051" s="547">
        <v>275293.9153</v>
      </c>
      <c r="I2051" s="547">
        <v>347835.2889</v>
      </c>
      <c r="J2051" s="548">
        <v>205714.116</v>
      </c>
      <c r="K2051" s="220"/>
      <c r="CE2051" s="525"/>
    </row>
    <row r="2052">
      <c r="A2052" s="219"/>
      <c r="B2052" s="889" t="s">
        <v>314</v>
      </c>
      <c r="C2052" s="890" t="s">
        <v>289</v>
      </c>
      <c r="D2052" s="890" t="s">
        <v>442</v>
      </c>
      <c r="E2052" s="891">
        <v>2019.0</v>
      </c>
      <c r="F2052" s="890" t="s">
        <v>291</v>
      </c>
      <c r="G2052" s="890" t="s">
        <v>89</v>
      </c>
      <c r="H2052" s="532">
        <v>211734.9462</v>
      </c>
      <c r="I2052" s="532">
        <v>267528.202</v>
      </c>
      <c r="J2052" s="533">
        <v>158219.506</v>
      </c>
      <c r="K2052" s="220"/>
      <c r="CE2052" s="525"/>
    </row>
    <row r="2053">
      <c r="A2053" s="219"/>
      <c r="B2053" s="886" t="s">
        <v>314</v>
      </c>
      <c r="C2053" s="887" t="s">
        <v>289</v>
      </c>
      <c r="D2053" s="887" t="s">
        <v>445</v>
      </c>
      <c r="E2053" s="888">
        <v>2019.0</v>
      </c>
      <c r="F2053" s="887" t="s">
        <v>291</v>
      </c>
      <c r="G2053" s="887" t="s">
        <v>89</v>
      </c>
      <c r="H2053" s="547">
        <v>334809.5834</v>
      </c>
      <c r="I2053" s="547">
        <v>423045.5368</v>
      </c>
      <c r="J2053" s="548">
        <v>250182.2567</v>
      </c>
      <c r="K2053" s="220"/>
      <c r="CE2053" s="525"/>
    </row>
    <row r="2054">
      <c r="A2054" s="219"/>
      <c r="B2054" s="889" t="s">
        <v>314</v>
      </c>
      <c r="C2054" s="890" t="s">
        <v>289</v>
      </c>
      <c r="D2054" s="890" t="s">
        <v>450</v>
      </c>
      <c r="E2054" s="891">
        <v>2019.0</v>
      </c>
      <c r="F2054" s="890" t="s">
        <v>291</v>
      </c>
      <c r="G2054" s="890" t="s">
        <v>89</v>
      </c>
      <c r="H2054" s="532">
        <v>123083.5702</v>
      </c>
      <c r="I2054" s="532">
        <v>155516.7288</v>
      </c>
      <c r="J2054" s="533">
        <v>91974.52768</v>
      </c>
      <c r="K2054" s="220"/>
      <c r="CE2054" s="525"/>
    </row>
    <row r="2055">
      <c r="A2055" s="219"/>
      <c r="B2055" s="886" t="s">
        <v>314</v>
      </c>
      <c r="C2055" s="887" t="s">
        <v>289</v>
      </c>
      <c r="D2055" s="887" t="s">
        <v>457</v>
      </c>
      <c r="E2055" s="888">
        <v>2019.0</v>
      </c>
      <c r="F2055" s="887" t="s">
        <v>291</v>
      </c>
      <c r="G2055" s="887" t="s">
        <v>89</v>
      </c>
      <c r="H2055" s="547">
        <v>227519.2541</v>
      </c>
      <c r="I2055" s="547">
        <v>287471.7568</v>
      </c>
      <c r="J2055" s="548">
        <v>170014.3724</v>
      </c>
      <c r="K2055" s="220"/>
      <c r="CE2055" s="525"/>
    </row>
    <row r="2056">
      <c r="A2056" s="219"/>
      <c r="B2056" s="889" t="s">
        <v>314</v>
      </c>
      <c r="C2056" s="890" t="s">
        <v>289</v>
      </c>
      <c r="D2056" s="890" t="s">
        <v>463</v>
      </c>
      <c r="E2056" s="891">
        <v>2019.0</v>
      </c>
      <c r="F2056" s="890" t="s">
        <v>291</v>
      </c>
      <c r="G2056" s="890" t="s">
        <v>89</v>
      </c>
      <c r="H2056" s="532">
        <v>104432.8976</v>
      </c>
      <c r="I2056" s="532">
        <v>131955.2169</v>
      </c>
      <c r="J2056" s="533">
        <v>78036.17124</v>
      </c>
      <c r="K2056" s="220"/>
      <c r="CE2056" s="525"/>
    </row>
    <row r="2057">
      <c r="A2057" s="219"/>
      <c r="B2057" s="886" t="s">
        <v>314</v>
      </c>
      <c r="C2057" s="887" t="s">
        <v>289</v>
      </c>
      <c r="D2057" s="887" t="s">
        <v>467</v>
      </c>
      <c r="E2057" s="888">
        <v>2019.0</v>
      </c>
      <c r="F2057" s="887" t="s">
        <v>291</v>
      </c>
      <c r="G2057" s="887" t="s">
        <v>89</v>
      </c>
      <c r="H2057" s="547">
        <v>63666.90661</v>
      </c>
      <c r="I2057" s="547">
        <v>80443.46648</v>
      </c>
      <c r="J2057" s="548">
        <v>47575.26659</v>
      </c>
      <c r="K2057" s="220"/>
      <c r="CE2057" s="525"/>
    </row>
    <row r="2058">
      <c r="A2058" s="219"/>
      <c r="B2058" s="889" t="s">
        <v>314</v>
      </c>
      <c r="C2058" s="890" t="s">
        <v>289</v>
      </c>
      <c r="D2058" s="890" t="s">
        <v>473</v>
      </c>
      <c r="E2058" s="891">
        <v>2019.0</v>
      </c>
      <c r="F2058" s="890" t="s">
        <v>291</v>
      </c>
      <c r="G2058" s="890" t="s">
        <v>89</v>
      </c>
      <c r="H2058" s="532">
        <v>91816.71715</v>
      </c>
      <c r="I2058" s="532">
        <v>116014.1595</v>
      </c>
      <c r="J2058" s="533">
        <v>68608.88886</v>
      </c>
      <c r="K2058" s="220"/>
      <c r="CE2058" s="525"/>
    </row>
    <row r="2059">
      <c r="A2059" s="219"/>
      <c r="B2059" s="886" t="s">
        <v>314</v>
      </c>
      <c r="C2059" s="887" t="s">
        <v>289</v>
      </c>
      <c r="D2059" s="887" t="s">
        <v>477</v>
      </c>
      <c r="E2059" s="888">
        <v>2019.0</v>
      </c>
      <c r="F2059" s="887" t="s">
        <v>291</v>
      </c>
      <c r="G2059" s="887" t="s">
        <v>89</v>
      </c>
      <c r="H2059" s="547">
        <v>40768.77731</v>
      </c>
      <c r="I2059" s="547">
        <v>51511.56144</v>
      </c>
      <c r="J2059" s="548">
        <v>30464.57811</v>
      </c>
      <c r="K2059" s="220"/>
      <c r="CE2059" s="525"/>
    </row>
    <row r="2060">
      <c r="A2060" s="219"/>
      <c r="B2060" s="889" t="s">
        <v>314</v>
      </c>
      <c r="C2060" s="890" t="s">
        <v>289</v>
      </c>
      <c r="D2060" s="890" t="s">
        <v>483</v>
      </c>
      <c r="E2060" s="891">
        <v>2019.0</v>
      </c>
      <c r="F2060" s="890" t="s">
        <v>291</v>
      </c>
      <c r="G2060" s="890" t="s">
        <v>89</v>
      </c>
      <c r="H2060" s="532">
        <v>28152.26029</v>
      </c>
      <c r="I2060" s="532">
        <v>35570.52679</v>
      </c>
      <c r="J2060" s="533">
        <v>21036.85195</v>
      </c>
      <c r="K2060" s="220"/>
      <c r="CE2060" s="525"/>
    </row>
    <row r="2061">
      <c r="A2061" s="219"/>
      <c r="B2061" s="886" t="s">
        <v>314</v>
      </c>
      <c r="C2061" s="887" t="s">
        <v>289</v>
      </c>
      <c r="D2061" s="887" t="s">
        <v>489</v>
      </c>
      <c r="E2061" s="888">
        <v>2019.0</v>
      </c>
      <c r="F2061" s="887" t="s">
        <v>291</v>
      </c>
      <c r="G2061" s="887" t="s">
        <v>89</v>
      </c>
      <c r="H2061" s="547">
        <v>12616.18041</v>
      </c>
      <c r="I2061" s="547">
        <v>15941.05748</v>
      </c>
      <c r="J2061" s="548">
        <v>9427.282377</v>
      </c>
      <c r="K2061" s="220"/>
      <c r="CE2061" s="525"/>
    </row>
    <row r="2062">
      <c r="A2062" s="219"/>
      <c r="B2062" s="889" t="s">
        <v>314</v>
      </c>
      <c r="C2062" s="890" t="s">
        <v>289</v>
      </c>
      <c r="D2062" s="890" t="s">
        <v>493</v>
      </c>
      <c r="E2062" s="891">
        <v>2019.0</v>
      </c>
      <c r="F2062" s="890" t="s">
        <v>291</v>
      </c>
      <c r="G2062" s="890" t="s">
        <v>89</v>
      </c>
      <c r="H2062" s="532">
        <v>9710.729429</v>
      </c>
      <c r="I2062" s="532">
        <v>12269.55696</v>
      </c>
      <c r="J2062" s="533">
        <v>7256.368591</v>
      </c>
      <c r="K2062" s="220"/>
      <c r="CE2062" s="525"/>
    </row>
    <row r="2063">
      <c r="A2063" s="219"/>
      <c r="B2063" s="886" t="s">
        <v>314</v>
      </c>
      <c r="C2063" s="887" t="s">
        <v>289</v>
      </c>
      <c r="D2063" s="887" t="s">
        <v>496</v>
      </c>
      <c r="E2063" s="888">
        <v>2019.0</v>
      </c>
      <c r="F2063" s="887" t="s">
        <v>291</v>
      </c>
      <c r="G2063" s="887" t="s">
        <v>89</v>
      </c>
      <c r="H2063" s="547">
        <v>2461.02894</v>
      </c>
      <c r="I2063" s="547">
        <v>3109.522821</v>
      </c>
      <c r="J2063" s="548">
        <v>1839.010471</v>
      </c>
      <c r="K2063" s="220"/>
      <c r="CE2063" s="525"/>
    </row>
    <row r="2064">
      <c r="A2064" s="219"/>
      <c r="B2064" s="889" t="s">
        <v>314</v>
      </c>
      <c r="C2064" s="890" t="s">
        <v>289</v>
      </c>
      <c r="D2064" s="890" t="s">
        <v>502</v>
      </c>
      <c r="E2064" s="891">
        <v>2019.0</v>
      </c>
      <c r="F2064" s="890" t="s">
        <v>291</v>
      </c>
      <c r="G2064" s="890" t="s">
        <v>89</v>
      </c>
      <c r="H2064" s="532">
        <v>444.7586511</v>
      </c>
      <c r="I2064" s="532">
        <v>561.9548608</v>
      </c>
      <c r="J2064" s="533">
        <v>332.347094</v>
      </c>
      <c r="K2064" s="220"/>
      <c r="CE2064" s="525"/>
    </row>
    <row r="2065">
      <c r="A2065" s="219"/>
      <c r="B2065" s="886" t="s">
        <v>314</v>
      </c>
      <c r="C2065" s="887" t="s">
        <v>289</v>
      </c>
      <c r="D2065" s="887" t="s">
        <v>332</v>
      </c>
      <c r="E2065" s="888">
        <v>2019.0</v>
      </c>
      <c r="F2065" s="887" t="s">
        <v>291</v>
      </c>
      <c r="G2065" s="887" t="s">
        <v>89</v>
      </c>
      <c r="H2065" s="547">
        <v>2.034311195E7</v>
      </c>
      <c r="I2065" s="547">
        <v>2.570362738E7</v>
      </c>
      <c r="J2065" s="548">
        <v>1.520144492E7</v>
      </c>
      <c r="K2065" s="220"/>
      <c r="CE2065" s="525"/>
    </row>
    <row r="2066">
      <c r="A2066" s="219"/>
      <c r="B2066" s="889" t="s">
        <v>314</v>
      </c>
      <c r="C2066" s="890" t="s">
        <v>289</v>
      </c>
      <c r="D2066" s="890" t="s">
        <v>510</v>
      </c>
      <c r="E2066" s="891">
        <v>2019.0</v>
      </c>
      <c r="F2066" s="890" t="s">
        <v>291</v>
      </c>
      <c r="G2066" s="890" t="s">
        <v>89</v>
      </c>
      <c r="H2066" s="532">
        <v>871200.3634</v>
      </c>
      <c r="I2066" s="532">
        <v>941178.9169</v>
      </c>
      <c r="J2066" s="533">
        <v>805574.0937</v>
      </c>
      <c r="K2066" s="220"/>
      <c r="CE2066" s="525"/>
    </row>
    <row r="2067">
      <c r="A2067" s="219"/>
      <c r="B2067" s="886" t="s">
        <v>314</v>
      </c>
      <c r="C2067" s="887" t="s">
        <v>289</v>
      </c>
      <c r="D2067" s="887" t="s">
        <v>512</v>
      </c>
      <c r="E2067" s="888">
        <v>2019.0</v>
      </c>
      <c r="F2067" s="887" t="s">
        <v>291</v>
      </c>
      <c r="G2067" s="887" t="s">
        <v>89</v>
      </c>
      <c r="H2067" s="547">
        <v>16529.25634</v>
      </c>
      <c r="I2067" s="547">
        <v>20884.80106</v>
      </c>
      <c r="J2067" s="548">
        <v>12351.5311</v>
      </c>
      <c r="K2067" s="220"/>
      <c r="CE2067" s="525"/>
    </row>
    <row r="2068">
      <c r="A2068" s="219"/>
      <c r="B2068" s="889" t="s">
        <v>314</v>
      </c>
      <c r="C2068" s="890" t="s">
        <v>289</v>
      </c>
      <c r="D2068" s="890" t="s">
        <v>515</v>
      </c>
      <c r="E2068" s="891">
        <v>2019.0</v>
      </c>
      <c r="F2068" s="890" t="s">
        <v>291</v>
      </c>
      <c r="G2068" s="890" t="s">
        <v>89</v>
      </c>
      <c r="H2068" s="532">
        <v>48742.08696</v>
      </c>
      <c r="I2068" s="532">
        <v>61585.87951</v>
      </c>
      <c r="J2068" s="533">
        <v>36422.65512</v>
      </c>
      <c r="K2068" s="220"/>
      <c r="CE2068" s="525"/>
    </row>
    <row r="2069">
      <c r="A2069" s="219"/>
      <c r="B2069" s="886" t="s">
        <v>314</v>
      </c>
      <c r="C2069" s="887" t="s">
        <v>289</v>
      </c>
      <c r="D2069" s="887" t="s">
        <v>518</v>
      </c>
      <c r="E2069" s="888">
        <v>2019.0</v>
      </c>
      <c r="F2069" s="887" t="s">
        <v>291</v>
      </c>
      <c r="G2069" s="887" t="s">
        <v>89</v>
      </c>
      <c r="H2069" s="547">
        <v>65271.34331</v>
      </c>
      <c r="I2069" s="547">
        <v>82470.68057</v>
      </c>
      <c r="J2069" s="548">
        <v>48774.18622</v>
      </c>
      <c r="K2069" s="220"/>
      <c r="CE2069" s="525"/>
    </row>
    <row r="2070">
      <c r="A2070" s="219"/>
      <c r="B2070" s="889" t="s">
        <v>314</v>
      </c>
      <c r="C2070" s="890" t="s">
        <v>289</v>
      </c>
      <c r="D2070" s="890" t="s">
        <v>522</v>
      </c>
      <c r="E2070" s="891">
        <v>2019.0</v>
      </c>
      <c r="F2070" s="890" t="s">
        <v>291</v>
      </c>
      <c r="G2070" s="890" t="s">
        <v>89</v>
      </c>
      <c r="H2070" s="532">
        <v>751157.5999</v>
      </c>
      <c r="I2070" s="532">
        <v>949091.5206</v>
      </c>
      <c r="J2070" s="533">
        <v>561304.5296</v>
      </c>
      <c r="K2070" s="220"/>
      <c r="CE2070" s="525"/>
    </row>
    <row r="2071">
      <c r="A2071" s="219"/>
      <c r="B2071" s="886" t="s">
        <v>314</v>
      </c>
      <c r="C2071" s="887" t="s">
        <v>289</v>
      </c>
      <c r="D2071" s="887" t="s">
        <v>302</v>
      </c>
      <c r="E2071" s="888">
        <v>2019.0</v>
      </c>
      <c r="F2071" s="887" t="s">
        <v>291</v>
      </c>
      <c r="G2071" s="887" t="s">
        <v>89</v>
      </c>
      <c r="H2071" s="547">
        <v>3732005.859</v>
      </c>
      <c r="I2071" s="547">
        <v>4715408.746</v>
      </c>
      <c r="J2071" s="548">
        <v>2788751.38</v>
      </c>
      <c r="K2071" s="220"/>
      <c r="CE2071" s="525"/>
    </row>
    <row r="2072">
      <c r="A2072" s="219"/>
      <c r="B2072" s="889" t="s">
        <v>500</v>
      </c>
      <c r="C2072" s="890" t="s">
        <v>289</v>
      </c>
      <c r="D2072" s="890" t="s">
        <v>290</v>
      </c>
      <c r="E2072" s="891">
        <v>2019.0</v>
      </c>
      <c r="F2072" s="890" t="s">
        <v>291</v>
      </c>
      <c r="G2072" s="890" t="s">
        <v>89</v>
      </c>
      <c r="H2072" s="532">
        <v>1009383.723</v>
      </c>
      <c r="I2072" s="532">
        <v>1138965.278</v>
      </c>
      <c r="J2072" s="533">
        <v>892831.1404</v>
      </c>
      <c r="K2072" s="220"/>
      <c r="CE2072" s="525"/>
    </row>
    <row r="2073">
      <c r="A2073" s="219"/>
      <c r="B2073" s="886" t="s">
        <v>500</v>
      </c>
      <c r="C2073" s="887" t="s">
        <v>289</v>
      </c>
      <c r="D2073" s="887" t="s">
        <v>310</v>
      </c>
      <c r="E2073" s="888">
        <v>2019.0</v>
      </c>
      <c r="F2073" s="887" t="s">
        <v>291</v>
      </c>
      <c r="G2073" s="887" t="s">
        <v>89</v>
      </c>
      <c r="H2073" s="547">
        <v>1.95843363E7</v>
      </c>
      <c r="I2073" s="547">
        <v>2.209851271E7</v>
      </c>
      <c r="J2073" s="548">
        <v>1.732295153E7</v>
      </c>
      <c r="K2073" s="220"/>
      <c r="CE2073" s="525"/>
    </row>
    <row r="2074">
      <c r="A2074" s="219"/>
      <c r="B2074" s="889" t="s">
        <v>500</v>
      </c>
      <c r="C2074" s="890" t="s">
        <v>289</v>
      </c>
      <c r="D2074" s="890" t="s">
        <v>318</v>
      </c>
      <c r="E2074" s="891">
        <v>2019.0</v>
      </c>
      <c r="F2074" s="890" t="s">
        <v>291</v>
      </c>
      <c r="G2074" s="890" t="s">
        <v>89</v>
      </c>
      <c r="H2074" s="532">
        <v>1.503537272E7</v>
      </c>
      <c r="I2074" s="532">
        <v>1.696556728E7</v>
      </c>
      <c r="J2074" s="533">
        <v>1.329925247E7</v>
      </c>
      <c r="K2074" s="220"/>
      <c r="CE2074" s="525"/>
    </row>
    <row r="2075">
      <c r="A2075" s="219"/>
      <c r="B2075" s="886" t="s">
        <v>500</v>
      </c>
      <c r="C2075" s="887" t="s">
        <v>289</v>
      </c>
      <c r="D2075" s="887" t="s">
        <v>309</v>
      </c>
      <c r="E2075" s="888">
        <v>2019.0</v>
      </c>
      <c r="F2075" s="887" t="s">
        <v>291</v>
      </c>
      <c r="G2075" s="887" t="s">
        <v>89</v>
      </c>
      <c r="H2075" s="547">
        <v>4085143.433</v>
      </c>
      <c r="I2075" s="547">
        <v>4609581.488</v>
      </c>
      <c r="J2075" s="548">
        <v>3613435.788</v>
      </c>
      <c r="K2075" s="220"/>
      <c r="CE2075" s="525"/>
    </row>
    <row r="2076">
      <c r="A2076" s="219"/>
      <c r="B2076" s="889" t="s">
        <v>500</v>
      </c>
      <c r="C2076" s="890" t="s">
        <v>289</v>
      </c>
      <c r="D2076" s="890" t="s">
        <v>334</v>
      </c>
      <c r="E2076" s="891">
        <v>2019.0</v>
      </c>
      <c r="F2076" s="890" t="s">
        <v>291</v>
      </c>
      <c r="G2076" s="890" t="s">
        <v>89</v>
      </c>
      <c r="H2076" s="532">
        <v>4824189.989</v>
      </c>
      <c r="I2076" s="532">
        <v>5443504.551</v>
      </c>
      <c r="J2076" s="533">
        <v>4267145.338</v>
      </c>
      <c r="K2076" s="220"/>
      <c r="CE2076" s="525"/>
    </row>
    <row r="2077">
      <c r="A2077" s="219"/>
      <c r="B2077" s="886" t="s">
        <v>500</v>
      </c>
      <c r="C2077" s="887" t="s">
        <v>289</v>
      </c>
      <c r="D2077" s="887" t="s">
        <v>339</v>
      </c>
      <c r="E2077" s="888">
        <v>2019.0</v>
      </c>
      <c r="F2077" s="887" t="s">
        <v>291</v>
      </c>
      <c r="G2077" s="887" t="s">
        <v>89</v>
      </c>
      <c r="H2077" s="547">
        <v>9373153.569</v>
      </c>
      <c r="I2077" s="547">
        <v>1.057644998E7</v>
      </c>
      <c r="J2077" s="548">
        <v>8290844.401</v>
      </c>
      <c r="K2077" s="220"/>
      <c r="CE2077" s="525"/>
    </row>
    <row r="2078">
      <c r="A2078" s="219"/>
      <c r="B2078" s="889" t="s">
        <v>500</v>
      </c>
      <c r="C2078" s="890" t="s">
        <v>289</v>
      </c>
      <c r="D2078" s="890" t="s">
        <v>344</v>
      </c>
      <c r="E2078" s="891">
        <v>2019.0</v>
      </c>
      <c r="F2078" s="890" t="s">
        <v>291</v>
      </c>
      <c r="G2078" s="890" t="s">
        <v>89</v>
      </c>
      <c r="H2078" s="532">
        <v>1.40255726E7</v>
      </c>
      <c r="I2078" s="532">
        <v>1.582613215E7</v>
      </c>
      <c r="J2078" s="533">
        <v>1.240605301E7</v>
      </c>
      <c r="K2078" s="220"/>
      <c r="CE2078" s="525"/>
    </row>
    <row r="2079">
      <c r="A2079" s="219"/>
      <c r="B2079" s="886" t="s">
        <v>500</v>
      </c>
      <c r="C2079" s="887" t="s">
        <v>289</v>
      </c>
      <c r="D2079" s="887" t="s">
        <v>349</v>
      </c>
      <c r="E2079" s="888">
        <v>2019.0</v>
      </c>
      <c r="F2079" s="887" t="s">
        <v>291</v>
      </c>
      <c r="G2079" s="887" t="s">
        <v>89</v>
      </c>
      <c r="H2079" s="547">
        <v>4548963.58</v>
      </c>
      <c r="I2079" s="547">
        <v>5132945.428</v>
      </c>
      <c r="J2079" s="548">
        <v>4023699.062</v>
      </c>
      <c r="K2079" s="220"/>
      <c r="CE2079" s="525"/>
    </row>
    <row r="2080">
      <c r="A2080" s="219"/>
      <c r="B2080" s="889" t="s">
        <v>500</v>
      </c>
      <c r="C2080" s="890" t="s">
        <v>289</v>
      </c>
      <c r="D2080" s="890" t="s">
        <v>355</v>
      </c>
      <c r="E2080" s="891">
        <v>2019.0</v>
      </c>
      <c r="F2080" s="890" t="s">
        <v>291</v>
      </c>
      <c r="G2080" s="890" t="s">
        <v>89</v>
      </c>
      <c r="H2080" s="532">
        <v>2.395008784E7</v>
      </c>
      <c r="I2080" s="532">
        <v>2.702648464E7</v>
      </c>
      <c r="J2080" s="533">
        <v>2.118347644E7</v>
      </c>
      <c r="K2080" s="220"/>
      <c r="CE2080" s="525"/>
    </row>
    <row r="2081">
      <c r="A2081" s="219"/>
      <c r="B2081" s="886" t="s">
        <v>500</v>
      </c>
      <c r="C2081" s="887" t="s">
        <v>289</v>
      </c>
      <c r="D2081" s="887" t="s">
        <v>358</v>
      </c>
      <c r="E2081" s="888">
        <v>2019.0</v>
      </c>
      <c r="F2081" s="887" t="s">
        <v>291</v>
      </c>
      <c r="G2081" s="887" t="s">
        <v>89</v>
      </c>
      <c r="H2081" s="547">
        <v>3.045169745E7</v>
      </c>
      <c r="I2081" s="547">
        <v>3.436099201E7</v>
      </c>
      <c r="J2081" s="548">
        <v>2.693546878E7</v>
      </c>
      <c r="K2081" s="220"/>
      <c r="CE2081" s="525"/>
    </row>
    <row r="2082">
      <c r="A2082" s="219"/>
      <c r="B2082" s="889" t="s">
        <v>500</v>
      </c>
      <c r="C2082" s="890" t="s">
        <v>289</v>
      </c>
      <c r="D2082" s="890" t="s">
        <v>362</v>
      </c>
      <c r="E2082" s="891">
        <v>2019.0</v>
      </c>
      <c r="F2082" s="890" t="s">
        <v>291</v>
      </c>
      <c r="G2082" s="890" t="s">
        <v>89</v>
      </c>
      <c r="H2082" s="532">
        <v>3.600428693E7</v>
      </c>
      <c r="I2082" s="532">
        <v>4.062904965E7</v>
      </c>
      <c r="J2082" s="533">
        <v>3.184522617E7</v>
      </c>
      <c r="K2082" s="220"/>
      <c r="CE2082" s="525"/>
    </row>
    <row r="2083">
      <c r="A2083" s="219"/>
      <c r="B2083" s="886" t="s">
        <v>500</v>
      </c>
      <c r="C2083" s="887" t="s">
        <v>289</v>
      </c>
      <c r="D2083" s="887" t="s">
        <v>366</v>
      </c>
      <c r="E2083" s="888">
        <v>2019.0</v>
      </c>
      <c r="F2083" s="887" t="s">
        <v>291</v>
      </c>
      <c r="G2083" s="887" t="s">
        <v>89</v>
      </c>
      <c r="H2083" s="547">
        <v>4652419.033</v>
      </c>
      <c r="I2083" s="547">
        <v>5249682.172</v>
      </c>
      <c r="J2083" s="548">
        <v>4115208.612</v>
      </c>
      <c r="K2083" s="220"/>
      <c r="CE2083" s="525"/>
    </row>
    <row r="2084">
      <c r="A2084" s="219"/>
      <c r="B2084" s="889" t="s">
        <v>500</v>
      </c>
      <c r="C2084" s="890" t="s">
        <v>289</v>
      </c>
      <c r="D2084" s="890" t="s">
        <v>368</v>
      </c>
      <c r="E2084" s="891">
        <v>2019.0</v>
      </c>
      <c r="F2084" s="890" t="s">
        <v>291</v>
      </c>
      <c r="G2084" s="890" t="s">
        <v>89</v>
      </c>
      <c r="H2084" s="532">
        <v>3.135166919E7</v>
      </c>
      <c r="I2084" s="532">
        <v>3.537649932E7</v>
      </c>
      <c r="J2084" s="533">
        <v>2.773152163E7</v>
      </c>
      <c r="K2084" s="220"/>
      <c r="CE2084" s="525"/>
    </row>
    <row r="2085">
      <c r="A2085" s="219"/>
      <c r="B2085" s="886" t="s">
        <v>500</v>
      </c>
      <c r="C2085" s="887" t="s">
        <v>289</v>
      </c>
      <c r="D2085" s="887" t="s">
        <v>373</v>
      </c>
      <c r="E2085" s="888">
        <v>2019.0</v>
      </c>
      <c r="F2085" s="887" t="s">
        <v>291</v>
      </c>
      <c r="G2085" s="887" t="s">
        <v>89</v>
      </c>
      <c r="H2085" s="547">
        <v>5202736.573</v>
      </c>
      <c r="I2085" s="547">
        <v>5870647.772</v>
      </c>
      <c r="J2085" s="548">
        <v>4601981.506</v>
      </c>
      <c r="K2085" s="220"/>
      <c r="CE2085" s="525"/>
    </row>
    <row r="2086">
      <c r="A2086" s="219"/>
      <c r="B2086" s="889" t="s">
        <v>500</v>
      </c>
      <c r="C2086" s="890" t="s">
        <v>289</v>
      </c>
      <c r="D2086" s="890" t="s">
        <v>379</v>
      </c>
      <c r="E2086" s="891">
        <v>2019.0</v>
      </c>
      <c r="F2086" s="890" t="s">
        <v>291</v>
      </c>
      <c r="G2086" s="890" t="s">
        <v>89</v>
      </c>
      <c r="H2086" s="532">
        <v>2.125043212E7</v>
      </c>
      <c r="I2086" s="532">
        <v>2.398005725E7</v>
      </c>
      <c r="J2086" s="533">
        <v>1.879567337E7</v>
      </c>
      <c r="K2086" s="220"/>
      <c r="CE2086" s="525"/>
    </row>
    <row r="2087">
      <c r="A2087" s="219"/>
      <c r="B2087" s="886" t="s">
        <v>500</v>
      </c>
      <c r="C2087" s="887" t="s">
        <v>289</v>
      </c>
      <c r="D2087" s="887" t="s">
        <v>382</v>
      </c>
      <c r="E2087" s="888">
        <v>2019.0</v>
      </c>
      <c r="F2087" s="887" t="s">
        <v>291</v>
      </c>
      <c r="G2087" s="887" t="s">
        <v>89</v>
      </c>
      <c r="H2087" s="547">
        <v>5167063.958</v>
      </c>
      <c r="I2087" s="547">
        <v>5830395.618</v>
      </c>
      <c r="J2087" s="548">
        <v>4570427.975</v>
      </c>
      <c r="K2087" s="220"/>
      <c r="CE2087" s="525"/>
    </row>
    <row r="2088">
      <c r="A2088" s="219"/>
      <c r="B2088" s="889" t="s">
        <v>500</v>
      </c>
      <c r="C2088" s="890" t="s">
        <v>289</v>
      </c>
      <c r="D2088" s="890" t="s">
        <v>387</v>
      </c>
      <c r="E2088" s="891">
        <v>2019.0</v>
      </c>
      <c r="F2088" s="890" t="s">
        <v>291</v>
      </c>
      <c r="G2088" s="890" t="s">
        <v>89</v>
      </c>
      <c r="H2088" s="532">
        <v>4378772.507</v>
      </c>
      <c r="I2088" s="532">
        <v>4940905.752</v>
      </c>
      <c r="J2088" s="533">
        <v>3873159.791</v>
      </c>
      <c r="K2088" s="220"/>
      <c r="CE2088" s="525"/>
    </row>
    <row r="2089">
      <c r="A2089" s="219"/>
      <c r="B2089" s="886" t="s">
        <v>500</v>
      </c>
      <c r="C2089" s="887" t="s">
        <v>289</v>
      </c>
      <c r="D2089" s="887" t="s">
        <v>392</v>
      </c>
      <c r="E2089" s="888">
        <v>2019.0</v>
      </c>
      <c r="F2089" s="887" t="s">
        <v>291</v>
      </c>
      <c r="G2089" s="887" t="s">
        <v>89</v>
      </c>
      <c r="H2089" s="547">
        <v>3502150.453</v>
      </c>
      <c r="I2089" s="547">
        <v>3951745.675</v>
      </c>
      <c r="J2089" s="548">
        <v>3097760.455</v>
      </c>
      <c r="K2089" s="220"/>
      <c r="CE2089" s="525"/>
    </row>
    <row r="2090">
      <c r="A2090" s="219"/>
      <c r="B2090" s="889" t="s">
        <v>500</v>
      </c>
      <c r="C2090" s="890" t="s">
        <v>289</v>
      </c>
      <c r="D2090" s="890" t="s">
        <v>398</v>
      </c>
      <c r="E2090" s="891">
        <v>2019.0</v>
      </c>
      <c r="F2090" s="890" t="s">
        <v>291</v>
      </c>
      <c r="G2090" s="890" t="s">
        <v>89</v>
      </c>
      <c r="H2090" s="532">
        <v>2999591.347</v>
      </c>
      <c r="I2090" s="532">
        <v>3384669.589</v>
      </c>
      <c r="J2090" s="533">
        <v>2653231.374</v>
      </c>
      <c r="K2090" s="220"/>
      <c r="CE2090" s="525"/>
    </row>
    <row r="2091">
      <c r="A2091" s="219"/>
      <c r="B2091" s="886" t="s">
        <v>500</v>
      </c>
      <c r="C2091" s="887" t="s">
        <v>289</v>
      </c>
      <c r="D2091" s="887" t="s">
        <v>402</v>
      </c>
      <c r="E2091" s="888">
        <v>2019.0</v>
      </c>
      <c r="F2091" s="887" t="s">
        <v>291</v>
      </c>
      <c r="G2091" s="887" t="s">
        <v>89</v>
      </c>
      <c r="H2091" s="547">
        <v>1.448988912E7</v>
      </c>
      <c r="I2091" s="547">
        <v>1.635112023E7</v>
      </c>
      <c r="J2091" s="548">
        <v>1.281607929E7</v>
      </c>
      <c r="K2091" s="220"/>
      <c r="CE2091" s="525"/>
    </row>
    <row r="2092">
      <c r="A2092" s="219"/>
      <c r="B2092" s="889" t="s">
        <v>500</v>
      </c>
      <c r="C2092" s="890" t="s">
        <v>289</v>
      </c>
      <c r="D2092" s="890" t="s">
        <v>407</v>
      </c>
      <c r="E2092" s="891">
        <v>2019.0</v>
      </c>
      <c r="F2092" s="890" t="s">
        <v>291</v>
      </c>
      <c r="G2092" s="890" t="s">
        <v>89</v>
      </c>
      <c r="H2092" s="532">
        <v>5116655.576</v>
      </c>
      <c r="I2092" s="532">
        <v>5773515.964</v>
      </c>
      <c r="J2092" s="533">
        <v>4525840.201</v>
      </c>
      <c r="K2092" s="220"/>
      <c r="CE2092" s="525"/>
    </row>
    <row r="2093">
      <c r="A2093" s="219"/>
      <c r="B2093" s="886" t="s">
        <v>500</v>
      </c>
      <c r="C2093" s="887" t="s">
        <v>289</v>
      </c>
      <c r="D2093" s="887" t="s">
        <v>414</v>
      </c>
      <c r="E2093" s="888">
        <v>2019.0</v>
      </c>
      <c r="F2093" s="887" t="s">
        <v>291</v>
      </c>
      <c r="G2093" s="887" t="s">
        <v>89</v>
      </c>
      <c r="H2093" s="547">
        <v>2538271.077</v>
      </c>
      <c r="I2093" s="547">
        <v>2864126.452</v>
      </c>
      <c r="J2093" s="548">
        <v>2245179.319</v>
      </c>
      <c r="K2093" s="220"/>
      <c r="CE2093" s="525"/>
    </row>
    <row r="2094">
      <c r="A2094" s="219"/>
      <c r="B2094" s="889" t="s">
        <v>500</v>
      </c>
      <c r="C2094" s="890" t="s">
        <v>289</v>
      </c>
      <c r="D2094" s="890" t="s">
        <v>417</v>
      </c>
      <c r="E2094" s="891">
        <v>2019.0</v>
      </c>
      <c r="F2094" s="890" t="s">
        <v>291</v>
      </c>
      <c r="G2094" s="890" t="s">
        <v>89</v>
      </c>
      <c r="H2094" s="532">
        <v>7941333.667</v>
      </c>
      <c r="I2094" s="532">
        <v>8960817.475</v>
      </c>
      <c r="J2094" s="533">
        <v>7024355.387</v>
      </c>
      <c r="K2094" s="220"/>
      <c r="CE2094" s="525"/>
    </row>
    <row r="2095">
      <c r="A2095" s="219"/>
      <c r="B2095" s="886" t="s">
        <v>500</v>
      </c>
      <c r="C2095" s="887" t="s">
        <v>289</v>
      </c>
      <c r="D2095" s="887" t="s">
        <v>300</v>
      </c>
      <c r="E2095" s="888">
        <v>2019.0</v>
      </c>
      <c r="F2095" s="887" t="s">
        <v>291</v>
      </c>
      <c r="G2095" s="887" t="s">
        <v>89</v>
      </c>
      <c r="H2095" s="547">
        <v>9940845.565</v>
      </c>
      <c r="I2095" s="547">
        <v>1.121702051E7</v>
      </c>
      <c r="J2095" s="548">
        <v>8792985.539</v>
      </c>
      <c r="K2095" s="220"/>
      <c r="CE2095" s="525"/>
    </row>
    <row r="2096">
      <c r="A2096" s="219"/>
      <c r="B2096" s="889" t="s">
        <v>500</v>
      </c>
      <c r="C2096" s="890" t="s">
        <v>289</v>
      </c>
      <c r="D2096" s="890" t="s">
        <v>429</v>
      </c>
      <c r="E2096" s="891">
        <v>2019.0</v>
      </c>
      <c r="F2096" s="890" t="s">
        <v>291</v>
      </c>
      <c r="G2096" s="890" t="s">
        <v>89</v>
      </c>
      <c r="H2096" s="532">
        <v>7563125.014</v>
      </c>
      <c r="I2096" s="532">
        <v>8534610.955</v>
      </c>
      <c r="J2096" s="533">
        <v>6689465.26</v>
      </c>
      <c r="K2096" s="220"/>
      <c r="CE2096" s="525"/>
    </row>
    <row r="2097">
      <c r="A2097" s="219"/>
      <c r="B2097" s="886" t="s">
        <v>500</v>
      </c>
      <c r="C2097" s="887" t="s">
        <v>289</v>
      </c>
      <c r="D2097" s="887" t="s">
        <v>432</v>
      </c>
      <c r="E2097" s="888">
        <v>2019.0</v>
      </c>
      <c r="F2097" s="887" t="s">
        <v>291</v>
      </c>
      <c r="G2097" s="887" t="s">
        <v>89</v>
      </c>
      <c r="H2097" s="547">
        <v>2206625.676</v>
      </c>
      <c r="I2097" s="547">
        <v>2489905.443</v>
      </c>
      <c r="J2097" s="548">
        <v>1951828.698</v>
      </c>
      <c r="K2097" s="220"/>
      <c r="CE2097" s="525"/>
    </row>
    <row r="2098">
      <c r="A2098" s="219"/>
      <c r="B2098" s="889" t="s">
        <v>500</v>
      </c>
      <c r="C2098" s="890" t="s">
        <v>289</v>
      </c>
      <c r="D2098" s="890" t="s">
        <v>435</v>
      </c>
      <c r="E2098" s="891">
        <v>2019.0</v>
      </c>
      <c r="F2098" s="890" t="s">
        <v>291</v>
      </c>
      <c r="G2098" s="890" t="s">
        <v>89</v>
      </c>
      <c r="H2098" s="532">
        <v>1850151.011</v>
      </c>
      <c r="I2098" s="532">
        <v>2087667.665</v>
      </c>
      <c r="J2098" s="533">
        <v>1636515.826</v>
      </c>
      <c r="K2098" s="220"/>
      <c r="CE2098" s="525"/>
    </row>
    <row r="2099">
      <c r="A2099" s="219"/>
      <c r="B2099" s="886" t="s">
        <v>500</v>
      </c>
      <c r="C2099" s="887" t="s">
        <v>289</v>
      </c>
      <c r="D2099" s="887" t="s">
        <v>442</v>
      </c>
      <c r="E2099" s="888">
        <v>2019.0</v>
      </c>
      <c r="F2099" s="887" t="s">
        <v>291</v>
      </c>
      <c r="G2099" s="887" t="s">
        <v>89</v>
      </c>
      <c r="H2099" s="547">
        <v>1346285.903</v>
      </c>
      <c r="I2099" s="547">
        <v>1519117.915</v>
      </c>
      <c r="J2099" s="548">
        <v>1190831.544</v>
      </c>
      <c r="K2099" s="220"/>
      <c r="CE2099" s="525"/>
    </row>
    <row r="2100">
      <c r="A2100" s="219"/>
      <c r="B2100" s="889" t="s">
        <v>500</v>
      </c>
      <c r="C2100" s="890" t="s">
        <v>289</v>
      </c>
      <c r="D2100" s="890" t="s">
        <v>445</v>
      </c>
      <c r="E2100" s="891">
        <v>2019.0</v>
      </c>
      <c r="F2100" s="890" t="s">
        <v>291</v>
      </c>
      <c r="G2100" s="890" t="s">
        <v>89</v>
      </c>
      <c r="H2100" s="532">
        <v>2257226.837</v>
      </c>
      <c r="I2100" s="532">
        <v>2547168.38</v>
      </c>
      <c r="J2100" s="533">
        <v>1996481.677</v>
      </c>
      <c r="K2100" s="220"/>
      <c r="CE2100" s="525"/>
    </row>
    <row r="2101">
      <c r="A2101" s="219"/>
      <c r="B2101" s="886" t="s">
        <v>500</v>
      </c>
      <c r="C2101" s="887" t="s">
        <v>289</v>
      </c>
      <c r="D2101" s="887" t="s">
        <v>450</v>
      </c>
      <c r="E2101" s="888">
        <v>2019.0</v>
      </c>
      <c r="F2101" s="887" t="s">
        <v>291</v>
      </c>
      <c r="G2101" s="887" t="s">
        <v>89</v>
      </c>
      <c r="H2101" s="547">
        <v>910928.4763</v>
      </c>
      <c r="I2101" s="547">
        <v>1027870.651</v>
      </c>
      <c r="J2101" s="548">
        <v>805744.4276</v>
      </c>
      <c r="K2101" s="220"/>
      <c r="CE2101" s="525"/>
    </row>
    <row r="2102">
      <c r="A2102" s="219"/>
      <c r="B2102" s="889" t="s">
        <v>500</v>
      </c>
      <c r="C2102" s="890" t="s">
        <v>289</v>
      </c>
      <c r="D2102" s="890" t="s">
        <v>457</v>
      </c>
      <c r="E2102" s="891">
        <v>2019.0</v>
      </c>
      <c r="F2102" s="890" t="s">
        <v>291</v>
      </c>
      <c r="G2102" s="890" t="s">
        <v>89</v>
      </c>
      <c r="H2102" s="532">
        <v>2160020.682</v>
      </c>
      <c r="I2102" s="532">
        <v>2437317.443</v>
      </c>
      <c r="J2102" s="533">
        <v>1910605.139</v>
      </c>
      <c r="K2102" s="220"/>
      <c r="CE2102" s="525"/>
    </row>
    <row r="2103">
      <c r="A2103" s="219"/>
      <c r="B2103" s="886" t="s">
        <v>500</v>
      </c>
      <c r="C2103" s="887" t="s">
        <v>289</v>
      </c>
      <c r="D2103" s="887" t="s">
        <v>463</v>
      </c>
      <c r="E2103" s="888">
        <v>2019.0</v>
      </c>
      <c r="F2103" s="887" t="s">
        <v>291</v>
      </c>
      <c r="G2103" s="887" t="s">
        <v>89</v>
      </c>
      <c r="H2103" s="547">
        <v>1249099.099</v>
      </c>
      <c r="I2103" s="547">
        <v>1409546.297</v>
      </c>
      <c r="J2103" s="548">
        <v>1104808.53</v>
      </c>
      <c r="K2103" s="220"/>
      <c r="CE2103" s="525"/>
    </row>
    <row r="2104">
      <c r="A2104" s="219"/>
      <c r="B2104" s="889" t="s">
        <v>500</v>
      </c>
      <c r="C2104" s="890" t="s">
        <v>289</v>
      </c>
      <c r="D2104" s="890" t="s">
        <v>467</v>
      </c>
      <c r="E2104" s="891">
        <v>2019.0</v>
      </c>
      <c r="F2104" s="890" t="s">
        <v>291</v>
      </c>
      <c r="G2104" s="890" t="s">
        <v>89</v>
      </c>
      <c r="H2104" s="532">
        <v>609110.5391</v>
      </c>
      <c r="I2104" s="532">
        <v>687306.2626</v>
      </c>
      <c r="J2104" s="533">
        <v>538777.1218</v>
      </c>
      <c r="K2104" s="220"/>
      <c r="CE2104" s="525"/>
    </row>
    <row r="2105">
      <c r="A2105" s="219"/>
      <c r="B2105" s="886" t="s">
        <v>500</v>
      </c>
      <c r="C2105" s="887" t="s">
        <v>289</v>
      </c>
      <c r="D2105" s="887" t="s">
        <v>473</v>
      </c>
      <c r="E2105" s="888">
        <v>2019.0</v>
      </c>
      <c r="F2105" s="887" t="s">
        <v>291</v>
      </c>
      <c r="G2105" s="887" t="s">
        <v>89</v>
      </c>
      <c r="H2105" s="547">
        <v>987434.6718</v>
      </c>
      <c r="I2105" s="547">
        <v>1114270.986</v>
      </c>
      <c r="J2105" s="548">
        <v>873370.4549</v>
      </c>
      <c r="K2105" s="220"/>
      <c r="CE2105" s="525"/>
    </row>
    <row r="2106">
      <c r="A2106" s="219"/>
      <c r="B2106" s="889" t="s">
        <v>500</v>
      </c>
      <c r="C2106" s="890" t="s">
        <v>289</v>
      </c>
      <c r="D2106" s="890" t="s">
        <v>477</v>
      </c>
      <c r="E2106" s="891">
        <v>2019.0</v>
      </c>
      <c r="F2106" s="890" t="s">
        <v>291</v>
      </c>
      <c r="G2106" s="890" t="s">
        <v>89</v>
      </c>
      <c r="H2106" s="532">
        <v>639981.6662</v>
      </c>
      <c r="I2106" s="532">
        <v>722140.5294</v>
      </c>
      <c r="J2106" s="533">
        <v>566083.5891</v>
      </c>
      <c r="K2106" s="220"/>
      <c r="CE2106" s="525"/>
    </row>
    <row r="2107">
      <c r="A2107" s="219"/>
      <c r="B2107" s="886" t="s">
        <v>500</v>
      </c>
      <c r="C2107" s="887" t="s">
        <v>289</v>
      </c>
      <c r="D2107" s="887" t="s">
        <v>483</v>
      </c>
      <c r="E2107" s="888">
        <v>2019.0</v>
      </c>
      <c r="F2107" s="887" t="s">
        <v>291</v>
      </c>
      <c r="G2107" s="887" t="s">
        <v>89</v>
      </c>
      <c r="H2107" s="547">
        <v>378318.683</v>
      </c>
      <c r="I2107" s="547">
        <v>426886.0632</v>
      </c>
      <c r="J2107" s="548">
        <v>334634.5828</v>
      </c>
      <c r="K2107" s="220"/>
      <c r="CE2107" s="525"/>
    </row>
    <row r="2108">
      <c r="A2108" s="219"/>
      <c r="B2108" s="889" t="s">
        <v>500</v>
      </c>
      <c r="C2108" s="890" t="s">
        <v>289</v>
      </c>
      <c r="D2108" s="890" t="s">
        <v>489</v>
      </c>
      <c r="E2108" s="891">
        <v>2019.0</v>
      </c>
      <c r="F2108" s="890" t="s">
        <v>291</v>
      </c>
      <c r="G2108" s="890" t="s">
        <v>89</v>
      </c>
      <c r="H2108" s="532">
        <v>261664.4274</v>
      </c>
      <c r="I2108" s="532">
        <v>295275.3108</v>
      </c>
      <c r="J2108" s="533">
        <v>231438.0754</v>
      </c>
      <c r="K2108" s="220"/>
      <c r="CE2108" s="525"/>
    </row>
    <row r="2109">
      <c r="A2109" s="219"/>
      <c r="B2109" s="886" t="s">
        <v>500</v>
      </c>
      <c r="C2109" s="887" t="s">
        <v>289</v>
      </c>
      <c r="D2109" s="887" t="s">
        <v>493</v>
      </c>
      <c r="E2109" s="888">
        <v>2019.0</v>
      </c>
      <c r="F2109" s="887" t="s">
        <v>291</v>
      </c>
      <c r="G2109" s="887" t="s">
        <v>89</v>
      </c>
      <c r="H2109" s="547">
        <v>188689.7157</v>
      </c>
      <c r="I2109" s="547">
        <v>212913.1167</v>
      </c>
      <c r="J2109" s="548">
        <v>166901.8929</v>
      </c>
      <c r="K2109" s="220"/>
      <c r="CE2109" s="525"/>
    </row>
    <row r="2110">
      <c r="A2110" s="219"/>
      <c r="B2110" s="889" t="s">
        <v>500</v>
      </c>
      <c r="C2110" s="890" t="s">
        <v>289</v>
      </c>
      <c r="D2110" s="890" t="s">
        <v>496</v>
      </c>
      <c r="E2110" s="891">
        <v>2019.0</v>
      </c>
      <c r="F2110" s="890" t="s">
        <v>291</v>
      </c>
      <c r="G2110" s="890" t="s">
        <v>89</v>
      </c>
      <c r="H2110" s="532">
        <v>61197.53689</v>
      </c>
      <c r="I2110" s="532">
        <v>69053.88704</v>
      </c>
      <c r="J2110" s="533">
        <v>54131.11524</v>
      </c>
      <c r="K2110" s="220"/>
      <c r="CE2110" s="525"/>
    </row>
    <row r="2111">
      <c r="A2111" s="219"/>
      <c r="B2111" s="886" t="s">
        <v>500</v>
      </c>
      <c r="C2111" s="887" t="s">
        <v>289</v>
      </c>
      <c r="D2111" s="887" t="s">
        <v>502</v>
      </c>
      <c r="E2111" s="888">
        <v>2019.0</v>
      </c>
      <c r="F2111" s="887" t="s">
        <v>291</v>
      </c>
      <c r="G2111" s="887" t="s">
        <v>89</v>
      </c>
      <c r="H2111" s="547">
        <v>11775.73066</v>
      </c>
      <c r="I2111" s="547">
        <v>13287.46248</v>
      </c>
      <c r="J2111" s="548">
        <v>10415.99819</v>
      </c>
      <c r="K2111" s="220"/>
      <c r="CE2111" s="525"/>
    </row>
    <row r="2112">
      <c r="A2112" s="219"/>
      <c r="B2112" s="889" t="s">
        <v>500</v>
      </c>
      <c r="C2112" s="890" t="s">
        <v>289</v>
      </c>
      <c r="D2112" s="890" t="s">
        <v>332</v>
      </c>
      <c r="E2112" s="891">
        <v>2019.0</v>
      </c>
      <c r="F2112" s="890" t="s">
        <v>291</v>
      </c>
      <c r="G2112" s="890" t="s">
        <v>89</v>
      </c>
      <c r="H2112" s="532">
        <v>5.558842452E7</v>
      </c>
      <c r="I2112" s="532">
        <v>6.27246942E7</v>
      </c>
      <c r="J2112" s="533">
        <v>4.916968177E7</v>
      </c>
      <c r="K2112" s="220"/>
      <c r="CE2112" s="525"/>
    </row>
    <row r="2113">
      <c r="A2113" s="219"/>
      <c r="B2113" s="886" t="s">
        <v>500</v>
      </c>
      <c r="C2113" s="887" t="s">
        <v>289</v>
      </c>
      <c r="D2113" s="887" t="s">
        <v>510</v>
      </c>
      <c r="E2113" s="888">
        <v>2019.0</v>
      </c>
      <c r="F2113" s="887" t="s">
        <v>291</v>
      </c>
      <c r="G2113" s="887" t="s">
        <v>89</v>
      </c>
      <c r="H2113" s="547">
        <v>1035023.152</v>
      </c>
      <c r="I2113" s="547">
        <v>1172519.393</v>
      </c>
      <c r="J2113" s="548">
        <v>917660.456</v>
      </c>
      <c r="K2113" s="220"/>
      <c r="CE2113" s="525"/>
    </row>
    <row r="2114">
      <c r="A2114" s="219"/>
      <c r="B2114" s="889" t="s">
        <v>500</v>
      </c>
      <c r="C2114" s="890" t="s">
        <v>289</v>
      </c>
      <c r="D2114" s="890" t="s">
        <v>512</v>
      </c>
      <c r="E2114" s="891">
        <v>2019.0</v>
      </c>
      <c r="F2114" s="890" t="s">
        <v>291</v>
      </c>
      <c r="G2114" s="890" t="s">
        <v>89</v>
      </c>
      <c r="H2114" s="532">
        <v>19627.04115</v>
      </c>
      <c r="I2114" s="532">
        <v>22146.69987</v>
      </c>
      <c r="J2114" s="533">
        <v>17360.72529</v>
      </c>
      <c r="K2114" s="220"/>
      <c r="CE2114" s="525"/>
    </row>
    <row r="2115">
      <c r="A2115" s="219"/>
      <c r="B2115" s="886" t="s">
        <v>500</v>
      </c>
      <c r="C2115" s="887" t="s">
        <v>289</v>
      </c>
      <c r="D2115" s="887" t="s">
        <v>515</v>
      </c>
      <c r="E2115" s="888">
        <v>2019.0</v>
      </c>
      <c r="F2115" s="887" t="s">
        <v>291</v>
      </c>
      <c r="G2115" s="887" t="s">
        <v>89</v>
      </c>
      <c r="H2115" s="547">
        <v>58280.25563</v>
      </c>
      <c r="I2115" s="547">
        <v>65762.09424</v>
      </c>
      <c r="J2115" s="548">
        <v>51550.68968</v>
      </c>
      <c r="K2115" s="220"/>
      <c r="CE2115" s="525"/>
    </row>
    <row r="2116">
      <c r="A2116" s="219"/>
      <c r="B2116" s="889" t="s">
        <v>500</v>
      </c>
      <c r="C2116" s="890" t="s">
        <v>289</v>
      </c>
      <c r="D2116" s="890" t="s">
        <v>518</v>
      </c>
      <c r="E2116" s="891">
        <v>2019.0</v>
      </c>
      <c r="F2116" s="890" t="s">
        <v>291</v>
      </c>
      <c r="G2116" s="890" t="s">
        <v>89</v>
      </c>
      <c r="H2116" s="532">
        <v>77907.29677</v>
      </c>
      <c r="I2116" s="532">
        <v>87908.79411</v>
      </c>
      <c r="J2116" s="533">
        <v>68911.41497</v>
      </c>
      <c r="K2116" s="220"/>
      <c r="CE2116" s="525"/>
    </row>
    <row r="2117">
      <c r="A2117" s="219"/>
      <c r="B2117" s="886" t="s">
        <v>500</v>
      </c>
      <c r="C2117" s="887" t="s">
        <v>289</v>
      </c>
      <c r="D2117" s="887" t="s">
        <v>522</v>
      </c>
      <c r="E2117" s="888">
        <v>2019.0</v>
      </c>
      <c r="F2117" s="887" t="s">
        <v>291</v>
      </c>
      <c r="G2117" s="887" t="s">
        <v>89</v>
      </c>
      <c r="H2117" s="547">
        <v>931476.4265</v>
      </c>
      <c r="I2117" s="547">
        <v>1051056.484</v>
      </c>
      <c r="J2117" s="548">
        <v>823919.7254</v>
      </c>
      <c r="K2117" s="220"/>
      <c r="CE2117" s="525"/>
    </row>
    <row r="2118">
      <c r="A2118" s="219"/>
      <c r="B2118" s="889" t="s">
        <v>500</v>
      </c>
      <c r="C2118" s="890" t="s">
        <v>289</v>
      </c>
      <c r="D2118" s="890" t="s">
        <v>302</v>
      </c>
      <c r="E2118" s="891">
        <v>2019.0</v>
      </c>
      <c r="F2118" s="890" t="s">
        <v>291</v>
      </c>
      <c r="G2118" s="890" t="s">
        <v>89</v>
      </c>
      <c r="H2118" s="532">
        <v>5094527.156</v>
      </c>
      <c r="I2118" s="532">
        <v>5748546.766</v>
      </c>
      <c r="J2118" s="533">
        <v>4506266.929</v>
      </c>
      <c r="K2118" s="220"/>
      <c r="CE2118" s="525"/>
    </row>
    <row r="2119">
      <c r="A2119" s="219"/>
      <c r="B2119" s="886" t="s">
        <v>436</v>
      </c>
      <c r="C2119" s="887" t="s">
        <v>289</v>
      </c>
      <c r="D2119" s="887" t="s">
        <v>290</v>
      </c>
      <c r="E2119" s="888">
        <v>2019.0</v>
      </c>
      <c r="F2119" s="887" t="s">
        <v>291</v>
      </c>
      <c r="G2119" s="887" t="s">
        <v>89</v>
      </c>
      <c r="H2119" s="547">
        <v>339568.9309</v>
      </c>
      <c r="I2119" s="547">
        <v>388238.6919</v>
      </c>
      <c r="J2119" s="548">
        <v>294497.6136</v>
      </c>
      <c r="K2119" s="220"/>
      <c r="CE2119" s="525"/>
    </row>
    <row r="2120">
      <c r="A2120" s="219"/>
      <c r="B2120" s="889" t="s">
        <v>436</v>
      </c>
      <c r="C2120" s="890" t="s">
        <v>289</v>
      </c>
      <c r="D2120" s="890" t="s">
        <v>310</v>
      </c>
      <c r="E2120" s="891">
        <v>2019.0</v>
      </c>
      <c r="F2120" s="890" t="s">
        <v>291</v>
      </c>
      <c r="G2120" s="890" t="s">
        <v>89</v>
      </c>
      <c r="H2120" s="532">
        <v>5296099.183</v>
      </c>
      <c r="I2120" s="532">
        <v>6055178.881</v>
      </c>
      <c r="J2120" s="533">
        <v>4593142.743</v>
      </c>
      <c r="K2120" s="220"/>
      <c r="CE2120" s="525"/>
    </row>
    <row r="2121">
      <c r="A2121" s="219"/>
      <c r="B2121" s="886" t="s">
        <v>436</v>
      </c>
      <c r="C2121" s="887" t="s">
        <v>289</v>
      </c>
      <c r="D2121" s="887" t="s">
        <v>318</v>
      </c>
      <c r="E2121" s="888">
        <v>2019.0</v>
      </c>
      <c r="F2121" s="887" t="s">
        <v>291</v>
      </c>
      <c r="G2121" s="887" t="s">
        <v>89</v>
      </c>
      <c r="H2121" s="547">
        <v>4168503.039</v>
      </c>
      <c r="I2121" s="547">
        <v>4765966.553</v>
      </c>
      <c r="J2121" s="548">
        <v>3615213.542</v>
      </c>
      <c r="K2121" s="220"/>
      <c r="CE2121" s="525"/>
    </row>
    <row r="2122">
      <c r="A2122" s="219"/>
      <c r="B2122" s="889" t="s">
        <v>436</v>
      </c>
      <c r="C2122" s="890" t="s">
        <v>289</v>
      </c>
      <c r="D2122" s="890" t="s">
        <v>309</v>
      </c>
      <c r="E2122" s="891">
        <v>2019.0</v>
      </c>
      <c r="F2122" s="890" t="s">
        <v>291</v>
      </c>
      <c r="G2122" s="890" t="s">
        <v>89</v>
      </c>
      <c r="H2122" s="532">
        <v>1176806.224</v>
      </c>
      <c r="I2122" s="532">
        <v>1345475.595</v>
      </c>
      <c r="J2122" s="533">
        <v>1020607.58</v>
      </c>
      <c r="K2122" s="220"/>
      <c r="CE2122" s="525"/>
    </row>
    <row r="2123">
      <c r="A2123" s="219"/>
      <c r="B2123" s="886" t="s">
        <v>436</v>
      </c>
      <c r="C2123" s="887" t="s">
        <v>289</v>
      </c>
      <c r="D2123" s="887" t="s">
        <v>334</v>
      </c>
      <c r="E2123" s="888">
        <v>2019.0</v>
      </c>
      <c r="F2123" s="887" t="s">
        <v>291</v>
      </c>
      <c r="G2123" s="887" t="s">
        <v>89</v>
      </c>
      <c r="H2123" s="547">
        <v>1309739.905</v>
      </c>
      <c r="I2123" s="547">
        <v>1497462.404</v>
      </c>
      <c r="J2123" s="548">
        <v>1135896.843</v>
      </c>
      <c r="K2123" s="220"/>
      <c r="CE2123" s="525"/>
    </row>
    <row r="2124">
      <c r="A2124" s="219"/>
      <c r="B2124" s="889" t="s">
        <v>436</v>
      </c>
      <c r="C2124" s="890" t="s">
        <v>289</v>
      </c>
      <c r="D2124" s="890" t="s">
        <v>339</v>
      </c>
      <c r="E2124" s="891">
        <v>2019.0</v>
      </c>
      <c r="F2124" s="890" t="s">
        <v>291</v>
      </c>
      <c r="G2124" s="890" t="s">
        <v>89</v>
      </c>
      <c r="H2124" s="532">
        <v>2437336.049</v>
      </c>
      <c r="I2124" s="532">
        <v>2786674.732</v>
      </c>
      <c r="J2124" s="533">
        <v>2113826.045</v>
      </c>
      <c r="K2124" s="220"/>
      <c r="CE2124" s="525"/>
    </row>
    <row r="2125">
      <c r="A2125" s="219"/>
      <c r="B2125" s="886" t="s">
        <v>436</v>
      </c>
      <c r="C2125" s="887" t="s">
        <v>289</v>
      </c>
      <c r="D2125" s="887" t="s">
        <v>344</v>
      </c>
      <c r="E2125" s="888">
        <v>2019.0</v>
      </c>
      <c r="F2125" s="887" t="s">
        <v>291</v>
      </c>
      <c r="G2125" s="887" t="s">
        <v>89</v>
      </c>
      <c r="H2125" s="547">
        <v>3233296.39</v>
      </c>
      <c r="I2125" s="547">
        <v>3696718.536</v>
      </c>
      <c r="J2125" s="548">
        <v>2804137.789</v>
      </c>
      <c r="K2125" s="220"/>
      <c r="CE2125" s="525"/>
    </row>
    <row r="2126">
      <c r="A2126" s="219"/>
      <c r="B2126" s="889" t="s">
        <v>436</v>
      </c>
      <c r="C2126" s="890" t="s">
        <v>289</v>
      </c>
      <c r="D2126" s="890" t="s">
        <v>349</v>
      </c>
      <c r="E2126" s="891">
        <v>2019.0</v>
      </c>
      <c r="F2126" s="890" t="s">
        <v>291</v>
      </c>
      <c r="G2126" s="890" t="s">
        <v>89</v>
      </c>
      <c r="H2126" s="532">
        <v>1127596.144</v>
      </c>
      <c r="I2126" s="532">
        <v>1289212.328</v>
      </c>
      <c r="J2126" s="533">
        <v>977929.2017</v>
      </c>
      <c r="K2126" s="220"/>
      <c r="CE2126" s="525"/>
    </row>
    <row r="2127">
      <c r="A2127" s="219"/>
      <c r="B2127" s="886" t="s">
        <v>436</v>
      </c>
      <c r="C2127" s="887" t="s">
        <v>289</v>
      </c>
      <c r="D2127" s="887" t="s">
        <v>355</v>
      </c>
      <c r="E2127" s="888">
        <v>2019.0</v>
      </c>
      <c r="F2127" s="887" t="s">
        <v>291</v>
      </c>
      <c r="G2127" s="887" t="s">
        <v>89</v>
      </c>
      <c r="H2127" s="547">
        <v>3418576.145</v>
      </c>
      <c r="I2127" s="547">
        <v>3908897.772</v>
      </c>
      <c r="J2127" s="548">
        <v>2964664.675</v>
      </c>
      <c r="K2127" s="220"/>
      <c r="CE2127" s="525"/>
    </row>
    <row r="2128">
      <c r="A2128" s="219"/>
      <c r="B2128" s="889" t="s">
        <v>436</v>
      </c>
      <c r="C2128" s="890" t="s">
        <v>289</v>
      </c>
      <c r="D2128" s="890" t="s">
        <v>358</v>
      </c>
      <c r="E2128" s="891">
        <v>2019.0</v>
      </c>
      <c r="F2128" s="890" t="s">
        <v>291</v>
      </c>
      <c r="G2128" s="890" t="s">
        <v>89</v>
      </c>
      <c r="H2128" s="532">
        <v>4216406.167</v>
      </c>
      <c r="I2128" s="532">
        <v>4820735.544</v>
      </c>
      <c r="J2128" s="533">
        <v>3656758.44</v>
      </c>
      <c r="K2128" s="220"/>
      <c r="CE2128" s="525"/>
    </row>
    <row r="2129">
      <c r="A2129" s="219"/>
      <c r="B2129" s="886" t="s">
        <v>436</v>
      </c>
      <c r="C2129" s="887" t="s">
        <v>289</v>
      </c>
      <c r="D2129" s="887" t="s">
        <v>362</v>
      </c>
      <c r="E2129" s="888">
        <v>2019.0</v>
      </c>
      <c r="F2129" s="887" t="s">
        <v>291</v>
      </c>
      <c r="G2129" s="887" t="s">
        <v>89</v>
      </c>
      <c r="H2129" s="547">
        <v>3986596.582</v>
      </c>
      <c r="I2129" s="547">
        <v>4558388.59</v>
      </c>
      <c r="J2129" s="548">
        <v>3457264.533</v>
      </c>
      <c r="K2129" s="220"/>
      <c r="CE2129" s="525"/>
    </row>
    <row r="2130">
      <c r="A2130" s="219"/>
      <c r="B2130" s="889" t="s">
        <v>436</v>
      </c>
      <c r="C2130" s="890" t="s">
        <v>289</v>
      </c>
      <c r="D2130" s="890" t="s">
        <v>366</v>
      </c>
      <c r="E2130" s="891">
        <v>2019.0</v>
      </c>
      <c r="F2130" s="890" t="s">
        <v>291</v>
      </c>
      <c r="G2130" s="890" t="s">
        <v>89</v>
      </c>
      <c r="H2130" s="532">
        <v>795960.3409</v>
      </c>
      <c r="I2130" s="532">
        <v>910043.8039</v>
      </c>
      <c r="J2130" s="533">
        <v>690311.7441</v>
      </c>
      <c r="K2130" s="220"/>
      <c r="CE2130" s="525"/>
    </row>
    <row r="2131">
      <c r="A2131" s="219"/>
      <c r="B2131" s="886" t="s">
        <v>436</v>
      </c>
      <c r="C2131" s="887" t="s">
        <v>289</v>
      </c>
      <c r="D2131" s="887" t="s">
        <v>368</v>
      </c>
      <c r="E2131" s="888">
        <v>2019.0</v>
      </c>
      <c r="F2131" s="887" t="s">
        <v>291</v>
      </c>
      <c r="G2131" s="887" t="s">
        <v>89</v>
      </c>
      <c r="H2131" s="547">
        <v>3190903.523</v>
      </c>
      <c r="I2131" s="547">
        <v>3648249.58</v>
      </c>
      <c r="J2131" s="548">
        <v>2767371.768</v>
      </c>
      <c r="K2131" s="220"/>
      <c r="CE2131" s="525"/>
    </row>
    <row r="2132">
      <c r="A2132" s="219"/>
      <c r="B2132" s="889" t="s">
        <v>436</v>
      </c>
      <c r="C2132" s="890" t="s">
        <v>289</v>
      </c>
      <c r="D2132" s="890" t="s">
        <v>373</v>
      </c>
      <c r="E2132" s="891">
        <v>2019.0</v>
      </c>
      <c r="F2132" s="890" t="s">
        <v>291</v>
      </c>
      <c r="G2132" s="890" t="s">
        <v>89</v>
      </c>
      <c r="H2132" s="532">
        <v>499823.3857</v>
      </c>
      <c r="I2132" s="532">
        <v>571462.109</v>
      </c>
      <c r="J2132" s="533">
        <v>433481.3374</v>
      </c>
      <c r="K2132" s="220"/>
      <c r="CE2132" s="525"/>
    </row>
    <row r="2133">
      <c r="A2133" s="219"/>
      <c r="B2133" s="886" t="s">
        <v>436</v>
      </c>
      <c r="C2133" s="887" t="s">
        <v>289</v>
      </c>
      <c r="D2133" s="887" t="s">
        <v>379</v>
      </c>
      <c r="E2133" s="888">
        <v>2019.0</v>
      </c>
      <c r="F2133" s="887" t="s">
        <v>291</v>
      </c>
      <c r="G2133" s="887" t="s">
        <v>89</v>
      </c>
      <c r="H2133" s="547">
        <v>2292695.968</v>
      </c>
      <c r="I2133" s="547">
        <v>2621534.165</v>
      </c>
      <c r="J2133" s="548">
        <v>1988276.539</v>
      </c>
      <c r="K2133" s="220"/>
      <c r="CE2133" s="525"/>
    </row>
    <row r="2134">
      <c r="A2134" s="219"/>
      <c r="B2134" s="889" t="s">
        <v>436</v>
      </c>
      <c r="C2134" s="890" t="s">
        <v>289</v>
      </c>
      <c r="D2134" s="890" t="s">
        <v>382</v>
      </c>
      <c r="E2134" s="891">
        <v>2019.0</v>
      </c>
      <c r="F2134" s="890" t="s">
        <v>291</v>
      </c>
      <c r="G2134" s="890" t="s">
        <v>89</v>
      </c>
      <c r="H2134" s="532">
        <v>504229.4852</v>
      </c>
      <c r="I2134" s="532">
        <v>576499.7264</v>
      </c>
      <c r="J2134" s="533">
        <v>437302.611</v>
      </c>
      <c r="K2134" s="220"/>
      <c r="CE2134" s="525"/>
    </row>
    <row r="2135">
      <c r="A2135" s="219"/>
      <c r="B2135" s="886" t="s">
        <v>436</v>
      </c>
      <c r="C2135" s="887" t="s">
        <v>289</v>
      </c>
      <c r="D2135" s="887" t="s">
        <v>387</v>
      </c>
      <c r="E2135" s="888">
        <v>2019.0</v>
      </c>
      <c r="F2135" s="887" t="s">
        <v>291</v>
      </c>
      <c r="G2135" s="887" t="s">
        <v>89</v>
      </c>
      <c r="H2135" s="547">
        <v>491195.9882</v>
      </c>
      <c r="I2135" s="547">
        <v>561598.1633</v>
      </c>
      <c r="J2135" s="548">
        <v>425999.0628</v>
      </c>
      <c r="K2135" s="220"/>
      <c r="CE2135" s="525"/>
    </row>
    <row r="2136">
      <c r="A2136" s="219"/>
      <c r="B2136" s="889" t="s">
        <v>436</v>
      </c>
      <c r="C2136" s="890" t="s">
        <v>289</v>
      </c>
      <c r="D2136" s="890" t="s">
        <v>392</v>
      </c>
      <c r="E2136" s="891">
        <v>2019.0</v>
      </c>
      <c r="F2136" s="890" t="s">
        <v>291</v>
      </c>
      <c r="G2136" s="890" t="s">
        <v>89</v>
      </c>
      <c r="H2136" s="532">
        <v>434697.5567</v>
      </c>
      <c r="I2136" s="532">
        <v>497001.9204</v>
      </c>
      <c r="J2136" s="533">
        <v>376999.7236</v>
      </c>
      <c r="K2136" s="220"/>
      <c r="CE2136" s="525"/>
    </row>
    <row r="2137">
      <c r="A2137" s="219"/>
      <c r="B2137" s="886" t="s">
        <v>436</v>
      </c>
      <c r="C2137" s="887" t="s">
        <v>289</v>
      </c>
      <c r="D2137" s="887" t="s">
        <v>398</v>
      </c>
      <c r="E2137" s="888">
        <v>2019.0</v>
      </c>
      <c r="F2137" s="887" t="s">
        <v>291</v>
      </c>
      <c r="G2137" s="887" t="s">
        <v>89</v>
      </c>
      <c r="H2137" s="547">
        <v>362903.2664</v>
      </c>
      <c r="I2137" s="547">
        <v>414917.4928</v>
      </c>
      <c r="J2137" s="548">
        <v>314734.7598</v>
      </c>
      <c r="K2137" s="220"/>
      <c r="CE2137" s="525"/>
    </row>
    <row r="2138">
      <c r="A2138" s="219"/>
      <c r="B2138" s="889" t="s">
        <v>436</v>
      </c>
      <c r="C2138" s="890" t="s">
        <v>289</v>
      </c>
      <c r="D2138" s="890" t="s">
        <v>402</v>
      </c>
      <c r="E2138" s="891">
        <v>2019.0</v>
      </c>
      <c r="F2138" s="890" t="s">
        <v>291</v>
      </c>
      <c r="G2138" s="890" t="s">
        <v>89</v>
      </c>
      <c r="H2138" s="532">
        <v>3779470.633</v>
      </c>
      <c r="I2138" s="532">
        <v>4321554.854</v>
      </c>
      <c r="J2138" s="533">
        <v>3277640.339</v>
      </c>
      <c r="K2138" s="220"/>
      <c r="CE2138" s="525"/>
    </row>
    <row r="2139">
      <c r="A2139" s="219"/>
      <c r="B2139" s="886" t="s">
        <v>436</v>
      </c>
      <c r="C2139" s="887" t="s">
        <v>289</v>
      </c>
      <c r="D2139" s="887" t="s">
        <v>407</v>
      </c>
      <c r="E2139" s="888">
        <v>2019.0</v>
      </c>
      <c r="F2139" s="887" t="s">
        <v>291</v>
      </c>
      <c r="G2139" s="887" t="s">
        <v>89</v>
      </c>
      <c r="H2139" s="547">
        <v>1342387.978</v>
      </c>
      <c r="I2139" s="547">
        <v>1534789.862</v>
      </c>
      <c r="J2139" s="548">
        <v>1164211.505</v>
      </c>
      <c r="K2139" s="220"/>
      <c r="CE2139" s="525"/>
    </row>
    <row r="2140">
      <c r="A2140" s="219"/>
      <c r="B2140" s="889" t="s">
        <v>436</v>
      </c>
      <c r="C2140" s="890" t="s">
        <v>289</v>
      </c>
      <c r="D2140" s="890" t="s">
        <v>414</v>
      </c>
      <c r="E2140" s="891">
        <v>2019.0</v>
      </c>
      <c r="F2140" s="890" t="s">
        <v>291</v>
      </c>
      <c r="G2140" s="890" t="s">
        <v>89</v>
      </c>
      <c r="H2140" s="532">
        <v>288588.0735</v>
      </c>
      <c r="I2140" s="532">
        <v>329950.8464</v>
      </c>
      <c r="J2140" s="533">
        <v>250283.4954</v>
      </c>
      <c r="K2140" s="220"/>
      <c r="CE2140" s="525"/>
    </row>
    <row r="2141">
      <c r="A2141" s="219"/>
      <c r="B2141" s="886" t="s">
        <v>436</v>
      </c>
      <c r="C2141" s="887" t="s">
        <v>289</v>
      </c>
      <c r="D2141" s="887" t="s">
        <v>417</v>
      </c>
      <c r="E2141" s="888">
        <v>2019.0</v>
      </c>
      <c r="F2141" s="887" t="s">
        <v>291</v>
      </c>
      <c r="G2141" s="887" t="s">
        <v>89</v>
      </c>
      <c r="H2141" s="547">
        <v>744253.7638</v>
      </c>
      <c r="I2141" s="547">
        <v>850926.2226</v>
      </c>
      <c r="J2141" s="548">
        <v>645468.2316</v>
      </c>
      <c r="K2141" s="220"/>
      <c r="CE2141" s="525"/>
    </row>
    <row r="2142">
      <c r="A2142" s="219"/>
      <c r="B2142" s="889" t="s">
        <v>436</v>
      </c>
      <c r="C2142" s="890" t="s">
        <v>289</v>
      </c>
      <c r="D2142" s="890" t="s">
        <v>300</v>
      </c>
      <c r="E2142" s="891">
        <v>2019.0</v>
      </c>
      <c r="F2142" s="890" t="s">
        <v>291</v>
      </c>
      <c r="G2142" s="890" t="s">
        <v>89</v>
      </c>
      <c r="H2142" s="532">
        <v>2652127.884</v>
      </c>
      <c r="I2142" s="532">
        <v>3032252.266</v>
      </c>
      <c r="J2142" s="533">
        <v>2300108.348</v>
      </c>
      <c r="K2142" s="220"/>
      <c r="CE2142" s="525"/>
    </row>
    <row r="2143">
      <c r="A2143" s="219"/>
      <c r="B2143" s="886" t="s">
        <v>436</v>
      </c>
      <c r="C2143" s="887" t="s">
        <v>289</v>
      </c>
      <c r="D2143" s="887" t="s">
        <v>429</v>
      </c>
      <c r="E2143" s="888">
        <v>2019.0</v>
      </c>
      <c r="F2143" s="887" t="s">
        <v>291</v>
      </c>
      <c r="G2143" s="887" t="s">
        <v>89</v>
      </c>
      <c r="H2143" s="547">
        <v>609424.9081</v>
      </c>
      <c r="I2143" s="547">
        <v>696833.8759</v>
      </c>
      <c r="J2143" s="548">
        <v>528506.7293</v>
      </c>
      <c r="K2143" s="220"/>
      <c r="CE2143" s="525"/>
    </row>
    <row r="2144">
      <c r="A2144" s="219"/>
      <c r="B2144" s="889" t="s">
        <v>436</v>
      </c>
      <c r="C2144" s="890" t="s">
        <v>289</v>
      </c>
      <c r="D2144" s="890" t="s">
        <v>432</v>
      </c>
      <c r="E2144" s="891">
        <v>2019.0</v>
      </c>
      <c r="F2144" s="890" t="s">
        <v>291</v>
      </c>
      <c r="G2144" s="890" t="s">
        <v>89</v>
      </c>
      <c r="H2144" s="532">
        <v>208125.9657</v>
      </c>
      <c r="I2144" s="532">
        <v>237956.2596</v>
      </c>
      <c r="J2144" s="533">
        <v>180501.2021</v>
      </c>
      <c r="K2144" s="220"/>
      <c r="CE2144" s="525"/>
    </row>
    <row r="2145">
      <c r="A2145" s="219"/>
      <c r="B2145" s="886" t="s">
        <v>436</v>
      </c>
      <c r="C2145" s="887" t="s">
        <v>289</v>
      </c>
      <c r="D2145" s="887" t="s">
        <v>435</v>
      </c>
      <c r="E2145" s="888">
        <v>2019.0</v>
      </c>
      <c r="F2145" s="887" t="s">
        <v>291</v>
      </c>
      <c r="G2145" s="887" t="s">
        <v>89</v>
      </c>
      <c r="H2145" s="547">
        <v>148306.3458</v>
      </c>
      <c r="I2145" s="547">
        <v>169562.8087</v>
      </c>
      <c r="J2145" s="548">
        <v>128621.499</v>
      </c>
      <c r="K2145" s="220"/>
      <c r="CE2145" s="525"/>
    </row>
    <row r="2146">
      <c r="A2146" s="219"/>
      <c r="B2146" s="889" t="s">
        <v>436</v>
      </c>
      <c r="C2146" s="890" t="s">
        <v>289</v>
      </c>
      <c r="D2146" s="890" t="s">
        <v>442</v>
      </c>
      <c r="E2146" s="891">
        <v>2019.0</v>
      </c>
      <c r="F2146" s="890" t="s">
        <v>291</v>
      </c>
      <c r="G2146" s="890" t="s">
        <v>89</v>
      </c>
      <c r="H2146" s="532">
        <v>99233.3788</v>
      </c>
      <c r="I2146" s="532">
        <v>113456.3079</v>
      </c>
      <c r="J2146" s="533">
        <v>86062.03508</v>
      </c>
      <c r="K2146" s="220"/>
      <c r="CE2146" s="525"/>
    </row>
    <row r="2147">
      <c r="A2147" s="219"/>
      <c r="B2147" s="886" t="s">
        <v>436</v>
      </c>
      <c r="C2147" s="887" t="s">
        <v>289</v>
      </c>
      <c r="D2147" s="887" t="s">
        <v>445</v>
      </c>
      <c r="E2147" s="888">
        <v>2019.0</v>
      </c>
      <c r="F2147" s="887" t="s">
        <v>291</v>
      </c>
      <c r="G2147" s="887" t="s">
        <v>89</v>
      </c>
      <c r="H2147" s="547">
        <v>169392.8671</v>
      </c>
      <c r="I2147" s="547">
        <v>193688.6506</v>
      </c>
      <c r="J2147" s="548">
        <v>146901.2325</v>
      </c>
      <c r="K2147" s="220"/>
      <c r="CE2147" s="525"/>
    </row>
    <row r="2148">
      <c r="A2148" s="219"/>
      <c r="B2148" s="889" t="s">
        <v>436</v>
      </c>
      <c r="C2148" s="890" t="s">
        <v>289</v>
      </c>
      <c r="D2148" s="890" t="s">
        <v>450</v>
      </c>
      <c r="E2148" s="891">
        <v>2019.0</v>
      </c>
      <c r="F2148" s="890" t="s">
        <v>291</v>
      </c>
      <c r="G2148" s="890" t="s">
        <v>89</v>
      </c>
      <c r="H2148" s="532">
        <v>70170.84525</v>
      </c>
      <c r="I2148" s="532">
        <v>80228.29737</v>
      </c>
      <c r="J2148" s="533">
        <v>60857.00012</v>
      </c>
      <c r="K2148" s="220"/>
      <c r="CE2148" s="525"/>
    </row>
    <row r="2149">
      <c r="A2149" s="219"/>
      <c r="B2149" s="886" t="s">
        <v>436</v>
      </c>
      <c r="C2149" s="887" t="s">
        <v>289</v>
      </c>
      <c r="D2149" s="887" t="s">
        <v>457</v>
      </c>
      <c r="E2149" s="888">
        <v>2019.0</v>
      </c>
      <c r="F2149" s="887" t="s">
        <v>291</v>
      </c>
      <c r="G2149" s="887" t="s">
        <v>89</v>
      </c>
      <c r="H2149" s="547">
        <v>153800.0768</v>
      </c>
      <c r="I2149" s="547">
        <v>175843.9456</v>
      </c>
      <c r="J2149" s="548">
        <v>133386.0417</v>
      </c>
      <c r="K2149" s="220"/>
      <c r="CE2149" s="525"/>
    </row>
    <row r="2150">
      <c r="A2150" s="219"/>
      <c r="B2150" s="889" t="s">
        <v>436</v>
      </c>
      <c r="C2150" s="890" t="s">
        <v>289</v>
      </c>
      <c r="D2150" s="890" t="s">
        <v>463</v>
      </c>
      <c r="E2150" s="891">
        <v>2019.0</v>
      </c>
      <c r="F2150" s="890" t="s">
        <v>291</v>
      </c>
      <c r="G2150" s="890" t="s">
        <v>89</v>
      </c>
      <c r="H2150" s="532">
        <v>83623.62498</v>
      </c>
      <c r="I2150" s="532">
        <v>95617.64531</v>
      </c>
      <c r="J2150" s="533">
        <v>72520.25301</v>
      </c>
      <c r="K2150" s="220"/>
      <c r="CE2150" s="525"/>
    </row>
    <row r="2151">
      <c r="A2151" s="219"/>
      <c r="B2151" s="886" t="s">
        <v>436</v>
      </c>
      <c r="C2151" s="887" t="s">
        <v>289</v>
      </c>
      <c r="D2151" s="887" t="s">
        <v>467</v>
      </c>
      <c r="E2151" s="888">
        <v>2019.0</v>
      </c>
      <c r="F2151" s="887" t="s">
        <v>291</v>
      </c>
      <c r="G2151" s="887" t="s">
        <v>89</v>
      </c>
      <c r="H2151" s="547">
        <v>43549.2298</v>
      </c>
      <c r="I2151" s="547">
        <v>49791.05705</v>
      </c>
      <c r="J2151" s="548">
        <v>37768.89781</v>
      </c>
      <c r="K2151" s="220"/>
      <c r="CE2151" s="525"/>
    </row>
    <row r="2152">
      <c r="A2152" s="219"/>
      <c r="B2152" s="889" t="s">
        <v>436</v>
      </c>
      <c r="C2152" s="890" t="s">
        <v>289</v>
      </c>
      <c r="D2152" s="890" t="s">
        <v>473</v>
      </c>
      <c r="E2152" s="891">
        <v>2019.0</v>
      </c>
      <c r="F2152" s="890" t="s">
        <v>291</v>
      </c>
      <c r="G2152" s="890" t="s">
        <v>89</v>
      </c>
      <c r="H2152" s="532">
        <v>67562.24871</v>
      </c>
      <c r="I2152" s="532">
        <v>77252.60817</v>
      </c>
      <c r="J2152" s="533">
        <v>58591.47307</v>
      </c>
      <c r="K2152" s="220"/>
      <c r="CE2152" s="525"/>
    </row>
    <row r="2153">
      <c r="A2153" s="219"/>
      <c r="B2153" s="886" t="s">
        <v>436</v>
      </c>
      <c r="C2153" s="887" t="s">
        <v>289</v>
      </c>
      <c r="D2153" s="887" t="s">
        <v>477</v>
      </c>
      <c r="E2153" s="888">
        <v>2019.0</v>
      </c>
      <c r="F2153" s="887" t="s">
        <v>291</v>
      </c>
      <c r="G2153" s="887" t="s">
        <v>89</v>
      </c>
      <c r="H2153" s="547">
        <v>40080.00172</v>
      </c>
      <c r="I2153" s="547">
        <v>45824.59119</v>
      </c>
      <c r="J2153" s="548">
        <v>34760.14378</v>
      </c>
      <c r="K2153" s="220"/>
      <c r="CE2153" s="525"/>
    </row>
    <row r="2154">
      <c r="A2154" s="219"/>
      <c r="B2154" s="889" t="s">
        <v>436</v>
      </c>
      <c r="C2154" s="890" t="s">
        <v>289</v>
      </c>
      <c r="D2154" s="890" t="s">
        <v>483</v>
      </c>
      <c r="E2154" s="891">
        <v>2019.0</v>
      </c>
      <c r="F2154" s="890" t="s">
        <v>291</v>
      </c>
      <c r="G2154" s="890" t="s">
        <v>89</v>
      </c>
      <c r="H2154" s="532">
        <v>24017.54863</v>
      </c>
      <c r="I2154" s="532">
        <v>27459.93762</v>
      </c>
      <c r="J2154" s="533">
        <v>20829.67584</v>
      </c>
      <c r="K2154" s="220"/>
      <c r="CE2154" s="525"/>
    </row>
    <row r="2155">
      <c r="A2155" s="219"/>
      <c r="B2155" s="886" t="s">
        <v>436</v>
      </c>
      <c r="C2155" s="887" t="s">
        <v>289</v>
      </c>
      <c r="D2155" s="887" t="s">
        <v>489</v>
      </c>
      <c r="E2155" s="888">
        <v>2019.0</v>
      </c>
      <c r="F2155" s="887" t="s">
        <v>291</v>
      </c>
      <c r="G2155" s="887" t="s">
        <v>89</v>
      </c>
      <c r="H2155" s="547">
        <v>16061.37626</v>
      </c>
      <c r="I2155" s="547">
        <v>18365.03714</v>
      </c>
      <c r="J2155" s="548">
        <v>13928.77994</v>
      </c>
      <c r="K2155" s="220"/>
      <c r="CE2155" s="525"/>
    </row>
    <row r="2156">
      <c r="A2156" s="219"/>
      <c r="B2156" s="889" t="s">
        <v>436</v>
      </c>
      <c r="C2156" s="890" t="s">
        <v>289</v>
      </c>
      <c r="D2156" s="890" t="s">
        <v>493</v>
      </c>
      <c r="E2156" s="891">
        <v>2019.0</v>
      </c>
      <c r="F2156" s="890" t="s">
        <v>291</v>
      </c>
      <c r="G2156" s="890" t="s">
        <v>89</v>
      </c>
      <c r="H2156" s="532">
        <v>10592.32564</v>
      </c>
      <c r="I2156" s="532">
        <v>12110.50327</v>
      </c>
      <c r="J2156" s="533">
        <v>9186.395865</v>
      </c>
      <c r="K2156" s="220"/>
      <c r="CE2156" s="525"/>
    </row>
    <row r="2157">
      <c r="A2157" s="219"/>
      <c r="B2157" s="886" t="s">
        <v>436</v>
      </c>
      <c r="C2157" s="887" t="s">
        <v>289</v>
      </c>
      <c r="D2157" s="887" t="s">
        <v>496</v>
      </c>
      <c r="E2157" s="888">
        <v>2019.0</v>
      </c>
      <c r="F2157" s="887" t="s">
        <v>291</v>
      </c>
      <c r="G2157" s="887" t="s">
        <v>89</v>
      </c>
      <c r="H2157" s="547">
        <v>4206.245221</v>
      </c>
      <c r="I2157" s="547">
        <v>4809.118249</v>
      </c>
      <c r="J2157" s="548">
        <v>3647.946167</v>
      </c>
      <c r="K2157" s="220"/>
      <c r="CE2157" s="525"/>
    </row>
    <row r="2158">
      <c r="A2158" s="219"/>
      <c r="B2158" s="889" t="s">
        <v>436</v>
      </c>
      <c r="C2158" s="890" t="s">
        <v>289</v>
      </c>
      <c r="D2158" s="890" t="s">
        <v>502</v>
      </c>
      <c r="E2158" s="891">
        <v>2019.0</v>
      </c>
      <c r="F2158" s="890" t="s">
        <v>291</v>
      </c>
      <c r="G2158" s="890" t="s">
        <v>89</v>
      </c>
      <c r="H2158" s="532">
        <v>1263.882239</v>
      </c>
      <c r="I2158" s="532">
        <v>1445.032046</v>
      </c>
      <c r="J2158" s="533">
        <v>1096.125909</v>
      </c>
      <c r="K2158" s="220"/>
      <c r="CE2158" s="525"/>
    </row>
    <row r="2159">
      <c r="A2159" s="219"/>
      <c r="B2159" s="886" t="s">
        <v>436</v>
      </c>
      <c r="C2159" s="887" t="s">
        <v>289</v>
      </c>
      <c r="D2159" s="887" t="s">
        <v>332</v>
      </c>
      <c r="E2159" s="888">
        <v>2019.0</v>
      </c>
      <c r="F2159" s="887" t="s">
        <v>291</v>
      </c>
      <c r="G2159" s="887" t="s">
        <v>89</v>
      </c>
      <c r="H2159" s="547">
        <v>9282963.047</v>
      </c>
      <c r="I2159" s="547">
        <v>1.061347226E7</v>
      </c>
      <c r="J2159" s="548">
        <v>8050826.255</v>
      </c>
      <c r="K2159" s="220"/>
      <c r="CE2159" s="525"/>
    </row>
    <row r="2160">
      <c r="A2160" s="219"/>
      <c r="B2160" s="889" t="s">
        <v>436</v>
      </c>
      <c r="C2160" s="890" t="s">
        <v>289</v>
      </c>
      <c r="D2160" s="890" t="s">
        <v>510</v>
      </c>
      <c r="E2160" s="891">
        <v>2019.0</v>
      </c>
      <c r="F2160" s="890" t="s">
        <v>291</v>
      </c>
      <c r="G2160" s="890" t="s">
        <v>89</v>
      </c>
      <c r="H2160" s="532">
        <v>364136.6407</v>
      </c>
      <c r="I2160" s="532">
        <v>393187.0724</v>
      </c>
      <c r="J2160" s="533">
        <v>339390.4123</v>
      </c>
      <c r="K2160" s="220"/>
      <c r="CE2160" s="525"/>
    </row>
    <row r="2161">
      <c r="A2161" s="219"/>
      <c r="B2161" s="886" t="s">
        <v>436</v>
      </c>
      <c r="C2161" s="887" t="s">
        <v>289</v>
      </c>
      <c r="D2161" s="887" t="s">
        <v>512</v>
      </c>
      <c r="E2161" s="888">
        <v>2019.0</v>
      </c>
      <c r="F2161" s="887" t="s">
        <v>291</v>
      </c>
      <c r="G2161" s="887" t="s">
        <v>89</v>
      </c>
      <c r="H2161" s="547">
        <v>6866.629207</v>
      </c>
      <c r="I2161" s="547">
        <v>7850.809948</v>
      </c>
      <c r="J2161" s="548">
        <v>5955.214776</v>
      </c>
      <c r="K2161" s="220"/>
      <c r="CE2161" s="525"/>
    </row>
    <row r="2162">
      <c r="A2162" s="219"/>
      <c r="B2162" s="889" t="s">
        <v>436</v>
      </c>
      <c r="C2162" s="890" t="s">
        <v>289</v>
      </c>
      <c r="D2162" s="890" t="s">
        <v>515</v>
      </c>
      <c r="E2162" s="891">
        <v>2019.0</v>
      </c>
      <c r="F2162" s="890" t="s">
        <v>291</v>
      </c>
      <c r="G2162" s="890" t="s">
        <v>89</v>
      </c>
      <c r="H2162" s="532">
        <v>20228.42666</v>
      </c>
      <c r="I2162" s="532">
        <v>23127.7281</v>
      </c>
      <c r="J2162" s="533">
        <v>17543.48775</v>
      </c>
      <c r="K2162" s="220"/>
      <c r="CE2162" s="525"/>
    </row>
    <row r="2163">
      <c r="A2163" s="219"/>
      <c r="B2163" s="886" t="s">
        <v>436</v>
      </c>
      <c r="C2163" s="887" t="s">
        <v>289</v>
      </c>
      <c r="D2163" s="887" t="s">
        <v>518</v>
      </c>
      <c r="E2163" s="888">
        <v>2019.0</v>
      </c>
      <c r="F2163" s="887" t="s">
        <v>291</v>
      </c>
      <c r="G2163" s="887" t="s">
        <v>89</v>
      </c>
      <c r="H2163" s="547">
        <v>27095.05587</v>
      </c>
      <c r="I2163" s="547">
        <v>30978.53805</v>
      </c>
      <c r="J2163" s="548">
        <v>23498.70252</v>
      </c>
      <c r="K2163" s="220"/>
      <c r="CE2163" s="525"/>
    </row>
    <row r="2164">
      <c r="A2164" s="219"/>
      <c r="B2164" s="889" t="s">
        <v>436</v>
      </c>
      <c r="C2164" s="890" t="s">
        <v>289</v>
      </c>
      <c r="D2164" s="890" t="s">
        <v>522</v>
      </c>
      <c r="E2164" s="891">
        <v>2019.0</v>
      </c>
      <c r="F2164" s="890" t="s">
        <v>291</v>
      </c>
      <c r="G2164" s="890" t="s">
        <v>89</v>
      </c>
      <c r="H2164" s="532">
        <v>312473.8751</v>
      </c>
      <c r="I2164" s="532">
        <v>357260.1539</v>
      </c>
      <c r="J2164" s="533">
        <v>270998.9111</v>
      </c>
      <c r="K2164" s="220"/>
      <c r="CE2164" s="525"/>
    </row>
    <row r="2165">
      <c r="A2165" s="219"/>
      <c r="B2165" s="886" t="s">
        <v>436</v>
      </c>
      <c r="C2165" s="887" t="s">
        <v>289</v>
      </c>
      <c r="D2165" s="887" t="s">
        <v>302</v>
      </c>
      <c r="E2165" s="888">
        <v>2019.0</v>
      </c>
      <c r="F2165" s="887" t="s">
        <v>291</v>
      </c>
      <c r="G2165" s="887" t="s">
        <v>89</v>
      </c>
      <c r="H2165" s="547">
        <v>1516375.155</v>
      </c>
      <c r="I2165" s="547">
        <v>1733714.286</v>
      </c>
      <c r="J2165" s="548">
        <v>1315105.193</v>
      </c>
      <c r="K2165" s="220"/>
      <c r="CE2165" s="525"/>
    </row>
    <row r="2166">
      <c r="A2166" s="219"/>
      <c r="B2166" s="889" t="s">
        <v>8</v>
      </c>
      <c r="C2166" s="890" t="s">
        <v>289</v>
      </c>
      <c r="D2166" s="890" t="s">
        <v>290</v>
      </c>
      <c r="E2166" s="891">
        <v>2019.0</v>
      </c>
      <c r="F2166" s="890" t="s">
        <v>291</v>
      </c>
      <c r="G2166" s="890" t="s">
        <v>89</v>
      </c>
      <c r="H2166" s="532">
        <v>227729.7744</v>
      </c>
      <c r="I2166" s="532">
        <v>255797.6731</v>
      </c>
      <c r="J2166" s="533">
        <v>199599.5201</v>
      </c>
      <c r="K2166" s="220"/>
      <c r="CE2166" s="525"/>
    </row>
    <row r="2167">
      <c r="A2167" s="219"/>
      <c r="B2167" s="886" t="s">
        <v>8</v>
      </c>
      <c r="C2167" s="887" t="s">
        <v>289</v>
      </c>
      <c r="D2167" s="887" t="s">
        <v>310</v>
      </c>
      <c r="E2167" s="888">
        <v>2019.0</v>
      </c>
      <c r="F2167" s="887" t="s">
        <v>291</v>
      </c>
      <c r="G2167" s="887" t="s">
        <v>89</v>
      </c>
      <c r="H2167" s="547">
        <v>3956442.196</v>
      </c>
      <c r="I2167" s="547">
        <v>4444077.24</v>
      </c>
      <c r="J2167" s="548">
        <v>3467723.821</v>
      </c>
      <c r="K2167" s="220"/>
      <c r="CE2167" s="525"/>
    </row>
    <row r="2168">
      <c r="A2168" s="219"/>
      <c r="B2168" s="889" t="s">
        <v>8</v>
      </c>
      <c r="C2168" s="890" t="s">
        <v>289</v>
      </c>
      <c r="D2168" s="890" t="s">
        <v>318</v>
      </c>
      <c r="E2168" s="891">
        <v>2019.0</v>
      </c>
      <c r="F2168" s="890" t="s">
        <v>291</v>
      </c>
      <c r="G2168" s="890" t="s">
        <v>89</v>
      </c>
      <c r="H2168" s="532">
        <v>3147635.995</v>
      </c>
      <c r="I2168" s="532">
        <v>3535584.95</v>
      </c>
      <c r="J2168" s="533">
        <v>2758825.171</v>
      </c>
      <c r="K2168" s="220"/>
      <c r="CE2168" s="525"/>
    </row>
    <row r="2169">
      <c r="A2169" s="219"/>
      <c r="B2169" s="886" t="s">
        <v>8</v>
      </c>
      <c r="C2169" s="887" t="s">
        <v>289</v>
      </c>
      <c r="D2169" s="887" t="s">
        <v>309</v>
      </c>
      <c r="E2169" s="888">
        <v>2019.0</v>
      </c>
      <c r="F2169" s="887" t="s">
        <v>291</v>
      </c>
      <c r="G2169" s="887" t="s">
        <v>89</v>
      </c>
      <c r="H2169" s="547">
        <v>887125.4327</v>
      </c>
      <c r="I2169" s="547">
        <v>996464.4367</v>
      </c>
      <c r="J2169" s="548">
        <v>777543.5209</v>
      </c>
      <c r="K2169" s="220"/>
      <c r="CE2169" s="525"/>
    </row>
    <row r="2170">
      <c r="A2170" s="219"/>
      <c r="B2170" s="889" t="s">
        <v>8</v>
      </c>
      <c r="C2170" s="890" t="s">
        <v>289</v>
      </c>
      <c r="D2170" s="890" t="s">
        <v>334</v>
      </c>
      <c r="E2170" s="891">
        <v>2019.0</v>
      </c>
      <c r="F2170" s="890" t="s">
        <v>291</v>
      </c>
      <c r="G2170" s="890" t="s">
        <v>89</v>
      </c>
      <c r="H2170" s="532">
        <v>957955.9901</v>
      </c>
      <c r="I2170" s="532">
        <v>1076024.924</v>
      </c>
      <c r="J2170" s="533">
        <v>839624.7543</v>
      </c>
      <c r="K2170" s="220"/>
      <c r="CE2170" s="525"/>
    </row>
    <row r="2171">
      <c r="A2171" s="219"/>
      <c r="B2171" s="886" t="s">
        <v>8</v>
      </c>
      <c r="C2171" s="887" t="s">
        <v>289</v>
      </c>
      <c r="D2171" s="887" t="s">
        <v>339</v>
      </c>
      <c r="E2171" s="888">
        <v>2019.0</v>
      </c>
      <c r="F2171" s="887" t="s">
        <v>291</v>
      </c>
      <c r="G2171" s="887" t="s">
        <v>89</v>
      </c>
      <c r="H2171" s="547">
        <v>1766762.191</v>
      </c>
      <c r="I2171" s="547">
        <v>1984517.214</v>
      </c>
      <c r="J2171" s="548">
        <v>1548523.404</v>
      </c>
      <c r="K2171" s="220"/>
      <c r="CE2171" s="525"/>
    </row>
    <row r="2172">
      <c r="A2172" s="219"/>
      <c r="B2172" s="889" t="s">
        <v>8</v>
      </c>
      <c r="C2172" s="890" t="s">
        <v>289</v>
      </c>
      <c r="D2172" s="890" t="s">
        <v>344</v>
      </c>
      <c r="E2172" s="891">
        <v>2019.0</v>
      </c>
      <c r="F2172" s="890" t="s">
        <v>291</v>
      </c>
      <c r="G2172" s="890" t="s">
        <v>89</v>
      </c>
      <c r="H2172" s="532">
        <v>2469170.311</v>
      </c>
      <c r="I2172" s="532">
        <v>2773497.763</v>
      </c>
      <c r="J2172" s="533">
        <v>2164166.764</v>
      </c>
      <c r="K2172" s="220"/>
      <c r="CE2172" s="525"/>
    </row>
    <row r="2173">
      <c r="A2173" s="219"/>
      <c r="B2173" s="886" t="s">
        <v>8</v>
      </c>
      <c r="C2173" s="887" t="s">
        <v>289</v>
      </c>
      <c r="D2173" s="887" t="s">
        <v>349</v>
      </c>
      <c r="E2173" s="888">
        <v>2019.0</v>
      </c>
      <c r="F2173" s="887" t="s">
        <v>291</v>
      </c>
      <c r="G2173" s="887" t="s">
        <v>89</v>
      </c>
      <c r="H2173" s="547">
        <v>808806.2013</v>
      </c>
      <c r="I2173" s="547">
        <v>908492.2899</v>
      </c>
      <c r="J2173" s="548">
        <v>708898.6499</v>
      </c>
      <c r="K2173" s="220"/>
      <c r="CE2173" s="525"/>
    </row>
    <row r="2174">
      <c r="A2174" s="219"/>
      <c r="B2174" s="889" t="s">
        <v>8</v>
      </c>
      <c r="C2174" s="890" t="s">
        <v>289</v>
      </c>
      <c r="D2174" s="890" t="s">
        <v>355</v>
      </c>
      <c r="E2174" s="891">
        <v>2019.0</v>
      </c>
      <c r="F2174" s="890" t="s">
        <v>291</v>
      </c>
      <c r="G2174" s="890" t="s">
        <v>89</v>
      </c>
      <c r="H2174" s="532">
        <v>3187755.962</v>
      </c>
      <c r="I2174" s="532">
        <v>3580699.753</v>
      </c>
      <c r="J2174" s="533">
        <v>2793737.912</v>
      </c>
      <c r="K2174" s="220"/>
      <c r="CE2174" s="525"/>
    </row>
    <row r="2175">
      <c r="A2175" s="219"/>
      <c r="B2175" s="886" t="s">
        <v>8</v>
      </c>
      <c r="C2175" s="887" t="s">
        <v>289</v>
      </c>
      <c r="D2175" s="887" t="s">
        <v>358</v>
      </c>
      <c r="E2175" s="888">
        <v>2019.0</v>
      </c>
      <c r="F2175" s="887" t="s">
        <v>291</v>
      </c>
      <c r="G2175" s="887" t="s">
        <v>89</v>
      </c>
      <c r="H2175" s="547">
        <v>3929843.409</v>
      </c>
      <c r="I2175" s="547">
        <v>4414200.128</v>
      </c>
      <c r="J2175" s="548">
        <v>3444410.641</v>
      </c>
      <c r="K2175" s="220"/>
      <c r="CE2175" s="525"/>
    </row>
    <row r="2176">
      <c r="A2176" s="219"/>
      <c r="B2176" s="889" t="s">
        <v>8</v>
      </c>
      <c r="C2176" s="890" t="s">
        <v>289</v>
      </c>
      <c r="D2176" s="890" t="s">
        <v>362</v>
      </c>
      <c r="E2176" s="891">
        <v>2019.0</v>
      </c>
      <c r="F2176" s="890" t="s">
        <v>291</v>
      </c>
      <c r="G2176" s="890" t="s">
        <v>89</v>
      </c>
      <c r="H2176" s="532">
        <v>3965230.591</v>
      </c>
      <c r="I2176" s="532">
        <v>4454011.023</v>
      </c>
      <c r="J2176" s="533">
        <v>3475113.892</v>
      </c>
      <c r="K2176" s="220"/>
      <c r="CE2176" s="525"/>
    </row>
    <row r="2177">
      <c r="A2177" s="219"/>
      <c r="B2177" s="886" t="s">
        <v>8</v>
      </c>
      <c r="C2177" s="887" t="s">
        <v>289</v>
      </c>
      <c r="D2177" s="887" t="s">
        <v>366</v>
      </c>
      <c r="E2177" s="888">
        <v>2019.0</v>
      </c>
      <c r="F2177" s="887" t="s">
        <v>291</v>
      </c>
      <c r="G2177" s="887" t="s">
        <v>89</v>
      </c>
      <c r="H2177" s="547">
        <v>702408.1195</v>
      </c>
      <c r="I2177" s="547">
        <v>788980.5493</v>
      </c>
      <c r="J2177" s="548">
        <v>615643.3603</v>
      </c>
      <c r="K2177" s="220"/>
      <c r="CE2177" s="525"/>
    </row>
    <row r="2178">
      <c r="A2178" s="219"/>
      <c r="B2178" s="889" t="s">
        <v>8</v>
      </c>
      <c r="C2178" s="890" t="s">
        <v>289</v>
      </c>
      <c r="D2178" s="890" t="s">
        <v>368</v>
      </c>
      <c r="E2178" s="891">
        <v>2019.0</v>
      </c>
      <c r="F2178" s="890" t="s">
        <v>291</v>
      </c>
      <c r="G2178" s="890" t="s">
        <v>89</v>
      </c>
      <c r="H2178" s="532">
        <v>3262676.27</v>
      </c>
      <c r="I2178" s="532">
        <v>3664804.042</v>
      </c>
      <c r="J2178" s="533">
        <v>2859655.13</v>
      </c>
      <c r="K2178" s="220"/>
      <c r="CE2178" s="525"/>
    </row>
    <row r="2179">
      <c r="A2179" s="219"/>
      <c r="B2179" s="886" t="s">
        <v>8</v>
      </c>
      <c r="C2179" s="887" t="s">
        <v>289</v>
      </c>
      <c r="D2179" s="887" t="s">
        <v>373</v>
      </c>
      <c r="E2179" s="888">
        <v>2019.0</v>
      </c>
      <c r="F2179" s="887" t="s">
        <v>291</v>
      </c>
      <c r="G2179" s="887" t="s">
        <v>89</v>
      </c>
      <c r="H2179" s="547">
        <v>630229.4452</v>
      </c>
      <c r="I2179" s="547">
        <v>707905.7887</v>
      </c>
      <c r="J2179" s="548">
        <v>552380.5358</v>
      </c>
      <c r="K2179" s="220"/>
      <c r="CE2179" s="525"/>
    </row>
    <row r="2180">
      <c r="A2180" s="219"/>
      <c r="B2180" s="889" t="s">
        <v>8</v>
      </c>
      <c r="C2180" s="890" t="s">
        <v>289</v>
      </c>
      <c r="D2180" s="890" t="s">
        <v>379</v>
      </c>
      <c r="E2180" s="891">
        <v>2019.0</v>
      </c>
      <c r="F2180" s="890" t="s">
        <v>291</v>
      </c>
      <c r="G2180" s="890" t="s">
        <v>89</v>
      </c>
      <c r="H2180" s="532">
        <v>2418718.268</v>
      </c>
      <c r="I2180" s="532">
        <v>2716865.408</v>
      </c>
      <c r="J2180" s="533">
        <v>2119756.03</v>
      </c>
      <c r="K2180" s="220"/>
      <c r="CE2180" s="525"/>
    </row>
    <row r="2181">
      <c r="A2181" s="219"/>
      <c r="B2181" s="886" t="s">
        <v>8</v>
      </c>
      <c r="C2181" s="887" t="s">
        <v>289</v>
      </c>
      <c r="D2181" s="887" t="s">
        <v>382</v>
      </c>
      <c r="E2181" s="888">
        <v>2019.0</v>
      </c>
      <c r="F2181" s="887" t="s">
        <v>291</v>
      </c>
      <c r="G2181" s="887" t="s">
        <v>89</v>
      </c>
      <c r="H2181" s="547">
        <v>562026.2826</v>
      </c>
      <c r="I2181" s="547">
        <v>631296.5253</v>
      </c>
      <c r="J2181" s="548">
        <v>492602.1491</v>
      </c>
      <c r="K2181" s="220"/>
      <c r="CE2181" s="525"/>
    </row>
    <row r="2182">
      <c r="A2182" s="219"/>
      <c r="B2182" s="889" t="s">
        <v>8</v>
      </c>
      <c r="C2182" s="890" t="s">
        <v>289</v>
      </c>
      <c r="D2182" s="890" t="s">
        <v>387</v>
      </c>
      <c r="E2182" s="891">
        <v>2019.0</v>
      </c>
      <c r="F2182" s="890" t="s">
        <v>291</v>
      </c>
      <c r="G2182" s="890" t="s">
        <v>89</v>
      </c>
      <c r="H2182" s="532">
        <v>484168.3785</v>
      </c>
      <c r="I2182" s="532">
        <v>543842.5648</v>
      </c>
      <c r="J2182" s="533">
        <v>424361.62</v>
      </c>
      <c r="K2182" s="220"/>
      <c r="CE2182" s="525"/>
    </row>
    <row r="2183">
      <c r="A2183" s="219"/>
      <c r="B2183" s="886" t="s">
        <v>8</v>
      </c>
      <c r="C2183" s="887" t="s">
        <v>289</v>
      </c>
      <c r="D2183" s="887" t="s">
        <v>392</v>
      </c>
      <c r="E2183" s="888">
        <v>2019.0</v>
      </c>
      <c r="F2183" s="887" t="s">
        <v>291</v>
      </c>
      <c r="G2183" s="887" t="s">
        <v>89</v>
      </c>
      <c r="H2183" s="547">
        <v>409235.7371</v>
      </c>
      <c r="I2183" s="547">
        <v>459674.4082</v>
      </c>
      <c r="J2183" s="548">
        <v>358685.0114</v>
      </c>
      <c r="K2183" s="220"/>
      <c r="CE2183" s="525"/>
    </row>
    <row r="2184">
      <c r="A2184" s="219"/>
      <c r="B2184" s="889" t="s">
        <v>8</v>
      </c>
      <c r="C2184" s="890" t="s">
        <v>289</v>
      </c>
      <c r="D2184" s="890" t="s">
        <v>398</v>
      </c>
      <c r="E2184" s="891">
        <v>2019.0</v>
      </c>
      <c r="F2184" s="890" t="s">
        <v>291</v>
      </c>
      <c r="G2184" s="890" t="s">
        <v>89</v>
      </c>
      <c r="H2184" s="532">
        <v>332969.2443</v>
      </c>
      <c r="I2184" s="532">
        <v>374008.0018</v>
      </c>
      <c r="J2184" s="533">
        <v>291839.315</v>
      </c>
      <c r="K2184" s="220"/>
      <c r="CE2184" s="525"/>
    </row>
    <row r="2185">
      <c r="A2185" s="219"/>
      <c r="B2185" s="886" t="s">
        <v>8</v>
      </c>
      <c r="C2185" s="887" t="s">
        <v>289</v>
      </c>
      <c r="D2185" s="887" t="s">
        <v>402</v>
      </c>
      <c r="E2185" s="888">
        <v>2019.0</v>
      </c>
      <c r="F2185" s="887" t="s">
        <v>291</v>
      </c>
      <c r="G2185" s="887" t="s">
        <v>89</v>
      </c>
      <c r="H2185" s="547">
        <v>2841691.764</v>
      </c>
      <c r="I2185" s="547">
        <v>3191977.403</v>
      </c>
      <c r="J2185" s="548">
        <v>2490448.487</v>
      </c>
      <c r="K2185" s="220"/>
      <c r="CE2185" s="525"/>
    </row>
    <row r="2186">
      <c r="A2186" s="219"/>
      <c r="B2186" s="889" t="s">
        <v>8</v>
      </c>
      <c r="C2186" s="890" t="s">
        <v>289</v>
      </c>
      <c r="D2186" s="890" t="s">
        <v>407</v>
      </c>
      <c r="E2186" s="891">
        <v>2019.0</v>
      </c>
      <c r="F2186" s="890" t="s">
        <v>291</v>
      </c>
      <c r="G2186" s="890" t="s">
        <v>89</v>
      </c>
      <c r="H2186" s="532">
        <v>1074824.797</v>
      </c>
      <c r="I2186" s="532">
        <v>1207297.916</v>
      </c>
      <c r="J2186" s="533">
        <v>942057.376</v>
      </c>
      <c r="K2186" s="220"/>
      <c r="CE2186" s="525"/>
    </row>
    <row r="2187">
      <c r="A2187" s="219"/>
      <c r="B2187" s="886" t="s">
        <v>8</v>
      </c>
      <c r="C2187" s="887" t="s">
        <v>289</v>
      </c>
      <c r="D2187" s="887" t="s">
        <v>414</v>
      </c>
      <c r="E2187" s="888">
        <v>2019.0</v>
      </c>
      <c r="F2187" s="887" t="s">
        <v>291</v>
      </c>
      <c r="G2187" s="887" t="s">
        <v>89</v>
      </c>
      <c r="H2187" s="547">
        <v>260017.0181</v>
      </c>
      <c r="I2187" s="547">
        <v>292064.3485</v>
      </c>
      <c r="J2187" s="548">
        <v>227898.4914</v>
      </c>
      <c r="K2187" s="220"/>
      <c r="CE2187" s="525"/>
    </row>
    <row r="2188">
      <c r="A2188" s="219"/>
      <c r="B2188" s="889" t="s">
        <v>8</v>
      </c>
      <c r="C2188" s="890" t="s">
        <v>289</v>
      </c>
      <c r="D2188" s="890" t="s">
        <v>417</v>
      </c>
      <c r="E2188" s="891">
        <v>2019.0</v>
      </c>
      <c r="F2188" s="890" t="s">
        <v>291</v>
      </c>
      <c r="G2188" s="890" t="s">
        <v>89</v>
      </c>
      <c r="H2188" s="532">
        <v>703481.9346</v>
      </c>
      <c r="I2188" s="532">
        <v>790186.7131</v>
      </c>
      <c r="J2188" s="533">
        <v>616584.5327</v>
      </c>
      <c r="K2188" s="220"/>
      <c r="CE2188" s="525"/>
    </row>
    <row r="2189">
      <c r="A2189" s="219"/>
      <c r="B2189" s="886" t="s">
        <v>8</v>
      </c>
      <c r="C2189" s="887" t="s">
        <v>289</v>
      </c>
      <c r="D2189" s="887" t="s">
        <v>300</v>
      </c>
      <c r="E2189" s="888">
        <v>2019.0</v>
      </c>
      <c r="F2189" s="887" t="s">
        <v>291</v>
      </c>
      <c r="G2189" s="887" t="s">
        <v>89</v>
      </c>
      <c r="H2189" s="547">
        <v>2032780.787</v>
      </c>
      <c r="I2189" s="547">
        <v>2283322.84</v>
      </c>
      <c r="J2189" s="548">
        <v>1781682.13</v>
      </c>
      <c r="K2189" s="220"/>
      <c r="CE2189" s="525"/>
    </row>
    <row r="2190">
      <c r="A2190" s="219"/>
      <c r="B2190" s="889" t="s">
        <v>8</v>
      </c>
      <c r="C2190" s="890" t="s">
        <v>289</v>
      </c>
      <c r="D2190" s="890" t="s">
        <v>429</v>
      </c>
      <c r="E2190" s="891">
        <v>2019.0</v>
      </c>
      <c r="F2190" s="890" t="s">
        <v>291</v>
      </c>
      <c r="G2190" s="890" t="s">
        <v>89</v>
      </c>
      <c r="H2190" s="532">
        <v>584051.6984</v>
      </c>
      <c r="I2190" s="532">
        <v>656045.7565</v>
      </c>
      <c r="J2190" s="533">
        <v>511860.8172</v>
      </c>
      <c r="K2190" s="220"/>
      <c r="CE2190" s="525"/>
    </row>
    <row r="2191">
      <c r="A2191" s="219"/>
      <c r="B2191" s="886" t="s">
        <v>8</v>
      </c>
      <c r="C2191" s="887" t="s">
        <v>289</v>
      </c>
      <c r="D2191" s="887" t="s">
        <v>432</v>
      </c>
      <c r="E2191" s="888">
        <v>2019.0</v>
      </c>
      <c r="F2191" s="887" t="s">
        <v>291</v>
      </c>
      <c r="G2191" s="887" t="s">
        <v>89</v>
      </c>
      <c r="H2191" s="547">
        <v>197914.5254</v>
      </c>
      <c r="I2191" s="547">
        <v>222307.6679</v>
      </c>
      <c r="J2191" s="548">
        <v>173467.191</v>
      </c>
      <c r="K2191" s="220"/>
      <c r="CE2191" s="525"/>
    </row>
    <row r="2192">
      <c r="A2192" s="219"/>
      <c r="B2192" s="889" t="s">
        <v>8</v>
      </c>
      <c r="C2192" s="890" t="s">
        <v>289</v>
      </c>
      <c r="D2192" s="890" t="s">
        <v>435</v>
      </c>
      <c r="E2192" s="891">
        <v>2019.0</v>
      </c>
      <c r="F2192" s="890" t="s">
        <v>291</v>
      </c>
      <c r="G2192" s="890" t="s">
        <v>89</v>
      </c>
      <c r="H2192" s="532">
        <v>140021.2512</v>
      </c>
      <c r="I2192" s="532">
        <v>157278.9958</v>
      </c>
      <c r="J2192" s="533">
        <v>122725.1667</v>
      </c>
      <c r="K2192" s="220"/>
      <c r="CE2192" s="525"/>
    </row>
    <row r="2193">
      <c r="A2193" s="219"/>
      <c r="B2193" s="886" t="s">
        <v>8</v>
      </c>
      <c r="C2193" s="887" t="s">
        <v>289</v>
      </c>
      <c r="D2193" s="887" t="s">
        <v>442</v>
      </c>
      <c r="E2193" s="888">
        <v>2019.0</v>
      </c>
      <c r="F2193" s="887" t="s">
        <v>291</v>
      </c>
      <c r="G2193" s="887" t="s">
        <v>89</v>
      </c>
      <c r="H2193" s="547">
        <v>105529.1399</v>
      </c>
      <c r="I2193" s="547">
        <v>118535.701</v>
      </c>
      <c r="J2193" s="548">
        <v>92493.68355</v>
      </c>
      <c r="K2193" s="220"/>
      <c r="CE2193" s="525"/>
    </row>
    <row r="2194">
      <c r="A2194" s="219"/>
      <c r="B2194" s="889" t="s">
        <v>8</v>
      </c>
      <c r="C2194" s="890" t="s">
        <v>289</v>
      </c>
      <c r="D2194" s="890" t="s">
        <v>445</v>
      </c>
      <c r="E2194" s="891">
        <v>2019.0</v>
      </c>
      <c r="F2194" s="890" t="s">
        <v>291</v>
      </c>
      <c r="G2194" s="890" t="s">
        <v>89</v>
      </c>
      <c r="H2194" s="532">
        <v>173355.2066</v>
      </c>
      <c r="I2194" s="532">
        <v>194724.1109</v>
      </c>
      <c r="J2194" s="533">
        <v>151927.8824</v>
      </c>
      <c r="K2194" s="220"/>
      <c r="CE2194" s="525"/>
    </row>
    <row r="2195">
      <c r="A2195" s="219"/>
      <c r="B2195" s="886" t="s">
        <v>8</v>
      </c>
      <c r="C2195" s="887" t="s">
        <v>289</v>
      </c>
      <c r="D2195" s="887" t="s">
        <v>450</v>
      </c>
      <c r="E2195" s="888">
        <v>2019.0</v>
      </c>
      <c r="F2195" s="887" t="s">
        <v>291</v>
      </c>
      <c r="G2195" s="887" t="s">
        <v>89</v>
      </c>
      <c r="H2195" s="547">
        <v>67819.67491</v>
      </c>
      <c r="I2195" s="547">
        <v>76178.51058</v>
      </c>
      <c r="J2195" s="548">
        <v>59442.26924</v>
      </c>
      <c r="K2195" s="220"/>
      <c r="CE2195" s="525"/>
    </row>
    <row r="2196">
      <c r="A2196" s="219"/>
      <c r="B2196" s="889" t="s">
        <v>8</v>
      </c>
      <c r="C2196" s="890" t="s">
        <v>289</v>
      </c>
      <c r="D2196" s="890" t="s">
        <v>457</v>
      </c>
      <c r="E2196" s="891">
        <v>2019.0</v>
      </c>
      <c r="F2196" s="890" t="s">
        <v>291</v>
      </c>
      <c r="G2196" s="890" t="s">
        <v>89</v>
      </c>
      <c r="H2196" s="532">
        <v>140565.2474</v>
      </c>
      <c r="I2196" s="532">
        <v>157890.0401</v>
      </c>
      <c r="J2196" s="533">
        <v>123201.966</v>
      </c>
      <c r="K2196" s="220"/>
      <c r="CE2196" s="525"/>
    </row>
    <row r="2197">
      <c r="A2197" s="219"/>
      <c r="B2197" s="886" t="s">
        <v>8</v>
      </c>
      <c r="C2197" s="887" t="s">
        <v>289</v>
      </c>
      <c r="D2197" s="887" t="s">
        <v>463</v>
      </c>
      <c r="E2197" s="888">
        <v>2019.0</v>
      </c>
      <c r="F2197" s="887" t="s">
        <v>291</v>
      </c>
      <c r="G2197" s="887" t="s">
        <v>89</v>
      </c>
      <c r="H2197" s="547">
        <v>72748.25481</v>
      </c>
      <c r="I2197" s="547">
        <v>81715.68371</v>
      </c>
      <c r="J2197" s="548">
        <v>63756.31003</v>
      </c>
      <c r="K2197" s="220"/>
      <c r="CE2197" s="525"/>
    </row>
    <row r="2198">
      <c r="A2198" s="219"/>
      <c r="B2198" s="889" t="s">
        <v>8</v>
      </c>
      <c r="C2198" s="890" t="s">
        <v>289</v>
      </c>
      <c r="D2198" s="890" t="s">
        <v>467</v>
      </c>
      <c r="E2198" s="891">
        <v>2019.0</v>
      </c>
      <c r="F2198" s="890" t="s">
        <v>291</v>
      </c>
      <c r="G2198" s="890" t="s">
        <v>89</v>
      </c>
      <c r="H2198" s="532">
        <v>41962.52811</v>
      </c>
      <c r="I2198" s="532">
        <v>47134.44727</v>
      </c>
      <c r="J2198" s="533">
        <v>36779.11899</v>
      </c>
      <c r="K2198" s="220"/>
      <c r="CE2198" s="525"/>
    </row>
    <row r="2199">
      <c r="A2199" s="219"/>
      <c r="B2199" s="886" t="s">
        <v>8</v>
      </c>
      <c r="C2199" s="887" t="s">
        <v>289</v>
      </c>
      <c r="D2199" s="887" t="s">
        <v>473</v>
      </c>
      <c r="E2199" s="888">
        <v>2019.0</v>
      </c>
      <c r="F2199" s="887" t="s">
        <v>291</v>
      </c>
      <c r="G2199" s="887" t="s">
        <v>89</v>
      </c>
      <c r="H2199" s="547">
        <v>61645.67768</v>
      </c>
      <c r="I2199" s="547">
        <v>69244.52983</v>
      </c>
      <c r="J2199" s="548">
        <v>54026.0512</v>
      </c>
      <c r="K2199" s="220"/>
      <c r="CE2199" s="525"/>
    </row>
    <row r="2200">
      <c r="A2200" s="219"/>
      <c r="B2200" s="889" t="s">
        <v>8</v>
      </c>
      <c r="C2200" s="890" t="s">
        <v>289</v>
      </c>
      <c r="D2200" s="890" t="s">
        <v>477</v>
      </c>
      <c r="E2200" s="891">
        <v>2019.0</v>
      </c>
      <c r="F2200" s="890" t="s">
        <v>291</v>
      </c>
      <c r="G2200" s="890" t="s">
        <v>89</v>
      </c>
      <c r="H2200" s="532">
        <v>30783.04441</v>
      </c>
      <c r="I2200" s="532">
        <v>34577.0822</v>
      </c>
      <c r="J2200" s="533">
        <v>26980.57778</v>
      </c>
      <c r="K2200" s="220"/>
      <c r="CE2200" s="525"/>
    </row>
    <row r="2201">
      <c r="A2201" s="219"/>
      <c r="B2201" s="886" t="s">
        <v>8</v>
      </c>
      <c r="C2201" s="887" t="s">
        <v>289</v>
      </c>
      <c r="D2201" s="887" t="s">
        <v>483</v>
      </c>
      <c r="E2201" s="888">
        <v>2019.0</v>
      </c>
      <c r="F2201" s="887" t="s">
        <v>291</v>
      </c>
      <c r="G2201" s="887" t="s">
        <v>89</v>
      </c>
      <c r="H2201" s="547">
        <v>19680.87665</v>
      </c>
      <c r="I2201" s="547">
        <v>22106.56232</v>
      </c>
      <c r="J2201" s="548">
        <v>17249.80207</v>
      </c>
      <c r="K2201" s="220"/>
      <c r="CE2201" s="525"/>
    </row>
    <row r="2202">
      <c r="A2202" s="219"/>
      <c r="B2202" s="889" t="s">
        <v>8</v>
      </c>
      <c r="C2202" s="890" t="s">
        <v>289</v>
      </c>
      <c r="D2202" s="890" t="s">
        <v>489</v>
      </c>
      <c r="E2202" s="891">
        <v>2019.0</v>
      </c>
      <c r="F2202" s="890" t="s">
        <v>291</v>
      </c>
      <c r="G2202" s="890" t="s">
        <v>89</v>
      </c>
      <c r="H2202" s="532">
        <v>11102.57712</v>
      </c>
      <c r="I2202" s="532">
        <v>12471.15388</v>
      </c>
      <c r="J2202" s="533">
        <v>9730.258836</v>
      </c>
      <c r="K2202" s="220"/>
      <c r="CE2202" s="525"/>
    </row>
    <row r="2203">
      <c r="A2203" s="219"/>
      <c r="B2203" s="886" t="s">
        <v>8</v>
      </c>
      <c r="C2203" s="887" t="s">
        <v>289</v>
      </c>
      <c r="D2203" s="887" t="s">
        <v>493</v>
      </c>
      <c r="E2203" s="888">
        <v>2019.0</v>
      </c>
      <c r="F2203" s="887" t="s">
        <v>291</v>
      </c>
      <c r="G2203" s="887" t="s">
        <v>89</v>
      </c>
      <c r="H2203" s="547">
        <v>8138.855139</v>
      </c>
      <c r="I2203" s="547">
        <v>9141.976324</v>
      </c>
      <c r="J2203" s="548">
        <v>7133.505419</v>
      </c>
      <c r="K2203" s="220"/>
      <c r="CE2203" s="525"/>
    </row>
    <row r="2204">
      <c r="A2204" s="219"/>
      <c r="B2204" s="889" t="s">
        <v>8</v>
      </c>
      <c r="C2204" s="890" t="s">
        <v>289</v>
      </c>
      <c r="D2204" s="890" t="s">
        <v>496</v>
      </c>
      <c r="E2204" s="891">
        <v>2019.0</v>
      </c>
      <c r="F2204" s="890" t="s">
        <v>291</v>
      </c>
      <c r="G2204" s="890" t="s">
        <v>89</v>
      </c>
      <c r="H2204" s="532">
        <v>2386.853013</v>
      </c>
      <c r="I2204" s="532">
        <v>2681.034785</v>
      </c>
      <c r="J2204" s="533">
        <v>2092.017687</v>
      </c>
      <c r="K2204" s="220"/>
      <c r="CE2204" s="525"/>
    </row>
    <row r="2205">
      <c r="A2205" s="219"/>
      <c r="B2205" s="886" t="s">
        <v>8</v>
      </c>
      <c r="C2205" s="887" t="s">
        <v>289</v>
      </c>
      <c r="D2205" s="887" t="s">
        <v>502</v>
      </c>
      <c r="E2205" s="888">
        <v>2019.0</v>
      </c>
      <c r="F2205" s="887" t="s">
        <v>291</v>
      </c>
      <c r="G2205" s="887" t="s">
        <v>89</v>
      </c>
      <c r="H2205" s="547">
        <v>576.4596068</v>
      </c>
      <c r="I2205" s="547">
        <v>647.5087696</v>
      </c>
      <c r="J2205" s="548">
        <v>505.2526011</v>
      </c>
      <c r="K2205" s="220"/>
      <c r="CE2205" s="525"/>
    </row>
    <row r="2206">
      <c r="A2206" s="219"/>
      <c r="B2206" s="889" t="s">
        <v>8</v>
      </c>
      <c r="C2206" s="890" t="s">
        <v>289</v>
      </c>
      <c r="D2206" s="890" t="s">
        <v>332</v>
      </c>
      <c r="E2206" s="891">
        <v>2019.0</v>
      </c>
      <c r="F2206" s="890" t="s">
        <v>291</v>
      </c>
      <c r="G2206" s="890" t="s">
        <v>89</v>
      </c>
      <c r="H2206" s="532">
        <v>7921526.585</v>
      </c>
      <c r="I2206" s="532">
        <v>8897861.831</v>
      </c>
      <c r="J2206" s="533">
        <v>6943022.311</v>
      </c>
      <c r="K2206" s="220"/>
      <c r="CE2206" s="525"/>
    </row>
    <row r="2207">
      <c r="A2207" s="219"/>
      <c r="B2207" s="886" t="s">
        <v>8</v>
      </c>
      <c r="C2207" s="887" t="s">
        <v>289</v>
      </c>
      <c r="D2207" s="887" t="s">
        <v>510</v>
      </c>
      <c r="E2207" s="888">
        <v>2019.0</v>
      </c>
      <c r="F2207" s="887" t="s">
        <v>291</v>
      </c>
      <c r="G2207" s="887" t="s">
        <v>89</v>
      </c>
      <c r="H2207" s="547">
        <v>237506.8559</v>
      </c>
      <c r="I2207" s="547">
        <v>258949.2362</v>
      </c>
      <c r="J2207" s="548">
        <v>219671.214</v>
      </c>
      <c r="K2207" s="220"/>
      <c r="CE2207" s="525"/>
    </row>
    <row r="2208">
      <c r="A2208" s="219"/>
      <c r="B2208" s="889" t="s">
        <v>8</v>
      </c>
      <c r="C2208" s="890" t="s">
        <v>289</v>
      </c>
      <c r="D2208" s="890" t="s">
        <v>512</v>
      </c>
      <c r="E2208" s="891">
        <v>2019.0</v>
      </c>
      <c r="F2208" s="890" t="s">
        <v>291</v>
      </c>
      <c r="G2208" s="890" t="s">
        <v>89</v>
      </c>
      <c r="H2208" s="532">
        <v>4487.618386</v>
      </c>
      <c r="I2208" s="532">
        <v>5040.721371</v>
      </c>
      <c r="J2208" s="533">
        <v>3933.286626</v>
      </c>
      <c r="K2208" s="220"/>
      <c r="CE2208" s="525"/>
    </row>
    <row r="2209">
      <c r="A2209" s="219"/>
      <c r="B2209" s="886" t="s">
        <v>8</v>
      </c>
      <c r="C2209" s="887" t="s">
        <v>289</v>
      </c>
      <c r="D2209" s="887" t="s">
        <v>515</v>
      </c>
      <c r="E2209" s="888">
        <v>2019.0</v>
      </c>
      <c r="F2209" s="887" t="s">
        <v>291</v>
      </c>
      <c r="G2209" s="887" t="s">
        <v>89</v>
      </c>
      <c r="H2209" s="547">
        <v>13287.22861</v>
      </c>
      <c r="I2209" s="547">
        <v>14924.89144</v>
      </c>
      <c r="J2209" s="548">
        <v>11645.92755</v>
      </c>
      <c r="K2209" s="220"/>
      <c r="CE2209" s="525"/>
    </row>
    <row r="2210">
      <c r="A2210" s="219"/>
      <c r="B2210" s="889" t="s">
        <v>8</v>
      </c>
      <c r="C2210" s="890" t="s">
        <v>289</v>
      </c>
      <c r="D2210" s="890" t="s">
        <v>518</v>
      </c>
      <c r="E2210" s="891">
        <v>2019.0</v>
      </c>
      <c r="F2210" s="890" t="s">
        <v>291</v>
      </c>
      <c r="G2210" s="890" t="s">
        <v>89</v>
      </c>
      <c r="H2210" s="532">
        <v>17774.847</v>
      </c>
      <c r="I2210" s="532">
        <v>19965.61281</v>
      </c>
      <c r="J2210" s="533">
        <v>15579.21418</v>
      </c>
      <c r="K2210" s="220"/>
      <c r="CE2210" s="525"/>
    </row>
    <row r="2211">
      <c r="A2211" s="219"/>
      <c r="B2211" s="886" t="s">
        <v>8</v>
      </c>
      <c r="C2211" s="887" t="s">
        <v>289</v>
      </c>
      <c r="D2211" s="887" t="s">
        <v>522</v>
      </c>
      <c r="E2211" s="888">
        <v>2019.0</v>
      </c>
      <c r="F2211" s="887" t="s">
        <v>291</v>
      </c>
      <c r="G2211" s="887" t="s">
        <v>89</v>
      </c>
      <c r="H2211" s="547">
        <v>209954.9274</v>
      </c>
      <c r="I2211" s="547">
        <v>235832.0603</v>
      </c>
      <c r="J2211" s="548">
        <v>184020.3059</v>
      </c>
      <c r="K2211" s="220"/>
      <c r="CE2211" s="525"/>
    </row>
    <row r="2212">
      <c r="A2212" s="219"/>
      <c r="B2212" s="889" t="s">
        <v>8</v>
      </c>
      <c r="C2212" s="890" t="s">
        <v>289</v>
      </c>
      <c r="D2212" s="890" t="s">
        <v>302</v>
      </c>
      <c r="E2212" s="891">
        <v>2019.0</v>
      </c>
      <c r="F2212" s="890" t="s">
        <v>291</v>
      </c>
      <c r="G2212" s="890" t="s">
        <v>89</v>
      </c>
      <c r="H2212" s="532">
        <v>1114855.207</v>
      </c>
      <c r="I2212" s="532">
        <v>1252262.11</v>
      </c>
      <c r="J2212" s="533">
        <v>977143.041</v>
      </c>
      <c r="K2212" s="220"/>
      <c r="CE2212" s="525"/>
    </row>
    <row r="2213">
      <c r="A2213" s="219"/>
      <c r="B2213" s="886" t="s">
        <v>9</v>
      </c>
      <c r="C2213" s="887" t="s">
        <v>289</v>
      </c>
      <c r="D2213" s="887" t="s">
        <v>290</v>
      </c>
      <c r="E2213" s="888">
        <v>2019.0</v>
      </c>
      <c r="F2213" s="887" t="s">
        <v>291</v>
      </c>
      <c r="G2213" s="887" t="s">
        <v>89</v>
      </c>
      <c r="H2213" s="547">
        <v>1508344.57</v>
      </c>
      <c r="I2213" s="547">
        <v>1649122.95</v>
      </c>
      <c r="J2213" s="548">
        <v>1358156.659</v>
      </c>
      <c r="K2213" s="220"/>
      <c r="CE2213" s="525"/>
    </row>
    <row r="2214">
      <c r="A2214" s="219"/>
      <c r="B2214" s="889" t="s">
        <v>9</v>
      </c>
      <c r="C2214" s="890" t="s">
        <v>289</v>
      </c>
      <c r="D2214" s="890" t="s">
        <v>310</v>
      </c>
      <c r="E2214" s="891">
        <v>2019.0</v>
      </c>
      <c r="F2214" s="890" t="s">
        <v>291</v>
      </c>
      <c r="G2214" s="890" t="s">
        <v>89</v>
      </c>
      <c r="H2214" s="532">
        <v>2.39179234E7</v>
      </c>
      <c r="I2214" s="532">
        <v>2.615025583E7</v>
      </c>
      <c r="J2214" s="533">
        <v>2.153638337E7</v>
      </c>
      <c r="K2214" s="220"/>
      <c r="CE2214" s="525"/>
    </row>
    <row r="2215">
      <c r="A2215" s="219"/>
      <c r="B2215" s="886" t="s">
        <v>9</v>
      </c>
      <c r="C2215" s="887" t="s">
        <v>289</v>
      </c>
      <c r="D2215" s="887" t="s">
        <v>318</v>
      </c>
      <c r="E2215" s="888">
        <v>2019.0</v>
      </c>
      <c r="F2215" s="887" t="s">
        <v>291</v>
      </c>
      <c r="G2215" s="887" t="s">
        <v>89</v>
      </c>
      <c r="H2215" s="547">
        <v>1.907747193E7</v>
      </c>
      <c r="I2215" s="547">
        <v>2.085803032E7</v>
      </c>
      <c r="J2215" s="548">
        <v>1.717790221E7</v>
      </c>
      <c r="K2215" s="220"/>
      <c r="CE2215" s="525"/>
    </row>
    <row r="2216">
      <c r="A2216" s="219"/>
      <c r="B2216" s="889" t="s">
        <v>9</v>
      </c>
      <c r="C2216" s="890" t="s">
        <v>289</v>
      </c>
      <c r="D2216" s="890" t="s">
        <v>309</v>
      </c>
      <c r="E2216" s="891">
        <v>2019.0</v>
      </c>
      <c r="F2216" s="890" t="s">
        <v>291</v>
      </c>
      <c r="G2216" s="890" t="s">
        <v>89</v>
      </c>
      <c r="H2216" s="532">
        <v>5581405.246</v>
      </c>
      <c r="I2216" s="532">
        <v>6102334.746</v>
      </c>
      <c r="J2216" s="533">
        <v>5025657.165</v>
      </c>
      <c r="K2216" s="220"/>
      <c r="CE2216" s="525"/>
    </row>
    <row r="2217">
      <c r="A2217" s="219"/>
      <c r="B2217" s="886" t="s">
        <v>9</v>
      </c>
      <c r="C2217" s="887" t="s">
        <v>289</v>
      </c>
      <c r="D2217" s="887" t="s">
        <v>334</v>
      </c>
      <c r="E2217" s="888">
        <v>2019.0</v>
      </c>
      <c r="F2217" s="887" t="s">
        <v>291</v>
      </c>
      <c r="G2217" s="887" t="s">
        <v>89</v>
      </c>
      <c r="H2217" s="547">
        <v>5673366.424</v>
      </c>
      <c r="I2217" s="547">
        <v>6202878.94</v>
      </c>
      <c r="J2217" s="548">
        <v>5108461.644</v>
      </c>
      <c r="K2217" s="220"/>
      <c r="CE2217" s="525"/>
    </row>
    <row r="2218">
      <c r="A2218" s="219"/>
      <c r="B2218" s="889" t="s">
        <v>9</v>
      </c>
      <c r="C2218" s="890" t="s">
        <v>289</v>
      </c>
      <c r="D2218" s="890" t="s">
        <v>339</v>
      </c>
      <c r="E2218" s="891">
        <v>2019.0</v>
      </c>
      <c r="F2218" s="890" t="s">
        <v>291</v>
      </c>
      <c r="G2218" s="890" t="s">
        <v>89</v>
      </c>
      <c r="H2218" s="532">
        <v>1.051381789E7</v>
      </c>
      <c r="I2218" s="532">
        <v>1.149510445E7</v>
      </c>
      <c r="J2218" s="533">
        <v>9466942.805</v>
      </c>
      <c r="K2218" s="220"/>
      <c r="CE2218" s="525"/>
    </row>
    <row r="2219">
      <c r="A2219" s="219"/>
      <c r="B2219" s="886" t="s">
        <v>9</v>
      </c>
      <c r="C2219" s="887" t="s">
        <v>289</v>
      </c>
      <c r="D2219" s="887" t="s">
        <v>344</v>
      </c>
      <c r="E2219" s="888">
        <v>2019.0</v>
      </c>
      <c r="F2219" s="887" t="s">
        <v>291</v>
      </c>
      <c r="G2219" s="887" t="s">
        <v>89</v>
      </c>
      <c r="H2219" s="547">
        <v>1.439913214E7</v>
      </c>
      <c r="I2219" s="547">
        <v>1.574304687E7</v>
      </c>
      <c r="J2219" s="548">
        <v>1.296539105E7</v>
      </c>
      <c r="K2219" s="220"/>
      <c r="CE2219" s="525"/>
    </row>
    <row r="2220">
      <c r="A2220" s="219"/>
      <c r="B2220" s="889" t="s">
        <v>9</v>
      </c>
      <c r="C2220" s="890" t="s">
        <v>289</v>
      </c>
      <c r="D2220" s="890" t="s">
        <v>349</v>
      </c>
      <c r="E2220" s="891">
        <v>2019.0</v>
      </c>
      <c r="F2220" s="890" t="s">
        <v>291</v>
      </c>
      <c r="G2220" s="890" t="s">
        <v>89</v>
      </c>
      <c r="H2220" s="532">
        <v>4840451.47</v>
      </c>
      <c r="I2220" s="532">
        <v>5292225.505</v>
      </c>
      <c r="J2220" s="533">
        <v>4358481.161</v>
      </c>
      <c r="K2220" s="220"/>
      <c r="CE2220" s="525"/>
    </row>
    <row r="2221">
      <c r="A2221" s="219"/>
      <c r="B2221" s="886" t="s">
        <v>9</v>
      </c>
      <c r="C2221" s="887" t="s">
        <v>289</v>
      </c>
      <c r="D2221" s="887" t="s">
        <v>355</v>
      </c>
      <c r="E2221" s="888">
        <v>2019.0</v>
      </c>
      <c r="F2221" s="887" t="s">
        <v>291</v>
      </c>
      <c r="G2221" s="887" t="s">
        <v>89</v>
      </c>
      <c r="H2221" s="547">
        <v>1.615686249E7</v>
      </c>
      <c r="I2221" s="547">
        <v>1.766565428E7</v>
      </c>
      <c r="J2221" s="548">
        <v>1.454819341E7</v>
      </c>
      <c r="K2221" s="220"/>
      <c r="CE2221" s="525"/>
    </row>
    <row r="2222">
      <c r="A2222" s="219"/>
      <c r="B2222" s="889" t="s">
        <v>9</v>
      </c>
      <c r="C2222" s="890" t="s">
        <v>289</v>
      </c>
      <c r="D2222" s="890" t="s">
        <v>358</v>
      </c>
      <c r="E2222" s="891">
        <v>2019.0</v>
      </c>
      <c r="F2222" s="890" t="s">
        <v>291</v>
      </c>
      <c r="G2222" s="890" t="s">
        <v>89</v>
      </c>
      <c r="H2222" s="532">
        <v>1.888075841E7</v>
      </c>
      <c r="I2222" s="532">
        <v>2.064295693E7</v>
      </c>
      <c r="J2222" s="533">
        <v>1.700077572E7</v>
      </c>
      <c r="K2222" s="220"/>
      <c r="CE2222" s="525"/>
    </row>
    <row r="2223">
      <c r="A2223" s="219"/>
      <c r="B2223" s="886" t="s">
        <v>9</v>
      </c>
      <c r="C2223" s="887" t="s">
        <v>289</v>
      </c>
      <c r="D2223" s="887" t="s">
        <v>362</v>
      </c>
      <c r="E2223" s="888">
        <v>2019.0</v>
      </c>
      <c r="F2223" s="887" t="s">
        <v>291</v>
      </c>
      <c r="G2223" s="887" t="s">
        <v>89</v>
      </c>
      <c r="H2223" s="547">
        <v>1.719979957E7</v>
      </c>
      <c r="I2223" s="547">
        <v>1.880598496E7</v>
      </c>
      <c r="J2223" s="548">
        <v>1.548728975E7</v>
      </c>
      <c r="K2223" s="220"/>
      <c r="CE2223" s="525"/>
    </row>
    <row r="2224">
      <c r="A2224" s="219"/>
      <c r="B2224" s="889" t="s">
        <v>9</v>
      </c>
      <c r="C2224" s="890" t="s">
        <v>289</v>
      </c>
      <c r="D2224" s="890" t="s">
        <v>366</v>
      </c>
      <c r="E2224" s="891">
        <v>2019.0</v>
      </c>
      <c r="F2224" s="890" t="s">
        <v>291</v>
      </c>
      <c r="G2224" s="890" t="s">
        <v>89</v>
      </c>
      <c r="H2224" s="532">
        <v>3885314.249</v>
      </c>
      <c r="I2224" s="532">
        <v>4247942.426</v>
      </c>
      <c r="J2224" s="533">
        <v>3498448.246</v>
      </c>
      <c r="K2224" s="220"/>
      <c r="CE2224" s="525"/>
    </row>
    <row r="2225">
      <c r="A2225" s="219"/>
      <c r="B2225" s="886" t="s">
        <v>9</v>
      </c>
      <c r="C2225" s="887" t="s">
        <v>289</v>
      </c>
      <c r="D2225" s="887" t="s">
        <v>368</v>
      </c>
      <c r="E2225" s="888">
        <v>2019.0</v>
      </c>
      <c r="F2225" s="887" t="s">
        <v>291</v>
      </c>
      <c r="G2225" s="887" t="s">
        <v>89</v>
      </c>
      <c r="H2225" s="547">
        <v>1.331461859E7</v>
      </c>
      <c r="I2225" s="547">
        <v>1.455731238E7</v>
      </c>
      <c r="J2225" s="548">
        <v>1.198886398E7</v>
      </c>
      <c r="K2225" s="220"/>
      <c r="CE2225" s="525"/>
    </row>
    <row r="2226">
      <c r="A2226" s="219"/>
      <c r="B2226" s="889" t="s">
        <v>9</v>
      </c>
      <c r="C2226" s="890" t="s">
        <v>289</v>
      </c>
      <c r="D2226" s="890" t="s">
        <v>373</v>
      </c>
      <c r="E2226" s="891">
        <v>2019.0</v>
      </c>
      <c r="F2226" s="890" t="s">
        <v>291</v>
      </c>
      <c r="G2226" s="890" t="s">
        <v>89</v>
      </c>
      <c r="H2226" s="532">
        <v>3090614.061</v>
      </c>
      <c r="I2226" s="532">
        <v>3379070.457</v>
      </c>
      <c r="J2226" s="533">
        <v>2782877.433</v>
      </c>
      <c r="K2226" s="220"/>
      <c r="CE2226" s="525"/>
    </row>
    <row r="2227">
      <c r="A2227" s="219"/>
      <c r="B2227" s="886" t="s">
        <v>9</v>
      </c>
      <c r="C2227" s="887" t="s">
        <v>289</v>
      </c>
      <c r="D2227" s="887" t="s">
        <v>379</v>
      </c>
      <c r="E2227" s="888">
        <v>2019.0</v>
      </c>
      <c r="F2227" s="887" t="s">
        <v>291</v>
      </c>
      <c r="G2227" s="887" t="s">
        <v>89</v>
      </c>
      <c r="H2227" s="547">
        <v>1.015491401E7</v>
      </c>
      <c r="I2227" s="547">
        <v>1.110322009E7</v>
      </c>
      <c r="J2227" s="548">
        <v>9143833.044</v>
      </c>
      <c r="K2227" s="220"/>
      <c r="CE2227" s="525"/>
    </row>
    <row r="2228">
      <c r="A2228" s="219"/>
      <c r="B2228" s="889" t="s">
        <v>9</v>
      </c>
      <c r="C2228" s="890" t="s">
        <v>289</v>
      </c>
      <c r="D2228" s="890" t="s">
        <v>382</v>
      </c>
      <c r="E2228" s="891">
        <v>2019.0</v>
      </c>
      <c r="F2228" s="890" t="s">
        <v>291</v>
      </c>
      <c r="G2228" s="890" t="s">
        <v>89</v>
      </c>
      <c r="H2228" s="532">
        <v>2441033.111</v>
      </c>
      <c r="I2228" s="532">
        <v>2668862.144</v>
      </c>
      <c r="J2228" s="533">
        <v>2197976.137</v>
      </c>
      <c r="K2228" s="220"/>
      <c r="CE2228" s="525"/>
    </row>
    <row r="2229">
      <c r="A2229" s="219"/>
      <c r="B2229" s="886" t="s">
        <v>9</v>
      </c>
      <c r="C2229" s="887" t="s">
        <v>289</v>
      </c>
      <c r="D2229" s="887" t="s">
        <v>387</v>
      </c>
      <c r="E2229" s="888">
        <v>2019.0</v>
      </c>
      <c r="F2229" s="887" t="s">
        <v>291</v>
      </c>
      <c r="G2229" s="887" t="s">
        <v>89</v>
      </c>
      <c r="H2229" s="547">
        <v>1899574.787</v>
      </c>
      <c r="I2229" s="547">
        <v>2076867.87</v>
      </c>
      <c r="J2229" s="548">
        <v>1710431.553</v>
      </c>
      <c r="K2229" s="220"/>
      <c r="CE2229" s="525"/>
    </row>
    <row r="2230">
      <c r="A2230" s="219"/>
      <c r="B2230" s="889" t="s">
        <v>9</v>
      </c>
      <c r="C2230" s="890" t="s">
        <v>289</v>
      </c>
      <c r="D2230" s="890" t="s">
        <v>392</v>
      </c>
      <c r="E2230" s="891">
        <v>2019.0</v>
      </c>
      <c r="F2230" s="890" t="s">
        <v>291</v>
      </c>
      <c r="G2230" s="890" t="s">
        <v>89</v>
      </c>
      <c r="H2230" s="532">
        <v>1516102.654</v>
      </c>
      <c r="I2230" s="532">
        <v>1657605.119</v>
      </c>
      <c r="J2230" s="533">
        <v>1365142.259</v>
      </c>
      <c r="K2230" s="220"/>
      <c r="CE2230" s="525"/>
    </row>
    <row r="2231">
      <c r="A2231" s="219"/>
      <c r="B2231" s="886" t="s">
        <v>9</v>
      </c>
      <c r="C2231" s="887" t="s">
        <v>289</v>
      </c>
      <c r="D2231" s="887" t="s">
        <v>398</v>
      </c>
      <c r="E2231" s="888">
        <v>2019.0</v>
      </c>
      <c r="F2231" s="887" t="s">
        <v>291</v>
      </c>
      <c r="G2231" s="887" t="s">
        <v>89</v>
      </c>
      <c r="H2231" s="547">
        <v>1207668.08</v>
      </c>
      <c r="I2231" s="547">
        <v>1320383.409</v>
      </c>
      <c r="J2231" s="548">
        <v>1087418.933</v>
      </c>
      <c r="K2231" s="220"/>
      <c r="CE2231" s="525"/>
    </row>
    <row r="2232">
      <c r="A2232" s="219"/>
      <c r="B2232" s="889" t="s">
        <v>9</v>
      </c>
      <c r="C2232" s="890" t="s">
        <v>289</v>
      </c>
      <c r="D2232" s="890" t="s">
        <v>402</v>
      </c>
      <c r="E2232" s="891">
        <v>2019.0</v>
      </c>
      <c r="F2232" s="890" t="s">
        <v>291</v>
      </c>
      <c r="G2232" s="890" t="s">
        <v>89</v>
      </c>
      <c r="H2232" s="532">
        <v>1.682804319E7</v>
      </c>
      <c r="I2232" s="532">
        <v>1.83995125E7</v>
      </c>
      <c r="J2232" s="533">
        <v>1.515254756E7</v>
      </c>
      <c r="K2232" s="220"/>
      <c r="CE2232" s="525"/>
    </row>
    <row r="2233">
      <c r="A2233" s="219"/>
      <c r="B2233" s="886" t="s">
        <v>9</v>
      </c>
      <c r="C2233" s="887" t="s">
        <v>289</v>
      </c>
      <c r="D2233" s="887" t="s">
        <v>407</v>
      </c>
      <c r="E2233" s="888">
        <v>2019.0</v>
      </c>
      <c r="F2233" s="887" t="s">
        <v>291</v>
      </c>
      <c r="G2233" s="887" t="s">
        <v>89</v>
      </c>
      <c r="H2233" s="547">
        <v>6314355.693</v>
      </c>
      <c r="I2233" s="547">
        <v>6903693.684</v>
      </c>
      <c r="J2233" s="548">
        <v>5685626.743</v>
      </c>
      <c r="K2233" s="220"/>
      <c r="CE2233" s="525"/>
    </row>
    <row r="2234">
      <c r="A2234" s="219"/>
      <c r="B2234" s="889" t="s">
        <v>9</v>
      </c>
      <c r="C2234" s="890" t="s">
        <v>289</v>
      </c>
      <c r="D2234" s="890" t="s">
        <v>414</v>
      </c>
      <c r="E2234" s="891">
        <v>2019.0</v>
      </c>
      <c r="F2234" s="890" t="s">
        <v>291</v>
      </c>
      <c r="G2234" s="890" t="s">
        <v>89</v>
      </c>
      <c r="H2234" s="532">
        <v>936044.8525</v>
      </c>
      <c r="I2234" s="532">
        <v>1023408.761</v>
      </c>
      <c r="J2234" s="533">
        <v>842841.5986</v>
      </c>
      <c r="K2234" s="220"/>
      <c r="CE2234" s="525"/>
    </row>
    <row r="2235">
      <c r="A2235" s="219"/>
      <c r="B2235" s="886" t="s">
        <v>9</v>
      </c>
      <c r="C2235" s="887" t="s">
        <v>289</v>
      </c>
      <c r="D2235" s="887" t="s">
        <v>417</v>
      </c>
      <c r="E2235" s="888">
        <v>2019.0</v>
      </c>
      <c r="F2235" s="887" t="s">
        <v>291</v>
      </c>
      <c r="G2235" s="887" t="s">
        <v>89</v>
      </c>
      <c r="H2235" s="547">
        <v>2563429.106</v>
      </c>
      <c r="I2235" s="547">
        <v>2802681.729</v>
      </c>
      <c r="J2235" s="548">
        <v>2308184.998</v>
      </c>
      <c r="K2235" s="220"/>
      <c r="CE2235" s="525"/>
    </row>
    <row r="2236">
      <c r="A2236" s="219"/>
      <c r="B2236" s="889" t="s">
        <v>9</v>
      </c>
      <c r="C2236" s="890" t="s">
        <v>289</v>
      </c>
      <c r="D2236" s="890" t="s">
        <v>300</v>
      </c>
      <c r="E2236" s="891">
        <v>2019.0</v>
      </c>
      <c r="F2236" s="890" t="s">
        <v>291</v>
      </c>
      <c r="G2236" s="890" t="s">
        <v>89</v>
      </c>
      <c r="H2236" s="532">
        <v>1.198772212E7</v>
      </c>
      <c r="I2236" s="532">
        <v>1.310657262E7</v>
      </c>
      <c r="J2236" s="533">
        <v>1.079408839E7</v>
      </c>
      <c r="K2236" s="220"/>
      <c r="CE2236" s="525"/>
    </row>
    <row r="2237">
      <c r="A2237" s="219"/>
      <c r="B2237" s="886" t="s">
        <v>9</v>
      </c>
      <c r="C2237" s="887" t="s">
        <v>289</v>
      </c>
      <c r="D2237" s="887" t="s">
        <v>429</v>
      </c>
      <c r="E2237" s="888">
        <v>2019.0</v>
      </c>
      <c r="F2237" s="887" t="s">
        <v>291</v>
      </c>
      <c r="G2237" s="887" t="s">
        <v>89</v>
      </c>
      <c r="H2237" s="547">
        <v>2223563.816</v>
      </c>
      <c r="I2237" s="547">
        <v>2431209.01</v>
      </c>
      <c r="J2237" s="548">
        <v>2002173.163</v>
      </c>
      <c r="K2237" s="220"/>
      <c r="CE2237" s="525"/>
    </row>
    <row r="2238">
      <c r="A2238" s="219"/>
      <c r="B2238" s="889" t="s">
        <v>9</v>
      </c>
      <c r="C2238" s="890" t="s">
        <v>289</v>
      </c>
      <c r="D2238" s="890" t="s">
        <v>432</v>
      </c>
      <c r="E2238" s="891">
        <v>2019.0</v>
      </c>
      <c r="F2238" s="890" t="s">
        <v>291</v>
      </c>
      <c r="G2238" s="890" t="s">
        <v>89</v>
      </c>
      <c r="H2238" s="532">
        <v>725135.7494</v>
      </c>
      <c r="I2238" s="532">
        <v>792814.8709</v>
      </c>
      <c r="J2238" s="533">
        <v>652933.0006</v>
      </c>
      <c r="K2238" s="220"/>
      <c r="CE2238" s="525"/>
    </row>
    <row r="2239">
      <c r="A2239" s="219"/>
      <c r="B2239" s="886" t="s">
        <v>9</v>
      </c>
      <c r="C2239" s="887" t="s">
        <v>289</v>
      </c>
      <c r="D2239" s="887" t="s">
        <v>435</v>
      </c>
      <c r="E2239" s="888">
        <v>2019.0</v>
      </c>
      <c r="F2239" s="887" t="s">
        <v>291</v>
      </c>
      <c r="G2239" s="887" t="s">
        <v>89</v>
      </c>
      <c r="H2239" s="547">
        <v>525665.56</v>
      </c>
      <c r="I2239" s="547">
        <v>574727.5231</v>
      </c>
      <c r="J2239" s="548">
        <v>473324.3282</v>
      </c>
      <c r="K2239" s="220"/>
      <c r="CE2239" s="525"/>
    </row>
    <row r="2240">
      <c r="A2240" s="219"/>
      <c r="B2240" s="889" t="s">
        <v>9</v>
      </c>
      <c r="C2240" s="890" t="s">
        <v>289</v>
      </c>
      <c r="D2240" s="890" t="s">
        <v>442</v>
      </c>
      <c r="E2240" s="891">
        <v>2019.0</v>
      </c>
      <c r="F2240" s="890" t="s">
        <v>291</v>
      </c>
      <c r="G2240" s="890" t="s">
        <v>89</v>
      </c>
      <c r="H2240" s="532">
        <v>376582.9443</v>
      </c>
      <c r="I2240" s="532">
        <v>411730.5741</v>
      </c>
      <c r="J2240" s="533">
        <v>339086.0705</v>
      </c>
      <c r="K2240" s="220"/>
      <c r="CE2240" s="525"/>
    </row>
    <row r="2241">
      <c r="A2241" s="219"/>
      <c r="B2241" s="886" t="s">
        <v>9</v>
      </c>
      <c r="C2241" s="887" t="s">
        <v>289</v>
      </c>
      <c r="D2241" s="887" t="s">
        <v>445</v>
      </c>
      <c r="E2241" s="888">
        <v>2019.0</v>
      </c>
      <c r="F2241" s="887" t="s">
        <v>291</v>
      </c>
      <c r="G2241" s="887" t="s">
        <v>89</v>
      </c>
      <c r="H2241" s="547">
        <v>648701.6597</v>
      </c>
      <c r="I2241" s="547">
        <v>709279.9893</v>
      </c>
      <c r="J2241" s="548">
        <v>584113.2349</v>
      </c>
      <c r="K2241" s="220"/>
      <c r="CE2241" s="525"/>
    </row>
    <row r="2242">
      <c r="A2242" s="219"/>
      <c r="B2242" s="889" t="s">
        <v>9</v>
      </c>
      <c r="C2242" s="890" t="s">
        <v>289</v>
      </c>
      <c r="D2242" s="890" t="s">
        <v>450</v>
      </c>
      <c r="E2242" s="891">
        <v>2019.0</v>
      </c>
      <c r="F2242" s="890" t="s">
        <v>291</v>
      </c>
      <c r="G2242" s="890" t="s">
        <v>89</v>
      </c>
      <c r="H2242" s="532">
        <v>272123.7418</v>
      </c>
      <c r="I2242" s="532">
        <v>297521.877</v>
      </c>
      <c r="J2242" s="533">
        <v>245028.0122</v>
      </c>
      <c r="K2242" s="220"/>
      <c r="CE2242" s="525"/>
    </row>
    <row r="2243">
      <c r="A2243" s="219"/>
      <c r="B2243" s="886" t="s">
        <v>9</v>
      </c>
      <c r="C2243" s="887" t="s">
        <v>289</v>
      </c>
      <c r="D2243" s="887" t="s">
        <v>457</v>
      </c>
      <c r="E2243" s="888">
        <v>2019.0</v>
      </c>
      <c r="F2243" s="887" t="s">
        <v>291</v>
      </c>
      <c r="G2243" s="887" t="s">
        <v>89</v>
      </c>
      <c r="H2243" s="547">
        <v>596196.7918</v>
      </c>
      <c r="I2243" s="547">
        <v>651841.6488</v>
      </c>
      <c r="J2243" s="548">
        <v>536832.6697</v>
      </c>
      <c r="K2243" s="220"/>
      <c r="CE2243" s="525"/>
    </row>
    <row r="2244">
      <c r="A2244" s="219"/>
      <c r="B2244" s="889" t="s">
        <v>9</v>
      </c>
      <c r="C2244" s="890" t="s">
        <v>289</v>
      </c>
      <c r="D2244" s="890" t="s">
        <v>463</v>
      </c>
      <c r="E2244" s="891">
        <v>2019.0</v>
      </c>
      <c r="F2244" s="890" t="s">
        <v>291</v>
      </c>
      <c r="G2244" s="890" t="s">
        <v>89</v>
      </c>
      <c r="H2244" s="532">
        <v>324070.5389</v>
      </c>
      <c r="I2244" s="532">
        <v>354333.5291</v>
      </c>
      <c r="J2244" s="533">
        <v>291804.2339</v>
      </c>
      <c r="K2244" s="220"/>
      <c r="CE2244" s="525"/>
    </row>
    <row r="2245">
      <c r="A2245" s="219"/>
      <c r="B2245" s="886" t="s">
        <v>9</v>
      </c>
      <c r="C2245" s="887" t="s">
        <v>289</v>
      </c>
      <c r="D2245" s="887" t="s">
        <v>467</v>
      </c>
      <c r="E2245" s="888">
        <v>2019.0</v>
      </c>
      <c r="F2245" s="887" t="s">
        <v>291</v>
      </c>
      <c r="G2245" s="887" t="s">
        <v>89</v>
      </c>
      <c r="H2245" s="547">
        <v>172869.6995</v>
      </c>
      <c r="I2245" s="547">
        <v>189004.1535</v>
      </c>
      <c r="J2245" s="548">
        <v>155656.8294</v>
      </c>
      <c r="K2245" s="220"/>
      <c r="CE2245" s="525"/>
    </row>
    <row r="2246">
      <c r="A2246" s="219"/>
      <c r="B2246" s="889" t="s">
        <v>9</v>
      </c>
      <c r="C2246" s="890" t="s">
        <v>289</v>
      </c>
      <c r="D2246" s="890" t="s">
        <v>473</v>
      </c>
      <c r="E2246" s="891">
        <v>2019.0</v>
      </c>
      <c r="F2246" s="890" t="s">
        <v>291</v>
      </c>
      <c r="G2246" s="890" t="s">
        <v>89</v>
      </c>
      <c r="H2246" s="532">
        <v>268147.4055</v>
      </c>
      <c r="I2246" s="532">
        <v>293188.072</v>
      </c>
      <c r="J2246" s="533">
        <v>241449.1255</v>
      </c>
      <c r="K2246" s="220"/>
      <c r="CE2246" s="525"/>
    </row>
    <row r="2247">
      <c r="A2247" s="219"/>
      <c r="B2247" s="886" t="s">
        <v>9</v>
      </c>
      <c r="C2247" s="887" t="s">
        <v>289</v>
      </c>
      <c r="D2247" s="887" t="s">
        <v>477</v>
      </c>
      <c r="E2247" s="888">
        <v>2019.0</v>
      </c>
      <c r="F2247" s="887" t="s">
        <v>291</v>
      </c>
      <c r="G2247" s="887" t="s">
        <v>89</v>
      </c>
      <c r="H2247" s="547">
        <v>151203.3504</v>
      </c>
      <c r="I2247" s="547">
        <v>165315.6183</v>
      </c>
      <c r="J2247" s="548">
        <v>136147.828</v>
      </c>
      <c r="K2247" s="220"/>
      <c r="CE2247" s="525"/>
    </row>
    <row r="2248">
      <c r="A2248" s="219"/>
      <c r="B2248" s="889" t="s">
        <v>9</v>
      </c>
      <c r="C2248" s="890" t="s">
        <v>289</v>
      </c>
      <c r="D2248" s="890" t="s">
        <v>483</v>
      </c>
      <c r="E2248" s="891">
        <v>2019.0</v>
      </c>
      <c r="F2248" s="890" t="s">
        <v>291</v>
      </c>
      <c r="G2248" s="890" t="s">
        <v>89</v>
      </c>
      <c r="H2248" s="532">
        <v>95279.78368</v>
      </c>
      <c r="I2248" s="532">
        <v>104172.5352</v>
      </c>
      <c r="J2248" s="533">
        <v>85792.64656</v>
      </c>
      <c r="K2248" s="220"/>
      <c r="CE2248" s="525"/>
    </row>
    <row r="2249">
      <c r="A2249" s="219"/>
      <c r="B2249" s="886" t="s">
        <v>9</v>
      </c>
      <c r="C2249" s="887" t="s">
        <v>289</v>
      </c>
      <c r="D2249" s="887" t="s">
        <v>489</v>
      </c>
      <c r="E2249" s="888">
        <v>2019.0</v>
      </c>
      <c r="F2249" s="887" t="s">
        <v>291</v>
      </c>
      <c r="G2249" s="887" t="s">
        <v>89</v>
      </c>
      <c r="H2249" s="547">
        <v>55923.13345</v>
      </c>
      <c r="I2249" s="547">
        <v>61145.45709</v>
      </c>
      <c r="J2249" s="548">
        <v>50355.10839</v>
      </c>
      <c r="K2249" s="220"/>
      <c r="CE2249" s="525"/>
    </row>
    <row r="2250">
      <c r="A2250" s="219"/>
      <c r="B2250" s="889" t="s">
        <v>9</v>
      </c>
      <c r="C2250" s="890" t="s">
        <v>289</v>
      </c>
      <c r="D2250" s="890" t="s">
        <v>493</v>
      </c>
      <c r="E2250" s="891">
        <v>2019.0</v>
      </c>
      <c r="F2250" s="890" t="s">
        <v>291</v>
      </c>
      <c r="G2250" s="890" t="s">
        <v>89</v>
      </c>
      <c r="H2250" s="532">
        <v>39257.95611</v>
      </c>
      <c r="I2250" s="532">
        <v>42922.02037</v>
      </c>
      <c r="J2250" s="533">
        <v>35348.98825</v>
      </c>
      <c r="K2250" s="220"/>
      <c r="CE2250" s="525"/>
    </row>
    <row r="2251">
      <c r="A2251" s="219"/>
      <c r="B2251" s="886" t="s">
        <v>9</v>
      </c>
      <c r="C2251" s="887" t="s">
        <v>289</v>
      </c>
      <c r="D2251" s="887" t="s">
        <v>496</v>
      </c>
      <c r="E2251" s="888">
        <v>2019.0</v>
      </c>
      <c r="F2251" s="887" t="s">
        <v>291</v>
      </c>
      <c r="G2251" s="887" t="s">
        <v>89</v>
      </c>
      <c r="H2251" s="547">
        <v>13164.85147</v>
      </c>
      <c r="I2251" s="547">
        <v>14393.56703</v>
      </c>
      <c r="J2251" s="548">
        <v>11854.00937</v>
      </c>
      <c r="K2251" s="220"/>
      <c r="CE2251" s="525"/>
    </row>
    <row r="2252">
      <c r="A2252" s="219"/>
      <c r="B2252" s="889" t="s">
        <v>9</v>
      </c>
      <c r="C2252" s="890" t="s">
        <v>289</v>
      </c>
      <c r="D2252" s="890" t="s">
        <v>502</v>
      </c>
      <c r="E2252" s="891">
        <v>2019.0</v>
      </c>
      <c r="F2252" s="890" t="s">
        <v>291</v>
      </c>
      <c r="G2252" s="890" t="s">
        <v>89</v>
      </c>
      <c r="H2252" s="532">
        <v>3500.759187</v>
      </c>
      <c r="I2252" s="532">
        <v>3827.495673</v>
      </c>
      <c r="J2252" s="533">
        <v>3152.183853</v>
      </c>
      <c r="K2252" s="220"/>
      <c r="CE2252" s="525"/>
    </row>
    <row r="2253">
      <c r="A2253" s="219"/>
      <c r="B2253" s="886" t="s">
        <v>9</v>
      </c>
      <c r="C2253" s="887" t="s">
        <v>289</v>
      </c>
      <c r="D2253" s="887" t="s">
        <v>332</v>
      </c>
      <c r="E2253" s="888">
        <v>2019.0</v>
      </c>
      <c r="F2253" s="887" t="s">
        <v>291</v>
      </c>
      <c r="G2253" s="887" t="s">
        <v>89</v>
      </c>
      <c r="H2253" s="547">
        <v>4.111785624E7</v>
      </c>
      <c r="I2253" s="547">
        <v>4.495551063E7</v>
      </c>
      <c r="J2253" s="548">
        <v>3.70236956E7</v>
      </c>
      <c r="K2253" s="220"/>
      <c r="CE2253" s="525"/>
    </row>
    <row r="2254">
      <c r="A2254" s="219"/>
      <c r="B2254" s="889" t="s">
        <v>9</v>
      </c>
      <c r="C2254" s="890" t="s">
        <v>289</v>
      </c>
      <c r="D2254" s="890" t="s">
        <v>510</v>
      </c>
      <c r="E2254" s="891">
        <v>2019.0</v>
      </c>
      <c r="F2254" s="890" t="s">
        <v>291</v>
      </c>
      <c r="G2254" s="890" t="s">
        <v>89</v>
      </c>
      <c r="H2254" s="532">
        <v>1593731.386</v>
      </c>
      <c r="I2254" s="532">
        <v>1695336.122</v>
      </c>
      <c r="J2254" s="533">
        <v>1505161.966</v>
      </c>
      <c r="K2254" s="220"/>
      <c r="CE2254" s="525"/>
    </row>
    <row r="2255">
      <c r="A2255" s="219"/>
      <c r="B2255" s="886" t="s">
        <v>9</v>
      </c>
      <c r="C2255" s="887" t="s">
        <v>289</v>
      </c>
      <c r="D2255" s="887" t="s">
        <v>512</v>
      </c>
      <c r="E2255" s="888">
        <v>2019.0</v>
      </c>
      <c r="F2255" s="887" t="s">
        <v>291</v>
      </c>
      <c r="G2255" s="887" t="s">
        <v>89</v>
      </c>
      <c r="H2255" s="547">
        <v>29967.21218</v>
      </c>
      <c r="I2255" s="547">
        <v>32764.1431</v>
      </c>
      <c r="J2255" s="548">
        <v>26983.33628</v>
      </c>
      <c r="K2255" s="220"/>
      <c r="CE2255" s="525"/>
    </row>
    <row r="2256">
      <c r="A2256" s="219"/>
      <c r="B2256" s="889" t="s">
        <v>9</v>
      </c>
      <c r="C2256" s="890" t="s">
        <v>289</v>
      </c>
      <c r="D2256" s="890" t="s">
        <v>515</v>
      </c>
      <c r="E2256" s="891">
        <v>2019.0</v>
      </c>
      <c r="F2256" s="890" t="s">
        <v>291</v>
      </c>
      <c r="G2256" s="890" t="s">
        <v>89</v>
      </c>
      <c r="H2256" s="532">
        <v>88650.53876</v>
      </c>
      <c r="I2256" s="532">
        <v>96924.56275</v>
      </c>
      <c r="J2256" s="533">
        <v>79823.48454</v>
      </c>
      <c r="K2256" s="220"/>
      <c r="CE2256" s="525"/>
    </row>
    <row r="2257">
      <c r="A2257" s="219"/>
      <c r="B2257" s="886" t="s">
        <v>9</v>
      </c>
      <c r="C2257" s="887" t="s">
        <v>289</v>
      </c>
      <c r="D2257" s="887" t="s">
        <v>518</v>
      </c>
      <c r="E2257" s="888">
        <v>2019.0</v>
      </c>
      <c r="F2257" s="887" t="s">
        <v>291</v>
      </c>
      <c r="G2257" s="887" t="s">
        <v>89</v>
      </c>
      <c r="H2257" s="547">
        <v>118617.7509</v>
      </c>
      <c r="I2257" s="547">
        <v>129688.7059</v>
      </c>
      <c r="J2257" s="548">
        <v>106806.8208</v>
      </c>
      <c r="K2257" s="220"/>
      <c r="CE2257" s="525"/>
    </row>
    <row r="2258">
      <c r="A2258" s="219"/>
      <c r="B2258" s="889" t="s">
        <v>9</v>
      </c>
      <c r="C2258" s="890" t="s">
        <v>289</v>
      </c>
      <c r="D2258" s="890" t="s">
        <v>522</v>
      </c>
      <c r="E2258" s="891">
        <v>2019.0</v>
      </c>
      <c r="F2258" s="890" t="s">
        <v>291</v>
      </c>
      <c r="G2258" s="890" t="s">
        <v>89</v>
      </c>
      <c r="H2258" s="532">
        <v>1389726.819</v>
      </c>
      <c r="I2258" s="532">
        <v>1519434.244</v>
      </c>
      <c r="J2258" s="533">
        <v>1251349.838</v>
      </c>
      <c r="K2258" s="220"/>
      <c r="CE2258" s="525"/>
    </row>
    <row r="2259">
      <c r="A2259" s="219"/>
      <c r="B2259" s="886" t="s">
        <v>9</v>
      </c>
      <c r="C2259" s="887" t="s">
        <v>289</v>
      </c>
      <c r="D2259" s="887" t="s">
        <v>302</v>
      </c>
      <c r="E2259" s="888">
        <v>2019.0</v>
      </c>
      <c r="F2259" s="887" t="s">
        <v>291</v>
      </c>
      <c r="G2259" s="887" t="s">
        <v>89</v>
      </c>
      <c r="H2259" s="547">
        <v>7089749.816</v>
      </c>
      <c r="I2259" s="547">
        <v>7751457.696</v>
      </c>
      <c r="J2259" s="548">
        <v>6383813.824</v>
      </c>
      <c r="K2259" s="220"/>
      <c r="CE2259" s="525"/>
    </row>
    <row r="2260">
      <c r="A2260" s="219"/>
      <c r="B2260" s="889" t="s">
        <v>480</v>
      </c>
      <c r="C2260" s="890" t="s">
        <v>289</v>
      </c>
      <c r="D2260" s="890" t="s">
        <v>290</v>
      </c>
      <c r="E2260" s="891">
        <v>2019.0</v>
      </c>
      <c r="F2260" s="890" t="s">
        <v>291</v>
      </c>
      <c r="G2260" s="890" t="s">
        <v>89</v>
      </c>
      <c r="H2260" s="532">
        <v>1977970.443</v>
      </c>
      <c r="I2260" s="532">
        <v>2204379.78</v>
      </c>
      <c r="J2260" s="533">
        <v>1760405.594</v>
      </c>
      <c r="K2260" s="220"/>
      <c r="CE2260" s="525"/>
    </row>
    <row r="2261">
      <c r="A2261" s="219"/>
      <c r="B2261" s="886" t="s">
        <v>480</v>
      </c>
      <c r="C2261" s="887" t="s">
        <v>289</v>
      </c>
      <c r="D2261" s="887" t="s">
        <v>310</v>
      </c>
      <c r="E2261" s="888">
        <v>2019.0</v>
      </c>
      <c r="F2261" s="887" t="s">
        <v>291</v>
      </c>
      <c r="G2261" s="887" t="s">
        <v>89</v>
      </c>
      <c r="H2261" s="547">
        <v>3.069814262E7</v>
      </c>
      <c r="I2261" s="547">
        <v>3.421202027E7</v>
      </c>
      <c r="J2261" s="548">
        <v>2.732153161E7</v>
      </c>
      <c r="K2261" s="220"/>
      <c r="CE2261" s="525"/>
    </row>
    <row r="2262">
      <c r="A2262" s="219"/>
      <c r="B2262" s="889" t="s">
        <v>480</v>
      </c>
      <c r="C2262" s="890" t="s">
        <v>289</v>
      </c>
      <c r="D2262" s="890" t="s">
        <v>318</v>
      </c>
      <c r="E2262" s="891">
        <v>2019.0</v>
      </c>
      <c r="F2262" s="890" t="s">
        <v>291</v>
      </c>
      <c r="G2262" s="890" t="s">
        <v>89</v>
      </c>
      <c r="H2262" s="532">
        <v>2.457437031E7</v>
      </c>
      <c r="I2262" s="532">
        <v>2.738728742E7</v>
      </c>
      <c r="J2262" s="533">
        <v>2.187133742E7</v>
      </c>
      <c r="K2262" s="220"/>
      <c r="CE2262" s="525"/>
    </row>
    <row r="2263">
      <c r="A2263" s="219"/>
      <c r="B2263" s="886" t="s">
        <v>480</v>
      </c>
      <c r="C2263" s="887" t="s">
        <v>289</v>
      </c>
      <c r="D2263" s="887" t="s">
        <v>309</v>
      </c>
      <c r="E2263" s="888">
        <v>2019.0</v>
      </c>
      <c r="F2263" s="887" t="s">
        <v>291</v>
      </c>
      <c r="G2263" s="887" t="s">
        <v>89</v>
      </c>
      <c r="H2263" s="547">
        <v>7329306.521</v>
      </c>
      <c r="I2263" s="547">
        <v>8168259.114</v>
      </c>
      <c r="J2263" s="548">
        <v>6523126.896</v>
      </c>
      <c r="K2263" s="220"/>
      <c r="CE2263" s="525"/>
    </row>
    <row r="2264">
      <c r="A2264" s="219"/>
      <c r="B2264" s="889" t="s">
        <v>480</v>
      </c>
      <c r="C2264" s="890" t="s">
        <v>289</v>
      </c>
      <c r="D2264" s="890" t="s">
        <v>334</v>
      </c>
      <c r="E2264" s="891">
        <v>2019.0</v>
      </c>
      <c r="F2264" s="890" t="s">
        <v>291</v>
      </c>
      <c r="G2264" s="890" t="s">
        <v>89</v>
      </c>
      <c r="H2264" s="532">
        <v>7116237.345</v>
      </c>
      <c r="I2264" s="532">
        <v>7930800.872</v>
      </c>
      <c r="J2264" s="533">
        <v>6333494.048</v>
      </c>
      <c r="K2264" s="220"/>
      <c r="CE2264" s="525"/>
    </row>
    <row r="2265">
      <c r="A2265" s="219"/>
      <c r="B2265" s="886" t="s">
        <v>480</v>
      </c>
      <c r="C2265" s="887" t="s">
        <v>289</v>
      </c>
      <c r="D2265" s="887" t="s">
        <v>339</v>
      </c>
      <c r="E2265" s="888">
        <v>2019.0</v>
      </c>
      <c r="F2265" s="887" t="s">
        <v>291</v>
      </c>
      <c r="G2265" s="887" t="s">
        <v>89</v>
      </c>
      <c r="H2265" s="547">
        <v>1.324000965E7</v>
      </c>
      <c r="I2265" s="547">
        <v>1.475553372E7</v>
      </c>
      <c r="J2265" s="548">
        <v>1.178368824E7</v>
      </c>
      <c r="K2265" s="220"/>
      <c r="CE2265" s="525"/>
    </row>
    <row r="2266">
      <c r="A2266" s="219"/>
      <c r="B2266" s="889" t="s">
        <v>480</v>
      </c>
      <c r="C2266" s="890" t="s">
        <v>289</v>
      </c>
      <c r="D2266" s="890" t="s">
        <v>344</v>
      </c>
      <c r="E2266" s="891">
        <v>2019.0</v>
      </c>
      <c r="F2266" s="890" t="s">
        <v>291</v>
      </c>
      <c r="G2266" s="890" t="s">
        <v>89</v>
      </c>
      <c r="H2266" s="532">
        <v>1.83456182E7</v>
      </c>
      <c r="I2266" s="532">
        <v>2.04455582E7</v>
      </c>
      <c r="J2266" s="533">
        <v>1.632771056E7</v>
      </c>
      <c r="K2266" s="220"/>
      <c r="CE2266" s="525"/>
    </row>
    <row r="2267">
      <c r="A2267" s="219"/>
      <c r="B2267" s="886" t="s">
        <v>480</v>
      </c>
      <c r="C2267" s="887" t="s">
        <v>289</v>
      </c>
      <c r="D2267" s="887" t="s">
        <v>349</v>
      </c>
      <c r="E2267" s="888">
        <v>2019.0</v>
      </c>
      <c r="F2267" s="887" t="s">
        <v>291</v>
      </c>
      <c r="G2267" s="887" t="s">
        <v>89</v>
      </c>
      <c r="H2267" s="547">
        <v>6123772.306</v>
      </c>
      <c r="I2267" s="547">
        <v>6824732.846</v>
      </c>
      <c r="J2267" s="548">
        <v>5450194.193</v>
      </c>
      <c r="K2267" s="220"/>
      <c r="CE2267" s="525"/>
    </row>
    <row r="2268">
      <c r="A2268" s="219"/>
      <c r="B2268" s="889" t="s">
        <v>480</v>
      </c>
      <c r="C2268" s="890" t="s">
        <v>289</v>
      </c>
      <c r="D2268" s="890" t="s">
        <v>355</v>
      </c>
      <c r="E2268" s="891">
        <v>2019.0</v>
      </c>
      <c r="F2268" s="890" t="s">
        <v>291</v>
      </c>
      <c r="G2268" s="890" t="s">
        <v>89</v>
      </c>
      <c r="H2268" s="532">
        <v>2.208470417E7</v>
      </c>
      <c r="I2268" s="532">
        <v>2.460883365E7</v>
      </c>
      <c r="J2268" s="533">
        <v>1.966326217E7</v>
      </c>
      <c r="K2268" s="220"/>
      <c r="CE2268" s="525"/>
    </row>
    <row r="2269">
      <c r="A2269" s="219"/>
      <c r="B2269" s="886" t="s">
        <v>480</v>
      </c>
      <c r="C2269" s="887" t="s">
        <v>289</v>
      </c>
      <c r="D2269" s="887" t="s">
        <v>358</v>
      </c>
      <c r="E2269" s="888">
        <v>2019.0</v>
      </c>
      <c r="F2269" s="887" t="s">
        <v>291</v>
      </c>
      <c r="G2269" s="887" t="s">
        <v>89</v>
      </c>
      <c r="H2269" s="547">
        <v>2.666310819E7</v>
      </c>
      <c r="I2269" s="547">
        <v>2.971511368E7</v>
      </c>
      <c r="J2269" s="548">
        <v>2.37303267E7</v>
      </c>
      <c r="K2269" s="220"/>
      <c r="CE2269" s="525"/>
    </row>
    <row r="2270">
      <c r="A2270" s="219"/>
      <c r="B2270" s="889" t="s">
        <v>480</v>
      </c>
      <c r="C2270" s="890" t="s">
        <v>289</v>
      </c>
      <c r="D2270" s="890" t="s">
        <v>362</v>
      </c>
      <c r="E2270" s="891">
        <v>2019.0</v>
      </c>
      <c r="F2270" s="890" t="s">
        <v>291</v>
      </c>
      <c r="G2270" s="890" t="s">
        <v>89</v>
      </c>
      <c r="H2270" s="532">
        <v>2.604220092E7</v>
      </c>
      <c r="I2270" s="532">
        <v>2.9018645E7</v>
      </c>
      <c r="J2270" s="533">
        <v>2.318684553E7</v>
      </c>
      <c r="K2270" s="220"/>
      <c r="CE2270" s="525"/>
    </row>
    <row r="2271">
      <c r="A2271" s="219"/>
      <c r="B2271" s="886" t="s">
        <v>480</v>
      </c>
      <c r="C2271" s="887" t="s">
        <v>289</v>
      </c>
      <c r="D2271" s="887" t="s">
        <v>366</v>
      </c>
      <c r="E2271" s="888">
        <v>2019.0</v>
      </c>
      <c r="F2271" s="887" t="s">
        <v>291</v>
      </c>
      <c r="G2271" s="887" t="s">
        <v>89</v>
      </c>
      <c r="H2271" s="547">
        <v>5105608.548</v>
      </c>
      <c r="I2271" s="547">
        <v>5690024.484</v>
      </c>
      <c r="J2271" s="548">
        <v>4544022.323</v>
      </c>
      <c r="K2271" s="220"/>
      <c r="CE2271" s="525"/>
    </row>
    <row r="2272">
      <c r="A2272" s="219"/>
      <c r="B2272" s="889" t="s">
        <v>480</v>
      </c>
      <c r="C2272" s="890" t="s">
        <v>289</v>
      </c>
      <c r="D2272" s="890" t="s">
        <v>368</v>
      </c>
      <c r="E2272" s="891">
        <v>2019.0</v>
      </c>
      <c r="F2272" s="890" t="s">
        <v>291</v>
      </c>
      <c r="G2272" s="890" t="s">
        <v>89</v>
      </c>
      <c r="H2272" s="532">
        <v>2.0932365E7</v>
      </c>
      <c r="I2272" s="532">
        <v>2.332839822E7</v>
      </c>
      <c r="J2272" s="533">
        <v>1.862993078E7</v>
      </c>
      <c r="K2272" s="220"/>
      <c r="CE2272" s="525"/>
    </row>
    <row r="2273">
      <c r="A2273" s="219"/>
      <c r="B2273" s="886" t="s">
        <v>480</v>
      </c>
      <c r="C2273" s="887" t="s">
        <v>289</v>
      </c>
      <c r="D2273" s="887" t="s">
        <v>373</v>
      </c>
      <c r="E2273" s="888">
        <v>2019.0</v>
      </c>
      <c r="F2273" s="887" t="s">
        <v>291</v>
      </c>
      <c r="G2273" s="887" t="s">
        <v>89</v>
      </c>
      <c r="H2273" s="547">
        <v>4238105.978</v>
      </c>
      <c r="I2273" s="547">
        <v>4723222.816</v>
      </c>
      <c r="J2273" s="548">
        <v>3771939.817</v>
      </c>
      <c r="K2273" s="220"/>
      <c r="CE2273" s="525"/>
    </row>
    <row r="2274">
      <c r="A2274" s="219"/>
      <c r="B2274" s="889" t="s">
        <v>480</v>
      </c>
      <c r="C2274" s="890" t="s">
        <v>289</v>
      </c>
      <c r="D2274" s="890" t="s">
        <v>379</v>
      </c>
      <c r="E2274" s="891">
        <v>2019.0</v>
      </c>
      <c r="F2274" s="890" t="s">
        <v>291</v>
      </c>
      <c r="G2274" s="890" t="s">
        <v>89</v>
      </c>
      <c r="H2274" s="532">
        <v>1.543623307E7</v>
      </c>
      <c r="I2274" s="532">
        <v>1.720048812E7</v>
      </c>
      <c r="J2274" s="533">
        <v>1.374375203E7</v>
      </c>
      <c r="K2274" s="220"/>
      <c r="CE2274" s="525"/>
    </row>
    <row r="2275">
      <c r="A2275" s="219"/>
      <c r="B2275" s="886" t="s">
        <v>480</v>
      </c>
      <c r="C2275" s="887" t="s">
        <v>289</v>
      </c>
      <c r="D2275" s="887" t="s">
        <v>382</v>
      </c>
      <c r="E2275" s="888">
        <v>2019.0</v>
      </c>
      <c r="F2275" s="887" t="s">
        <v>291</v>
      </c>
      <c r="G2275" s="887" t="s">
        <v>89</v>
      </c>
      <c r="H2275" s="547">
        <v>3567144.518</v>
      </c>
      <c r="I2275" s="547">
        <v>3975459.43</v>
      </c>
      <c r="J2275" s="548">
        <v>3174780.081</v>
      </c>
      <c r="K2275" s="220"/>
      <c r="CE2275" s="525"/>
    </row>
    <row r="2276">
      <c r="A2276" s="219"/>
      <c r="B2276" s="889" t="s">
        <v>480</v>
      </c>
      <c r="C2276" s="890" t="s">
        <v>289</v>
      </c>
      <c r="D2276" s="890" t="s">
        <v>387</v>
      </c>
      <c r="E2276" s="891">
        <v>2019.0</v>
      </c>
      <c r="F2276" s="890" t="s">
        <v>291</v>
      </c>
      <c r="G2276" s="890" t="s">
        <v>89</v>
      </c>
      <c r="H2276" s="532">
        <v>3046487.861</v>
      </c>
      <c r="I2276" s="532">
        <v>3395205.558</v>
      </c>
      <c r="J2276" s="533">
        <v>2711392.524</v>
      </c>
      <c r="K2276" s="220"/>
      <c r="CE2276" s="525"/>
    </row>
    <row r="2277">
      <c r="A2277" s="219"/>
      <c r="B2277" s="886" t="s">
        <v>480</v>
      </c>
      <c r="C2277" s="887" t="s">
        <v>289</v>
      </c>
      <c r="D2277" s="887" t="s">
        <v>392</v>
      </c>
      <c r="E2277" s="888">
        <v>2019.0</v>
      </c>
      <c r="F2277" s="887" t="s">
        <v>291</v>
      </c>
      <c r="G2277" s="887" t="s">
        <v>89</v>
      </c>
      <c r="H2277" s="547">
        <v>2539501.889</v>
      </c>
      <c r="I2277" s="547">
        <v>2830187.193</v>
      </c>
      <c r="J2277" s="548">
        <v>2260171.959</v>
      </c>
      <c r="K2277" s="220"/>
      <c r="CE2277" s="525"/>
    </row>
    <row r="2278">
      <c r="A2278" s="219"/>
      <c r="B2278" s="889" t="s">
        <v>480</v>
      </c>
      <c r="C2278" s="890" t="s">
        <v>289</v>
      </c>
      <c r="D2278" s="890" t="s">
        <v>398</v>
      </c>
      <c r="E2278" s="891">
        <v>2019.0</v>
      </c>
      <c r="F2278" s="890" t="s">
        <v>291</v>
      </c>
      <c r="G2278" s="890" t="s">
        <v>89</v>
      </c>
      <c r="H2278" s="532">
        <v>2042487.091</v>
      </c>
      <c r="I2278" s="532">
        <v>2276281.357</v>
      </c>
      <c r="J2278" s="533">
        <v>1817825.798</v>
      </c>
      <c r="K2278" s="220"/>
      <c r="CE2278" s="525"/>
    </row>
    <row r="2279">
      <c r="A2279" s="219"/>
      <c r="B2279" s="886" t="s">
        <v>480</v>
      </c>
      <c r="C2279" s="887" t="s">
        <v>289</v>
      </c>
      <c r="D2279" s="887" t="s">
        <v>402</v>
      </c>
      <c r="E2279" s="888">
        <v>2019.0</v>
      </c>
      <c r="F2279" s="887" t="s">
        <v>291</v>
      </c>
      <c r="G2279" s="887" t="s">
        <v>89</v>
      </c>
      <c r="H2279" s="547">
        <v>2.139433855E7</v>
      </c>
      <c r="I2279" s="547">
        <v>2.383956399E7</v>
      </c>
      <c r="J2279" s="548">
        <v>1.904859058E7</v>
      </c>
      <c r="K2279" s="220"/>
      <c r="CE2279" s="525"/>
    </row>
    <row r="2280">
      <c r="A2280" s="219"/>
      <c r="B2280" s="889" t="s">
        <v>480</v>
      </c>
      <c r="C2280" s="890" t="s">
        <v>289</v>
      </c>
      <c r="D2280" s="890" t="s">
        <v>407</v>
      </c>
      <c r="E2280" s="891">
        <v>2019.0</v>
      </c>
      <c r="F2280" s="890" t="s">
        <v>291</v>
      </c>
      <c r="G2280" s="890" t="s">
        <v>89</v>
      </c>
      <c r="H2280" s="532">
        <v>8150856.004</v>
      </c>
      <c r="I2280" s="532">
        <v>9083847.653</v>
      </c>
      <c r="J2280" s="533">
        <v>7254310.879</v>
      </c>
      <c r="K2280" s="220"/>
      <c r="CE2280" s="525"/>
    </row>
    <row r="2281">
      <c r="A2281" s="219"/>
      <c r="B2281" s="886" t="s">
        <v>480</v>
      </c>
      <c r="C2281" s="887" t="s">
        <v>289</v>
      </c>
      <c r="D2281" s="887" t="s">
        <v>414</v>
      </c>
      <c r="E2281" s="888">
        <v>2019.0</v>
      </c>
      <c r="F2281" s="887" t="s">
        <v>291</v>
      </c>
      <c r="G2281" s="887" t="s">
        <v>89</v>
      </c>
      <c r="H2281" s="547">
        <v>1599131.357</v>
      </c>
      <c r="I2281" s="547">
        <v>1782176.697</v>
      </c>
      <c r="J2281" s="548">
        <v>1423236.528</v>
      </c>
      <c r="K2281" s="220"/>
      <c r="CE2281" s="525"/>
    </row>
    <row r="2282">
      <c r="A2282" s="219"/>
      <c r="B2282" s="889" t="s">
        <v>480</v>
      </c>
      <c r="C2282" s="890" t="s">
        <v>289</v>
      </c>
      <c r="D2282" s="890" t="s">
        <v>417</v>
      </c>
      <c r="E2282" s="891">
        <v>2019.0</v>
      </c>
      <c r="F2282" s="890" t="s">
        <v>291</v>
      </c>
      <c r="G2282" s="890" t="s">
        <v>89</v>
      </c>
      <c r="H2282" s="532">
        <v>4403295.591</v>
      </c>
      <c r="I2282" s="532">
        <v>4907320.937</v>
      </c>
      <c r="J2282" s="533">
        <v>3918959.566</v>
      </c>
      <c r="K2282" s="220"/>
      <c r="CE2282" s="525"/>
    </row>
    <row r="2283">
      <c r="A2283" s="219"/>
      <c r="B2283" s="886" t="s">
        <v>480</v>
      </c>
      <c r="C2283" s="887" t="s">
        <v>289</v>
      </c>
      <c r="D2283" s="887" t="s">
        <v>300</v>
      </c>
      <c r="E2283" s="888">
        <v>2019.0</v>
      </c>
      <c r="F2283" s="887" t="s">
        <v>291</v>
      </c>
      <c r="G2283" s="887" t="s">
        <v>89</v>
      </c>
      <c r="H2283" s="547">
        <v>1.526709335E7</v>
      </c>
      <c r="I2283" s="547">
        <v>1.701464853E7</v>
      </c>
      <c r="J2283" s="548">
        <v>1.358780493E7</v>
      </c>
      <c r="K2283" s="220"/>
      <c r="CE2283" s="525"/>
    </row>
    <row r="2284">
      <c r="A2284" s="219"/>
      <c r="B2284" s="889" t="s">
        <v>480</v>
      </c>
      <c r="C2284" s="890" t="s">
        <v>289</v>
      </c>
      <c r="D2284" s="890" t="s">
        <v>429</v>
      </c>
      <c r="E2284" s="891">
        <v>2019.0</v>
      </c>
      <c r="F2284" s="890" t="s">
        <v>291</v>
      </c>
      <c r="G2284" s="890" t="s">
        <v>89</v>
      </c>
      <c r="H2284" s="532">
        <v>3900139.407</v>
      </c>
      <c r="I2284" s="532">
        <v>4345898.461</v>
      </c>
      <c r="J2284" s="533">
        <v>3472514.871</v>
      </c>
      <c r="K2284" s="220"/>
      <c r="CE2284" s="525"/>
    </row>
    <row r="2285">
      <c r="A2285" s="219"/>
      <c r="B2285" s="886" t="s">
        <v>480</v>
      </c>
      <c r="C2285" s="887" t="s">
        <v>289</v>
      </c>
      <c r="D2285" s="887" t="s">
        <v>432</v>
      </c>
      <c r="E2285" s="888">
        <v>2019.0</v>
      </c>
      <c r="F2285" s="887" t="s">
        <v>291</v>
      </c>
      <c r="G2285" s="887" t="s">
        <v>89</v>
      </c>
      <c r="H2285" s="547">
        <v>1209972.597</v>
      </c>
      <c r="I2285" s="547">
        <v>1348472.692</v>
      </c>
      <c r="J2285" s="548">
        <v>1076882.89</v>
      </c>
      <c r="K2285" s="220"/>
      <c r="CE2285" s="525"/>
    </row>
    <row r="2286">
      <c r="A2286" s="219"/>
      <c r="B2286" s="889" t="s">
        <v>480</v>
      </c>
      <c r="C2286" s="890" t="s">
        <v>289</v>
      </c>
      <c r="D2286" s="890" t="s">
        <v>435</v>
      </c>
      <c r="E2286" s="891">
        <v>2019.0</v>
      </c>
      <c r="F2286" s="890" t="s">
        <v>291</v>
      </c>
      <c r="G2286" s="890" t="s">
        <v>89</v>
      </c>
      <c r="H2286" s="532">
        <v>901609.6445</v>
      </c>
      <c r="I2286" s="532">
        <v>1004812.826</v>
      </c>
      <c r="J2286" s="533">
        <v>802438.0077</v>
      </c>
      <c r="K2286" s="220"/>
      <c r="CE2286" s="525"/>
    </row>
    <row r="2287">
      <c r="A2287" s="219"/>
      <c r="B2287" s="886" t="s">
        <v>480</v>
      </c>
      <c r="C2287" s="887" t="s">
        <v>289</v>
      </c>
      <c r="D2287" s="887" t="s">
        <v>442</v>
      </c>
      <c r="E2287" s="888">
        <v>2019.0</v>
      </c>
      <c r="F2287" s="887" t="s">
        <v>291</v>
      </c>
      <c r="G2287" s="887" t="s">
        <v>89</v>
      </c>
      <c r="H2287" s="547">
        <v>692581.9926</v>
      </c>
      <c r="I2287" s="547">
        <v>771858.7232</v>
      </c>
      <c r="J2287" s="548">
        <v>616402.14</v>
      </c>
      <c r="K2287" s="220"/>
      <c r="CE2287" s="525"/>
    </row>
    <row r="2288">
      <c r="A2288" s="219"/>
      <c r="B2288" s="889" t="s">
        <v>480</v>
      </c>
      <c r="C2288" s="890" t="s">
        <v>289</v>
      </c>
      <c r="D2288" s="890" t="s">
        <v>445</v>
      </c>
      <c r="E2288" s="891">
        <v>2019.0</v>
      </c>
      <c r="F2288" s="890" t="s">
        <v>291</v>
      </c>
      <c r="G2288" s="890" t="s">
        <v>89</v>
      </c>
      <c r="H2288" s="532">
        <v>1166147.559</v>
      </c>
      <c r="I2288" s="532">
        <v>1299430.188</v>
      </c>
      <c r="J2288" s="533">
        <v>1038287.178</v>
      </c>
      <c r="K2288" s="220"/>
      <c r="CE2288" s="525"/>
    </row>
    <row r="2289">
      <c r="A2289" s="219"/>
      <c r="B2289" s="886" t="s">
        <v>480</v>
      </c>
      <c r="C2289" s="887" t="s">
        <v>289</v>
      </c>
      <c r="D2289" s="887" t="s">
        <v>450</v>
      </c>
      <c r="E2289" s="888">
        <v>2019.0</v>
      </c>
      <c r="F2289" s="887" t="s">
        <v>291</v>
      </c>
      <c r="G2289" s="887" t="s">
        <v>89</v>
      </c>
      <c r="H2289" s="547">
        <v>473376.2682</v>
      </c>
      <c r="I2289" s="547">
        <v>527561.5103</v>
      </c>
      <c r="J2289" s="548">
        <v>421307.7266</v>
      </c>
      <c r="K2289" s="220"/>
      <c r="CE2289" s="525"/>
    </row>
    <row r="2290">
      <c r="A2290" s="219"/>
      <c r="B2290" s="889" t="s">
        <v>480</v>
      </c>
      <c r="C2290" s="890" t="s">
        <v>289</v>
      </c>
      <c r="D2290" s="890" t="s">
        <v>457</v>
      </c>
      <c r="E2290" s="891">
        <v>2019.0</v>
      </c>
      <c r="F2290" s="890" t="s">
        <v>291</v>
      </c>
      <c r="G2290" s="890" t="s">
        <v>89</v>
      </c>
      <c r="H2290" s="532">
        <v>1095342.072</v>
      </c>
      <c r="I2290" s="532">
        <v>1220720.928</v>
      </c>
      <c r="J2290" s="533">
        <v>974861.0334</v>
      </c>
      <c r="K2290" s="220"/>
      <c r="CE2290" s="525"/>
    </row>
    <row r="2291">
      <c r="A2291" s="219"/>
      <c r="B2291" s="886" t="s">
        <v>480</v>
      </c>
      <c r="C2291" s="887" t="s">
        <v>289</v>
      </c>
      <c r="D2291" s="887" t="s">
        <v>463</v>
      </c>
      <c r="E2291" s="888">
        <v>2019.0</v>
      </c>
      <c r="F2291" s="887" t="s">
        <v>291</v>
      </c>
      <c r="G2291" s="887" t="s">
        <v>89</v>
      </c>
      <c r="H2291" s="547">
        <v>622066.7823</v>
      </c>
      <c r="I2291" s="547">
        <v>693164.7281</v>
      </c>
      <c r="J2291" s="548">
        <v>553861.2667</v>
      </c>
      <c r="K2291" s="220"/>
      <c r="CE2291" s="525"/>
    </row>
    <row r="2292">
      <c r="A2292" s="219"/>
      <c r="B2292" s="889" t="s">
        <v>480</v>
      </c>
      <c r="C2292" s="890" t="s">
        <v>289</v>
      </c>
      <c r="D2292" s="890" t="s">
        <v>467</v>
      </c>
      <c r="E2292" s="891">
        <v>2019.0</v>
      </c>
      <c r="F2292" s="890" t="s">
        <v>291</v>
      </c>
      <c r="G2292" s="890" t="s">
        <v>89</v>
      </c>
      <c r="H2292" s="532">
        <v>319566.525</v>
      </c>
      <c r="I2292" s="532">
        <v>356145.8608</v>
      </c>
      <c r="J2292" s="533">
        <v>284416.1297</v>
      </c>
      <c r="K2292" s="220"/>
      <c r="CE2292" s="525"/>
    </row>
    <row r="2293">
      <c r="A2293" s="219"/>
      <c r="B2293" s="886" t="s">
        <v>480</v>
      </c>
      <c r="C2293" s="887" t="s">
        <v>289</v>
      </c>
      <c r="D2293" s="887" t="s">
        <v>473</v>
      </c>
      <c r="E2293" s="888">
        <v>2019.0</v>
      </c>
      <c r="F2293" s="887" t="s">
        <v>291</v>
      </c>
      <c r="G2293" s="887" t="s">
        <v>89</v>
      </c>
      <c r="H2293" s="547">
        <v>507406.9832</v>
      </c>
      <c r="I2293" s="547">
        <v>565400.1042</v>
      </c>
      <c r="J2293" s="548">
        <v>451773.1575</v>
      </c>
      <c r="K2293" s="220"/>
      <c r="CE2293" s="525"/>
    </row>
    <row r="2294">
      <c r="A2294" s="219"/>
      <c r="B2294" s="889" t="s">
        <v>480</v>
      </c>
      <c r="C2294" s="890" t="s">
        <v>289</v>
      </c>
      <c r="D2294" s="890" t="s">
        <v>477</v>
      </c>
      <c r="E2294" s="891">
        <v>2019.0</v>
      </c>
      <c r="F2294" s="890" t="s">
        <v>291</v>
      </c>
      <c r="G2294" s="890" t="s">
        <v>89</v>
      </c>
      <c r="H2294" s="532">
        <v>302399.2786</v>
      </c>
      <c r="I2294" s="532">
        <v>337013.5573</v>
      </c>
      <c r="J2294" s="533">
        <v>269137.1772</v>
      </c>
      <c r="K2294" s="220"/>
      <c r="CE2294" s="525"/>
    </row>
    <row r="2295">
      <c r="A2295" s="219"/>
      <c r="B2295" s="886" t="s">
        <v>480</v>
      </c>
      <c r="C2295" s="887" t="s">
        <v>289</v>
      </c>
      <c r="D2295" s="887" t="s">
        <v>483</v>
      </c>
      <c r="E2295" s="888">
        <v>2019.0</v>
      </c>
      <c r="F2295" s="887" t="s">
        <v>291</v>
      </c>
      <c r="G2295" s="887" t="s">
        <v>89</v>
      </c>
      <c r="H2295" s="547">
        <v>187758.0919</v>
      </c>
      <c r="I2295" s="547">
        <v>209249.9122</v>
      </c>
      <c r="J2295" s="548">
        <v>167105.8314</v>
      </c>
      <c r="K2295" s="220"/>
      <c r="CE2295" s="525"/>
    </row>
    <row r="2296">
      <c r="A2296" s="219"/>
      <c r="B2296" s="889" t="s">
        <v>480</v>
      </c>
      <c r="C2296" s="890" t="s">
        <v>289</v>
      </c>
      <c r="D2296" s="890" t="s">
        <v>489</v>
      </c>
      <c r="E2296" s="891">
        <v>2019.0</v>
      </c>
      <c r="F2296" s="890" t="s">
        <v>291</v>
      </c>
      <c r="G2296" s="890" t="s">
        <v>89</v>
      </c>
      <c r="H2296" s="532">
        <v>114659.7991</v>
      </c>
      <c r="I2296" s="532">
        <v>127764.6239</v>
      </c>
      <c r="J2296" s="533">
        <v>102088.1092</v>
      </c>
      <c r="K2296" s="220"/>
      <c r="CE2296" s="525"/>
    </row>
    <row r="2297">
      <c r="A2297" s="219"/>
      <c r="B2297" s="886" t="s">
        <v>480</v>
      </c>
      <c r="C2297" s="887" t="s">
        <v>289</v>
      </c>
      <c r="D2297" s="887" t="s">
        <v>493</v>
      </c>
      <c r="E2297" s="888">
        <v>2019.0</v>
      </c>
      <c r="F2297" s="887" t="s">
        <v>291</v>
      </c>
      <c r="G2297" s="887" t="s">
        <v>89</v>
      </c>
      <c r="H2297" s="547">
        <v>81563.88759</v>
      </c>
      <c r="I2297" s="547">
        <v>90900.13718</v>
      </c>
      <c r="J2297" s="548">
        <v>72592.35064</v>
      </c>
      <c r="K2297" s="220"/>
      <c r="CE2297" s="525"/>
    </row>
    <row r="2298">
      <c r="A2298" s="219"/>
      <c r="B2298" s="889" t="s">
        <v>480</v>
      </c>
      <c r="C2298" s="890" t="s">
        <v>289</v>
      </c>
      <c r="D2298" s="890" t="s">
        <v>496</v>
      </c>
      <c r="E2298" s="891">
        <v>2019.0</v>
      </c>
      <c r="F2298" s="890" t="s">
        <v>291</v>
      </c>
      <c r="G2298" s="890" t="s">
        <v>89</v>
      </c>
      <c r="H2298" s="532">
        <v>26280.18484</v>
      </c>
      <c r="I2298" s="532">
        <v>29288.35883</v>
      </c>
      <c r="J2298" s="533">
        <v>23389.52261</v>
      </c>
      <c r="K2298" s="220"/>
      <c r="CE2298" s="525"/>
    </row>
    <row r="2299">
      <c r="A2299" s="219"/>
      <c r="B2299" s="886" t="s">
        <v>480</v>
      </c>
      <c r="C2299" s="887" t="s">
        <v>289</v>
      </c>
      <c r="D2299" s="887" t="s">
        <v>502</v>
      </c>
      <c r="E2299" s="888">
        <v>2019.0</v>
      </c>
      <c r="F2299" s="887" t="s">
        <v>291</v>
      </c>
      <c r="G2299" s="887" t="s">
        <v>89</v>
      </c>
      <c r="H2299" s="547">
        <v>6797.114208</v>
      </c>
      <c r="I2299" s="547">
        <v>7575.149153</v>
      </c>
      <c r="J2299" s="548">
        <v>6049.472537</v>
      </c>
      <c r="K2299" s="220"/>
      <c r="CE2299" s="525"/>
    </row>
    <row r="2300">
      <c r="A2300" s="219"/>
      <c r="B2300" s="889" t="s">
        <v>480</v>
      </c>
      <c r="C2300" s="890" t="s">
        <v>289</v>
      </c>
      <c r="D2300" s="890" t="s">
        <v>332</v>
      </c>
      <c r="E2300" s="891">
        <v>2019.0</v>
      </c>
      <c r="F2300" s="890" t="s">
        <v>291</v>
      </c>
      <c r="G2300" s="890" t="s">
        <v>89</v>
      </c>
      <c r="H2300" s="532">
        <v>5.673611617E7</v>
      </c>
      <c r="I2300" s="532">
        <v>6.323044297E7</v>
      </c>
      <c r="J2300" s="533">
        <v>5.049548471E7</v>
      </c>
      <c r="K2300" s="220"/>
      <c r="CE2300" s="525"/>
    </row>
    <row r="2301">
      <c r="A2301" s="219"/>
      <c r="B2301" s="886" t="s">
        <v>480</v>
      </c>
      <c r="C2301" s="887" t="s">
        <v>289</v>
      </c>
      <c r="D2301" s="887" t="s">
        <v>510</v>
      </c>
      <c r="E2301" s="888">
        <v>2019.0</v>
      </c>
      <c r="F2301" s="887" t="s">
        <v>291</v>
      </c>
      <c r="G2301" s="887" t="s">
        <v>89</v>
      </c>
      <c r="H2301" s="547">
        <v>2087508.302</v>
      </c>
      <c r="I2301" s="547">
        <v>2265974.838</v>
      </c>
      <c r="J2301" s="548">
        <v>1926219.041</v>
      </c>
      <c r="K2301" s="220"/>
      <c r="CE2301" s="525"/>
    </row>
    <row r="2302">
      <c r="A2302" s="219"/>
      <c r="B2302" s="889" t="s">
        <v>480</v>
      </c>
      <c r="C2302" s="890" t="s">
        <v>289</v>
      </c>
      <c r="D2302" s="890" t="s">
        <v>512</v>
      </c>
      <c r="E2302" s="891">
        <v>2019.0</v>
      </c>
      <c r="F2302" s="890" t="s">
        <v>291</v>
      </c>
      <c r="G2302" s="890" t="s">
        <v>89</v>
      </c>
      <c r="H2302" s="532">
        <v>39186.94635</v>
      </c>
      <c r="I2302" s="532">
        <v>43672.49899</v>
      </c>
      <c r="J2302" s="533">
        <v>34876.618</v>
      </c>
      <c r="K2302" s="220"/>
      <c r="CE2302" s="525"/>
    </row>
    <row r="2303">
      <c r="A2303" s="219"/>
      <c r="B2303" s="886" t="s">
        <v>480</v>
      </c>
      <c r="C2303" s="887" t="s">
        <v>289</v>
      </c>
      <c r="D2303" s="887" t="s">
        <v>515</v>
      </c>
      <c r="E2303" s="888">
        <v>2019.0</v>
      </c>
      <c r="F2303" s="887" t="s">
        <v>291</v>
      </c>
      <c r="G2303" s="887" t="s">
        <v>89</v>
      </c>
      <c r="H2303" s="547">
        <v>116042.406</v>
      </c>
      <c r="I2303" s="547">
        <v>129325.2557</v>
      </c>
      <c r="J2303" s="548">
        <v>103278.4394</v>
      </c>
      <c r="K2303" s="220"/>
      <c r="CE2303" s="525"/>
    </row>
    <row r="2304">
      <c r="A2304" s="219"/>
      <c r="B2304" s="889" t="s">
        <v>480</v>
      </c>
      <c r="C2304" s="890" t="s">
        <v>289</v>
      </c>
      <c r="D2304" s="890" t="s">
        <v>518</v>
      </c>
      <c r="E2304" s="891">
        <v>2019.0</v>
      </c>
      <c r="F2304" s="890" t="s">
        <v>291</v>
      </c>
      <c r="G2304" s="890" t="s">
        <v>89</v>
      </c>
      <c r="H2304" s="532">
        <v>155229.3523</v>
      </c>
      <c r="I2304" s="532">
        <v>172997.7547</v>
      </c>
      <c r="J2304" s="533">
        <v>138155.0574</v>
      </c>
      <c r="K2304" s="220"/>
      <c r="CE2304" s="525"/>
    </row>
    <row r="2305">
      <c r="A2305" s="219"/>
      <c r="B2305" s="886" t="s">
        <v>480</v>
      </c>
      <c r="C2305" s="887" t="s">
        <v>289</v>
      </c>
      <c r="D2305" s="887" t="s">
        <v>522</v>
      </c>
      <c r="E2305" s="888">
        <v>2019.0</v>
      </c>
      <c r="F2305" s="887" t="s">
        <v>291</v>
      </c>
      <c r="G2305" s="887" t="s">
        <v>89</v>
      </c>
      <c r="H2305" s="547">
        <v>1822741.091</v>
      </c>
      <c r="I2305" s="547">
        <v>2031382.026</v>
      </c>
      <c r="J2305" s="548">
        <v>1622250.536</v>
      </c>
      <c r="K2305" s="220"/>
      <c r="CE2305" s="525"/>
    </row>
    <row r="2306">
      <c r="A2306" s="219"/>
      <c r="B2306" s="889" t="s">
        <v>480</v>
      </c>
      <c r="C2306" s="890" t="s">
        <v>289</v>
      </c>
      <c r="D2306" s="890" t="s">
        <v>302</v>
      </c>
      <c r="E2306" s="891">
        <v>2019.0</v>
      </c>
      <c r="F2306" s="890" t="s">
        <v>291</v>
      </c>
      <c r="G2306" s="890" t="s">
        <v>89</v>
      </c>
      <c r="H2306" s="532">
        <v>9307276.964</v>
      </c>
      <c r="I2306" s="532">
        <v>1.037263889E7</v>
      </c>
      <c r="J2306" s="533">
        <v>8283532.49</v>
      </c>
      <c r="K2306" s="220"/>
      <c r="CE2306" s="525"/>
    </row>
    <row r="2307">
      <c r="A2307" s="219"/>
      <c r="B2307" s="886" t="s">
        <v>330</v>
      </c>
      <c r="C2307" s="887" t="s">
        <v>289</v>
      </c>
      <c r="D2307" s="887" t="s">
        <v>290</v>
      </c>
      <c r="E2307" s="888">
        <v>2019.0</v>
      </c>
      <c r="F2307" s="887" t="s">
        <v>291</v>
      </c>
      <c r="G2307" s="887" t="s">
        <v>89</v>
      </c>
      <c r="H2307" s="547">
        <v>588598.319</v>
      </c>
      <c r="I2307" s="547">
        <v>660749.3657</v>
      </c>
      <c r="J2307" s="548">
        <v>512696.0395</v>
      </c>
      <c r="K2307" s="220"/>
      <c r="CE2307" s="525"/>
    </row>
    <row r="2308">
      <c r="A2308" s="219"/>
      <c r="B2308" s="889" t="s">
        <v>330</v>
      </c>
      <c r="C2308" s="890" t="s">
        <v>289</v>
      </c>
      <c r="D2308" s="890" t="s">
        <v>310</v>
      </c>
      <c r="E2308" s="891">
        <v>2019.0</v>
      </c>
      <c r="F2308" s="890" t="s">
        <v>291</v>
      </c>
      <c r="G2308" s="890" t="s">
        <v>89</v>
      </c>
      <c r="H2308" s="532">
        <v>9787830.3</v>
      </c>
      <c r="I2308" s="532">
        <v>1.098763359E7</v>
      </c>
      <c r="J2308" s="533">
        <v>8525647.572</v>
      </c>
      <c r="K2308" s="220"/>
      <c r="CE2308" s="525"/>
    </row>
    <row r="2309">
      <c r="A2309" s="219"/>
      <c r="B2309" s="886" t="s">
        <v>330</v>
      </c>
      <c r="C2309" s="887" t="s">
        <v>289</v>
      </c>
      <c r="D2309" s="887" t="s">
        <v>318</v>
      </c>
      <c r="E2309" s="888">
        <v>2019.0</v>
      </c>
      <c r="F2309" s="887" t="s">
        <v>291</v>
      </c>
      <c r="G2309" s="887" t="s">
        <v>89</v>
      </c>
      <c r="H2309" s="547">
        <v>7733629.209</v>
      </c>
      <c r="I2309" s="547">
        <v>8681626.212</v>
      </c>
      <c r="J2309" s="548">
        <v>6736344.529</v>
      </c>
      <c r="K2309" s="220"/>
      <c r="CE2309" s="525"/>
    </row>
    <row r="2310">
      <c r="A2310" s="219"/>
      <c r="B2310" s="889" t="s">
        <v>330</v>
      </c>
      <c r="C2310" s="890" t="s">
        <v>289</v>
      </c>
      <c r="D2310" s="890" t="s">
        <v>309</v>
      </c>
      <c r="E2310" s="891">
        <v>2019.0</v>
      </c>
      <c r="F2310" s="890" t="s">
        <v>291</v>
      </c>
      <c r="G2310" s="890" t="s">
        <v>89</v>
      </c>
      <c r="H2310" s="532">
        <v>2230754.047</v>
      </c>
      <c r="I2310" s="532">
        <v>2504202.398</v>
      </c>
      <c r="J2310" s="533">
        <v>1943088.738</v>
      </c>
      <c r="K2310" s="220"/>
      <c r="CE2310" s="525"/>
    </row>
    <row r="2311">
      <c r="A2311" s="219"/>
      <c r="B2311" s="886" t="s">
        <v>330</v>
      </c>
      <c r="C2311" s="887" t="s">
        <v>289</v>
      </c>
      <c r="D2311" s="887" t="s">
        <v>334</v>
      </c>
      <c r="E2311" s="888">
        <v>2019.0</v>
      </c>
      <c r="F2311" s="887" t="s">
        <v>291</v>
      </c>
      <c r="G2311" s="887" t="s">
        <v>89</v>
      </c>
      <c r="H2311" s="547">
        <v>2325135.189</v>
      </c>
      <c r="I2311" s="547">
        <v>2610152.887</v>
      </c>
      <c r="J2311" s="548">
        <v>2025299.027</v>
      </c>
      <c r="K2311" s="220"/>
      <c r="CE2311" s="525"/>
    </row>
    <row r="2312">
      <c r="A2312" s="219"/>
      <c r="B2312" s="889" t="s">
        <v>330</v>
      </c>
      <c r="C2312" s="890" t="s">
        <v>289</v>
      </c>
      <c r="D2312" s="890" t="s">
        <v>339</v>
      </c>
      <c r="E2312" s="891">
        <v>2019.0</v>
      </c>
      <c r="F2312" s="890" t="s">
        <v>291</v>
      </c>
      <c r="G2312" s="890" t="s">
        <v>89</v>
      </c>
      <c r="H2312" s="532">
        <v>4379336.28</v>
      </c>
      <c r="I2312" s="532">
        <v>4916160.267</v>
      </c>
      <c r="J2312" s="533">
        <v>3814602.07</v>
      </c>
      <c r="K2312" s="220"/>
      <c r="CE2312" s="525"/>
    </row>
    <row r="2313">
      <c r="A2313" s="219"/>
      <c r="B2313" s="886" t="s">
        <v>330</v>
      </c>
      <c r="C2313" s="887" t="s">
        <v>289</v>
      </c>
      <c r="D2313" s="887" t="s">
        <v>344</v>
      </c>
      <c r="E2313" s="888">
        <v>2019.0</v>
      </c>
      <c r="F2313" s="887" t="s">
        <v>291</v>
      </c>
      <c r="G2313" s="887" t="s">
        <v>89</v>
      </c>
      <c r="H2313" s="547">
        <v>6156787.311</v>
      </c>
      <c r="I2313" s="547">
        <v>6911493.254</v>
      </c>
      <c r="J2313" s="548">
        <v>5362843.162</v>
      </c>
      <c r="K2313" s="220"/>
      <c r="CE2313" s="525"/>
    </row>
    <row r="2314">
      <c r="A2314" s="219"/>
      <c r="B2314" s="889" t="s">
        <v>330</v>
      </c>
      <c r="C2314" s="890" t="s">
        <v>289</v>
      </c>
      <c r="D2314" s="890" t="s">
        <v>349</v>
      </c>
      <c r="E2314" s="891">
        <v>2019.0</v>
      </c>
      <c r="F2314" s="890" t="s">
        <v>291</v>
      </c>
      <c r="G2314" s="890" t="s">
        <v>89</v>
      </c>
      <c r="H2314" s="532">
        <v>2054201.091</v>
      </c>
      <c r="I2314" s="532">
        <v>2306007.381</v>
      </c>
      <c r="J2314" s="533">
        <v>1789303.043</v>
      </c>
      <c r="K2314" s="220"/>
      <c r="CE2314" s="525"/>
    </row>
    <row r="2315">
      <c r="A2315" s="219"/>
      <c r="B2315" s="886" t="s">
        <v>330</v>
      </c>
      <c r="C2315" s="887" t="s">
        <v>289</v>
      </c>
      <c r="D2315" s="887" t="s">
        <v>355</v>
      </c>
      <c r="E2315" s="888">
        <v>2019.0</v>
      </c>
      <c r="F2315" s="887" t="s">
        <v>291</v>
      </c>
      <c r="G2315" s="887" t="s">
        <v>89</v>
      </c>
      <c r="H2315" s="547">
        <v>7587756.553</v>
      </c>
      <c r="I2315" s="547">
        <v>8517998.307</v>
      </c>
      <c r="J2315" s="548">
        <v>6609335.994</v>
      </c>
      <c r="K2315" s="220"/>
      <c r="CE2315" s="525"/>
    </row>
    <row r="2316">
      <c r="A2316" s="219"/>
      <c r="B2316" s="889" t="s">
        <v>330</v>
      </c>
      <c r="C2316" s="890" t="s">
        <v>289</v>
      </c>
      <c r="D2316" s="890" t="s">
        <v>358</v>
      </c>
      <c r="E2316" s="891">
        <v>2019.0</v>
      </c>
      <c r="F2316" s="890" t="s">
        <v>291</v>
      </c>
      <c r="G2316" s="890" t="s">
        <v>89</v>
      </c>
      <c r="H2316" s="532">
        <v>9027598.789</v>
      </c>
      <c r="I2316" s="532">
        <v>1.013421205E7</v>
      </c>
      <c r="J2316" s="533">
        <v>7863451.178</v>
      </c>
      <c r="K2316" s="220"/>
      <c r="CE2316" s="525"/>
    </row>
    <row r="2317">
      <c r="A2317" s="219"/>
      <c r="B2317" s="886" t="s">
        <v>330</v>
      </c>
      <c r="C2317" s="887" t="s">
        <v>289</v>
      </c>
      <c r="D2317" s="887" t="s">
        <v>362</v>
      </c>
      <c r="E2317" s="888">
        <v>2019.0</v>
      </c>
      <c r="F2317" s="887" t="s">
        <v>291</v>
      </c>
      <c r="G2317" s="887" t="s">
        <v>89</v>
      </c>
      <c r="H2317" s="547">
        <v>8449767.796</v>
      </c>
      <c r="I2317" s="547">
        <v>9485690.175</v>
      </c>
      <c r="J2317" s="548">
        <v>7360193.234</v>
      </c>
      <c r="K2317" s="220"/>
      <c r="CE2317" s="525"/>
    </row>
    <row r="2318">
      <c r="A2318" s="219"/>
      <c r="B2318" s="889" t="s">
        <v>330</v>
      </c>
      <c r="C2318" s="890" t="s">
        <v>289</v>
      </c>
      <c r="D2318" s="890" t="s">
        <v>366</v>
      </c>
      <c r="E2318" s="891">
        <v>2019.0</v>
      </c>
      <c r="F2318" s="890" t="s">
        <v>291</v>
      </c>
      <c r="G2318" s="890" t="s">
        <v>89</v>
      </c>
      <c r="H2318" s="532">
        <v>1777451.031</v>
      </c>
      <c r="I2318" s="532">
        <v>1995332.986</v>
      </c>
      <c r="J2318" s="533">
        <v>1548241.092</v>
      </c>
      <c r="K2318" s="220"/>
      <c r="CE2318" s="525"/>
    </row>
    <row r="2319">
      <c r="A2319" s="219"/>
      <c r="B2319" s="886" t="s">
        <v>330</v>
      </c>
      <c r="C2319" s="887" t="s">
        <v>289</v>
      </c>
      <c r="D2319" s="887" t="s">
        <v>368</v>
      </c>
      <c r="E2319" s="888">
        <v>2019.0</v>
      </c>
      <c r="F2319" s="887" t="s">
        <v>291</v>
      </c>
      <c r="G2319" s="887" t="s">
        <v>89</v>
      </c>
      <c r="H2319" s="547">
        <v>6672401.338</v>
      </c>
      <c r="I2319" s="547">
        <v>7490311.83</v>
      </c>
      <c r="J2319" s="548">
        <v>5811966.547</v>
      </c>
      <c r="K2319" s="220"/>
      <c r="CE2319" s="525"/>
    </row>
    <row r="2320">
      <c r="A2320" s="219"/>
      <c r="B2320" s="889" t="s">
        <v>330</v>
      </c>
      <c r="C2320" s="890" t="s">
        <v>289</v>
      </c>
      <c r="D2320" s="890" t="s">
        <v>373</v>
      </c>
      <c r="E2320" s="891">
        <v>2019.0</v>
      </c>
      <c r="F2320" s="890" t="s">
        <v>291</v>
      </c>
      <c r="G2320" s="890" t="s">
        <v>89</v>
      </c>
      <c r="H2320" s="532">
        <v>1501952.176</v>
      </c>
      <c r="I2320" s="532">
        <v>1686063.17</v>
      </c>
      <c r="J2320" s="533">
        <v>1308268.996</v>
      </c>
      <c r="K2320" s="220"/>
      <c r="CE2320" s="525"/>
    </row>
    <row r="2321">
      <c r="A2321" s="219"/>
      <c r="B2321" s="886" t="s">
        <v>330</v>
      </c>
      <c r="C2321" s="887" t="s">
        <v>289</v>
      </c>
      <c r="D2321" s="887" t="s">
        <v>379</v>
      </c>
      <c r="E2321" s="888">
        <v>2019.0</v>
      </c>
      <c r="F2321" s="887" t="s">
        <v>291</v>
      </c>
      <c r="G2321" s="887" t="s">
        <v>89</v>
      </c>
      <c r="H2321" s="547">
        <v>5195894.662</v>
      </c>
      <c r="I2321" s="547">
        <v>5832899.57</v>
      </c>
      <c r="J2321" s="548">
        <v>4525898.185</v>
      </c>
      <c r="K2321" s="220"/>
      <c r="CE2321" s="525"/>
    </row>
    <row r="2322">
      <c r="A2322" s="219"/>
      <c r="B2322" s="889" t="s">
        <v>330</v>
      </c>
      <c r="C2322" s="890" t="s">
        <v>289</v>
      </c>
      <c r="D2322" s="890" t="s">
        <v>382</v>
      </c>
      <c r="E2322" s="891">
        <v>2019.0</v>
      </c>
      <c r="F2322" s="890" t="s">
        <v>291</v>
      </c>
      <c r="G2322" s="890" t="s">
        <v>89</v>
      </c>
      <c r="H2322" s="532">
        <v>1237461.702</v>
      </c>
      <c r="I2322" s="532">
        <v>1389151.155</v>
      </c>
      <c r="J2322" s="533">
        <v>1077885.704</v>
      </c>
      <c r="K2322" s="220"/>
      <c r="CE2322" s="525"/>
    </row>
    <row r="2323">
      <c r="A2323" s="219"/>
      <c r="B2323" s="886" t="s">
        <v>330</v>
      </c>
      <c r="C2323" s="887" t="s">
        <v>289</v>
      </c>
      <c r="D2323" s="887" t="s">
        <v>387</v>
      </c>
      <c r="E2323" s="888">
        <v>2019.0</v>
      </c>
      <c r="F2323" s="887" t="s">
        <v>291</v>
      </c>
      <c r="G2323" s="887" t="s">
        <v>89</v>
      </c>
      <c r="H2323" s="547">
        <v>1016766.498</v>
      </c>
      <c r="I2323" s="547">
        <v>1141402.884</v>
      </c>
      <c r="J2323" s="548">
        <v>885650.094</v>
      </c>
      <c r="K2323" s="220"/>
      <c r="CE2323" s="525"/>
    </row>
    <row r="2324">
      <c r="A2324" s="219"/>
      <c r="B2324" s="889" t="s">
        <v>330</v>
      </c>
      <c r="C2324" s="890" t="s">
        <v>289</v>
      </c>
      <c r="D2324" s="890" t="s">
        <v>392</v>
      </c>
      <c r="E2324" s="891">
        <v>2019.0</v>
      </c>
      <c r="F2324" s="890" t="s">
        <v>291</v>
      </c>
      <c r="G2324" s="890" t="s">
        <v>89</v>
      </c>
      <c r="H2324" s="532">
        <v>818073.4592</v>
      </c>
      <c r="I2324" s="532">
        <v>918353.8278</v>
      </c>
      <c r="J2324" s="533">
        <v>712579.3754</v>
      </c>
      <c r="K2324" s="220"/>
      <c r="CE2324" s="525"/>
    </row>
    <row r="2325">
      <c r="A2325" s="219"/>
      <c r="B2325" s="886" t="s">
        <v>330</v>
      </c>
      <c r="C2325" s="887" t="s">
        <v>289</v>
      </c>
      <c r="D2325" s="887" t="s">
        <v>398</v>
      </c>
      <c r="E2325" s="888">
        <v>2019.0</v>
      </c>
      <c r="F2325" s="887" t="s">
        <v>291</v>
      </c>
      <c r="G2325" s="887" t="s">
        <v>89</v>
      </c>
      <c r="H2325" s="547">
        <v>621692.8323</v>
      </c>
      <c r="I2325" s="547">
        <v>697900.6419</v>
      </c>
      <c r="J2325" s="548">
        <v>541522.8732</v>
      </c>
      <c r="K2325" s="220"/>
      <c r="CE2325" s="525"/>
    </row>
    <row r="2326">
      <c r="A2326" s="219"/>
      <c r="B2326" s="889" t="s">
        <v>330</v>
      </c>
      <c r="C2326" s="890" t="s">
        <v>289</v>
      </c>
      <c r="D2326" s="890" t="s">
        <v>402</v>
      </c>
      <c r="E2326" s="891">
        <v>2019.0</v>
      </c>
      <c r="F2326" s="890" t="s">
        <v>291</v>
      </c>
      <c r="G2326" s="890" t="s">
        <v>89</v>
      </c>
      <c r="H2326" s="532">
        <v>6968408.188</v>
      </c>
      <c r="I2326" s="532">
        <v>7822719.236</v>
      </c>
      <c r="J2326" s="533">
        <v>6069850.915</v>
      </c>
      <c r="K2326" s="220"/>
      <c r="CE2326" s="525"/>
    </row>
    <row r="2327">
      <c r="A2327" s="219"/>
      <c r="B2327" s="886" t="s">
        <v>330</v>
      </c>
      <c r="C2327" s="887" t="s">
        <v>289</v>
      </c>
      <c r="D2327" s="887" t="s">
        <v>407</v>
      </c>
      <c r="E2327" s="888">
        <v>2019.0</v>
      </c>
      <c r="F2327" s="887" t="s">
        <v>291</v>
      </c>
      <c r="G2327" s="887" t="s">
        <v>89</v>
      </c>
      <c r="H2327" s="547">
        <v>2589141.653</v>
      </c>
      <c r="I2327" s="547">
        <v>2906521.562</v>
      </c>
      <c r="J2327" s="548">
        <v>2255260.724</v>
      </c>
      <c r="K2327" s="220"/>
      <c r="CE2327" s="525"/>
    </row>
    <row r="2328">
      <c r="A2328" s="219"/>
      <c r="B2328" s="889" t="s">
        <v>330</v>
      </c>
      <c r="C2328" s="890" t="s">
        <v>289</v>
      </c>
      <c r="D2328" s="890" t="s">
        <v>414</v>
      </c>
      <c r="E2328" s="891">
        <v>2019.0</v>
      </c>
      <c r="F2328" s="890" t="s">
        <v>291</v>
      </c>
      <c r="G2328" s="890" t="s">
        <v>89</v>
      </c>
      <c r="H2328" s="532">
        <v>454354.9406</v>
      </c>
      <c r="I2328" s="532">
        <v>510050.2824</v>
      </c>
      <c r="J2328" s="533">
        <v>395763.9209</v>
      </c>
      <c r="K2328" s="220"/>
      <c r="CE2328" s="525"/>
    </row>
    <row r="2329">
      <c r="A2329" s="219"/>
      <c r="B2329" s="886" t="s">
        <v>330</v>
      </c>
      <c r="C2329" s="887" t="s">
        <v>289</v>
      </c>
      <c r="D2329" s="887" t="s">
        <v>417</v>
      </c>
      <c r="E2329" s="888">
        <v>2019.0</v>
      </c>
      <c r="F2329" s="887" t="s">
        <v>291</v>
      </c>
      <c r="G2329" s="887" t="s">
        <v>89</v>
      </c>
      <c r="H2329" s="547">
        <v>1201431.052</v>
      </c>
      <c r="I2329" s="547">
        <v>1348703.827</v>
      </c>
      <c r="J2329" s="548">
        <v>1046501.361</v>
      </c>
      <c r="K2329" s="220"/>
      <c r="CE2329" s="525"/>
    </row>
    <row r="2330">
      <c r="A2330" s="219"/>
      <c r="B2330" s="889" t="s">
        <v>330</v>
      </c>
      <c r="C2330" s="890" t="s">
        <v>289</v>
      </c>
      <c r="D2330" s="890" t="s">
        <v>300</v>
      </c>
      <c r="E2330" s="891">
        <v>2019.0</v>
      </c>
      <c r="F2330" s="890" t="s">
        <v>291</v>
      </c>
      <c r="G2330" s="890" t="s">
        <v>89</v>
      </c>
      <c r="H2330" s="532">
        <v>4914276.843</v>
      </c>
      <c r="I2330" s="532">
        <v>5516674.448</v>
      </c>
      <c r="J2330" s="533">
        <v>4280559.751</v>
      </c>
      <c r="K2330" s="220"/>
      <c r="CE2330" s="525"/>
    </row>
    <row r="2331">
      <c r="A2331" s="219"/>
      <c r="B2331" s="886" t="s">
        <v>330</v>
      </c>
      <c r="C2331" s="887" t="s">
        <v>289</v>
      </c>
      <c r="D2331" s="887" t="s">
        <v>429</v>
      </c>
      <c r="E2331" s="888">
        <v>2019.0</v>
      </c>
      <c r="F2331" s="887" t="s">
        <v>291</v>
      </c>
      <c r="G2331" s="887" t="s">
        <v>89</v>
      </c>
      <c r="H2331" s="547">
        <v>1022089.5</v>
      </c>
      <c r="I2331" s="547">
        <v>1147395.356</v>
      </c>
      <c r="J2331" s="548">
        <v>890293.8403</v>
      </c>
      <c r="K2331" s="220"/>
      <c r="CE2331" s="525"/>
    </row>
    <row r="2332">
      <c r="A2332" s="219"/>
      <c r="B2332" s="889" t="s">
        <v>330</v>
      </c>
      <c r="C2332" s="890" t="s">
        <v>289</v>
      </c>
      <c r="D2332" s="890" t="s">
        <v>432</v>
      </c>
      <c r="E2332" s="891">
        <v>2019.0</v>
      </c>
      <c r="F2332" s="890" t="s">
        <v>291</v>
      </c>
      <c r="G2332" s="890" t="s">
        <v>89</v>
      </c>
      <c r="H2332" s="532">
        <v>330469.2953</v>
      </c>
      <c r="I2332" s="532">
        <v>370978.5947</v>
      </c>
      <c r="J2332" s="533">
        <v>287853.8612</v>
      </c>
      <c r="K2332" s="220"/>
      <c r="CE2332" s="525"/>
    </row>
    <row r="2333">
      <c r="A2333" s="219"/>
      <c r="B2333" s="886" t="s">
        <v>330</v>
      </c>
      <c r="C2333" s="887" t="s">
        <v>289</v>
      </c>
      <c r="D2333" s="887" t="s">
        <v>435</v>
      </c>
      <c r="E2333" s="888">
        <v>2019.0</v>
      </c>
      <c r="F2333" s="887" t="s">
        <v>291</v>
      </c>
      <c r="G2333" s="887" t="s">
        <v>89</v>
      </c>
      <c r="H2333" s="547">
        <v>244676.1423</v>
      </c>
      <c r="I2333" s="547">
        <v>274668.8202</v>
      </c>
      <c r="J2333" s="548">
        <v>213124.1036</v>
      </c>
      <c r="K2333" s="220"/>
      <c r="CE2333" s="525"/>
    </row>
    <row r="2334">
      <c r="A2334" s="219"/>
      <c r="B2334" s="889" t="s">
        <v>330</v>
      </c>
      <c r="C2334" s="890" t="s">
        <v>289</v>
      </c>
      <c r="D2334" s="890" t="s">
        <v>442</v>
      </c>
      <c r="E2334" s="891">
        <v>2019.0</v>
      </c>
      <c r="F2334" s="890" t="s">
        <v>291</v>
      </c>
      <c r="G2334" s="890" t="s">
        <v>89</v>
      </c>
      <c r="H2334" s="532">
        <v>171930.6736</v>
      </c>
      <c r="I2334" s="532">
        <v>193006.1298</v>
      </c>
      <c r="J2334" s="533">
        <v>149759.4753</v>
      </c>
      <c r="K2334" s="220"/>
      <c r="CE2334" s="525"/>
    </row>
    <row r="2335">
      <c r="A2335" s="219"/>
      <c r="B2335" s="886" t="s">
        <v>330</v>
      </c>
      <c r="C2335" s="887" t="s">
        <v>289</v>
      </c>
      <c r="D2335" s="887" t="s">
        <v>445</v>
      </c>
      <c r="E2335" s="888">
        <v>2019.0</v>
      </c>
      <c r="F2335" s="887" t="s">
        <v>291</v>
      </c>
      <c r="G2335" s="887" t="s">
        <v>89</v>
      </c>
      <c r="H2335" s="547">
        <v>299763.5104</v>
      </c>
      <c r="I2335" s="547">
        <v>336513.8373</v>
      </c>
      <c r="J2335" s="548">
        <v>261109.8215</v>
      </c>
      <c r="K2335" s="220"/>
      <c r="CE2335" s="525"/>
    </row>
    <row r="2336">
      <c r="A2336" s="219"/>
      <c r="B2336" s="889" t="s">
        <v>330</v>
      </c>
      <c r="C2336" s="890" t="s">
        <v>289</v>
      </c>
      <c r="D2336" s="890" t="s">
        <v>450</v>
      </c>
      <c r="E2336" s="891">
        <v>2019.0</v>
      </c>
      <c r="F2336" s="890" t="s">
        <v>291</v>
      </c>
      <c r="G2336" s="890" t="s">
        <v>89</v>
      </c>
      <c r="H2336" s="532">
        <v>127835.8371</v>
      </c>
      <c r="I2336" s="532">
        <v>143506.0984</v>
      </c>
      <c r="J2336" s="533">
        <v>111350.8572</v>
      </c>
      <c r="K2336" s="220"/>
      <c r="CE2336" s="525"/>
    </row>
    <row r="2337">
      <c r="A2337" s="219"/>
      <c r="B2337" s="886" t="s">
        <v>330</v>
      </c>
      <c r="C2337" s="887" t="s">
        <v>289</v>
      </c>
      <c r="D2337" s="887" t="s">
        <v>457</v>
      </c>
      <c r="E2337" s="888">
        <v>2019.0</v>
      </c>
      <c r="F2337" s="887" t="s">
        <v>291</v>
      </c>
      <c r="G2337" s="887" t="s">
        <v>89</v>
      </c>
      <c r="H2337" s="547">
        <v>275023.6186</v>
      </c>
      <c r="I2337" s="547">
        <v>308736.3244</v>
      </c>
      <c r="J2337" s="548">
        <v>239558.1426</v>
      </c>
      <c r="K2337" s="220"/>
      <c r="CE2337" s="525"/>
    </row>
    <row r="2338">
      <c r="A2338" s="219"/>
      <c r="B2338" s="889" t="s">
        <v>330</v>
      </c>
      <c r="C2338" s="890" t="s">
        <v>289</v>
      </c>
      <c r="D2338" s="890" t="s">
        <v>463</v>
      </c>
      <c r="E2338" s="891">
        <v>2019.0</v>
      </c>
      <c r="F2338" s="890" t="s">
        <v>291</v>
      </c>
      <c r="G2338" s="890" t="s">
        <v>89</v>
      </c>
      <c r="H2338" s="532">
        <v>147186.3084</v>
      </c>
      <c r="I2338" s="532">
        <v>165231.0162</v>
      </c>
      <c r="J2338" s="533">
        <v>128207.0345</v>
      </c>
      <c r="K2338" s="220"/>
      <c r="CE2338" s="525"/>
    </row>
    <row r="2339">
      <c r="A2339" s="219"/>
      <c r="B2339" s="886" t="s">
        <v>330</v>
      </c>
      <c r="C2339" s="887" t="s">
        <v>289</v>
      </c>
      <c r="D2339" s="887" t="s">
        <v>467</v>
      </c>
      <c r="E2339" s="888">
        <v>2019.0</v>
      </c>
      <c r="F2339" s="887" t="s">
        <v>291</v>
      </c>
      <c r="G2339" s="887" t="s">
        <v>89</v>
      </c>
      <c r="H2339" s="547">
        <v>82182.08589</v>
      </c>
      <c r="I2339" s="547">
        <v>92256.0588</v>
      </c>
      <c r="J2339" s="548">
        <v>71584.35318</v>
      </c>
      <c r="K2339" s="220"/>
      <c r="CE2339" s="525"/>
    </row>
    <row r="2340">
      <c r="A2340" s="219"/>
      <c r="B2340" s="889" t="s">
        <v>330</v>
      </c>
      <c r="C2340" s="890" t="s">
        <v>289</v>
      </c>
      <c r="D2340" s="890" t="s">
        <v>473</v>
      </c>
      <c r="E2340" s="891">
        <v>2019.0</v>
      </c>
      <c r="F2340" s="890" t="s">
        <v>291</v>
      </c>
      <c r="G2340" s="890" t="s">
        <v>89</v>
      </c>
      <c r="H2340" s="532">
        <v>124891.9838</v>
      </c>
      <c r="I2340" s="532">
        <v>140203.458</v>
      </c>
      <c r="J2340" s="533">
        <v>108787.5024</v>
      </c>
      <c r="K2340" s="220"/>
      <c r="CE2340" s="525"/>
    </row>
    <row r="2341">
      <c r="A2341" s="219"/>
      <c r="B2341" s="886" t="s">
        <v>330</v>
      </c>
      <c r="C2341" s="887" t="s">
        <v>289</v>
      </c>
      <c r="D2341" s="887" t="s">
        <v>477</v>
      </c>
      <c r="E2341" s="888">
        <v>2019.0</v>
      </c>
      <c r="F2341" s="887" t="s">
        <v>291</v>
      </c>
      <c r="G2341" s="887" t="s">
        <v>89</v>
      </c>
      <c r="H2341" s="547">
        <v>65005.69567</v>
      </c>
      <c r="I2341" s="547">
        <v>72974.16726</v>
      </c>
      <c r="J2341" s="548">
        <v>56622.9322</v>
      </c>
      <c r="K2341" s="220"/>
      <c r="CE2341" s="525"/>
    </row>
    <row r="2342">
      <c r="A2342" s="219"/>
      <c r="B2342" s="889" t="s">
        <v>330</v>
      </c>
      <c r="C2342" s="890" t="s">
        <v>289</v>
      </c>
      <c r="D2342" s="890" t="s">
        <v>483</v>
      </c>
      <c r="E2342" s="891">
        <v>2019.0</v>
      </c>
      <c r="F2342" s="890" t="s">
        <v>291</v>
      </c>
      <c r="G2342" s="890" t="s">
        <v>89</v>
      </c>
      <c r="H2342" s="532">
        <v>42711.14799</v>
      </c>
      <c r="I2342" s="532">
        <v>47946.72875</v>
      </c>
      <c r="J2342" s="533">
        <v>37203.36214</v>
      </c>
      <c r="K2342" s="220"/>
      <c r="CE2342" s="525"/>
    </row>
    <row r="2343">
      <c r="A2343" s="219"/>
      <c r="B2343" s="886" t="s">
        <v>330</v>
      </c>
      <c r="C2343" s="887" t="s">
        <v>289</v>
      </c>
      <c r="D2343" s="887" t="s">
        <v>489</v>
      </c>
      <c r="E2343" s="888">
        <v>2019.0</v>
      </c>
      <c r="F2343" s="887" t="s">
        <v>291</v>
      </c>
      <c r="G2343" s="887" t="s">
        <v>89</v>
      </c>
      <c r="H2343" s="547">
        <v>22294.32454</v>
      </c>
      <c r="I2343" s="547">
        <v>25027.55819</v>
      </c>
      <c r="J2343" s="548">
        <v>19419.53206</v>
      </c>
      <c r="K2343" s="220"/>
      <c r="CE2343" s="525"/>
    </row>
    <row r="2344">
      <c r="A2344" s="219"/>
      <c r="B2344" s="889" t="s">
        <v>330</v>
      </c>
      <c r="C2344" s="890" t="s">
        <v>289</v>
      </c>
      <c r="D2344" s="890" t="s">
        <v>493</v>
      </c>
      <c r="E2344" s="891">
        <v>2019.0</v>
      </c>
      <c r="F2344" s="890" t="s">
        <v>291</v>
      </c>
      <c r="G2344" s="890" t="s">
        <v>89</v>
      </c>
      <c r="H2344" s="532">
        <v>16941.15492</v>
      </c>
      <c r="I2344" s="532">
        <v>19017.82083</v>
      </c>
      <c r="J2344" s="533">
        <v>14756.52028</v>
      </c>
      <c r="K2344" s="220"/>
      <c r="CE2344" s="525"/>
    </row>
    <row r="2345">
      <c r="A2345" s="219"/>
      <c r="B2345" s="886" t="s">
        <v>330</v>
      </c>
      <c r="C2345" s="887" t="s">
        <v>289</v>
      </c>
      <c r="D2345" s="887" t="s">
        <v>496</v>
      </c>
      <c r="E2345" s="888">
        <v>2019.0</v>
      </c>
      <c r="F2345" s="887" t="s">
        <v>291</v>
      </c>
      <c r="G2345" s="887" t="s">
        <v>89</v>
      </c>
      <c r="H2345" s="547">
        <v>4442.069492</v>
      </c>
      <c r="I2345" s="547">
        <v>4986.583388</v>
      </c>
      <c r="J2345" s="548">
        <v>3869.245565</v>
      </c>
      <c r="K2345" s="220"/>
      <c r="CE2345" s="525"/>
    </row>
    <row r="2346">
      <c r="A2346" s="219"/>
      <c r="B2346" s="889" t="s">
        <v>330</v>
      </c>
      <c r="C2346" s="890" t="s">
        <v>289</v>
      </c>
      <c r="D2346" s="890" t="s">
        <v>502</v>
      </c>
      <c r="E2346" s="891">
        <v>2019.0</v>
      </c>
      <c r="F2346" s="890" t="s">
        <v>291</v>
      </c>
      <c r="G2346" s="890" t="s">
        <v>89</v>
      </c>
      <c r="H2346" s="532">
        <v>911.3232639</v>
      </c>
      <c r="I2346" s="532">
        <v>1023.034299</v>
      </c>
      <c r="J2346" s="533">
        <v>793.8042176</v>
      </c>
      <c r="K2346" s="220"/>
      <c r="CE2346" s="525"/>
    </row>
    <row r="2347">
      <c r="A2347" s="219"/>
      <c r="B2347" s="886" t="s">
        <v>330</v>
      </c>
      <c r="C2347" s="887" t="s">
        <v>289</v>
      </c>
      <c r="D2347" s="887" t="s">
        <v>332</v>
      </c>
      <c r="E2347" s="888">
        <v>2019.0</v>
      </c>
      <c r="F2347" s="887" t="s">
        <v>291</v>
      </c>
      <c r="G2347" s="887" t="s">
        <v>89</v>
      </c>
      <c r="H2347" s="547">
        <v>1.823768267E7</v>
      </c>
      <c r="I2347" s="547">
        <v>2.047327841E7</v>
      </c>
      <c r="J2347" s="548">
        <v>1.588585521E7</v>
      </c>
      <c r="K2347" s="220"/>
      <c r="CE2347" s="525"/>
    </row>
    <row r="2348">
      <c r="A2348" s="219"/>
      <c r="B2348" s="889" t="s">
        <v>330</v>
      </c>
      <c r="C2348" s="890" t="s">
        <v>289</v>
      </c>
      <c r="D2348" s="890" t="s">
        <v>510</v>
      </c>
      <c r="E2348" s="891">
        <v>2019.0</v>
      </c>
      <c r="F2348" s="890" t="s">
        <v>291</v>
      </c>
      <c r="G2348" s="890" t="s">
        <v>89</v>
      </c>
      <c r="H2348" s="532">
        <v>615943.6792</v>
      </c>
      <c r="I2348" s="532">
        <v>684134.8359</v>
      </c>
      <c r="J2348" s="533">
        <v>556267.481</v>
      </c>
      <c r="K2348" s="220"/>
      <c r="CE2348" s="525"/>
    </row>
    <row r="2349">
      <c r="A2349" s="219"/>
      <c r="B2349" s="886" t="s">
        <v>330</v>
      </c>
      <c r="C2349" s="887" t="s">
        <v>289</v>
      </c>
      <c r="D2349" s="887" t="s">
        <v>512</v>
      </c>
      <c r="E2349" s="888">
        <v>2019.0</v>
      </c>
      <c r="F2349" s="887" t="s">
        <v>291</v>
      </c>
      <c r="G2349" s="887" t="s">
        <v>89</v>
      </c>
      <c r="H2349" s="547">
        <v>11661.52884</v>
      </c>
      <c r="I2349" s="547">
        <v>13091.01222</v>
      </c>
      <c r="J2349" s="548">
        <v>10157.72465</v>
      </c>
      <c r="K2349" s="220"/>
      <c r="CE2349" s="525"/>
    </row>
    <row r="2350">
      <c r="A2350" s="219"/>
      <c r="B2350" s="889" t="s">
        <v>330</v>
      </c>
      <c r="C2350" s="890" t="s">
        <v>289</v>
      </c>
      <c r="D2350" s="890" t="s">
        <v>515</v>
      </c>
      <c r="E2350" s="891">
        <v>2019.0</v>
      </c>
      <c r="F2350" s="890" t="s">
        <v>291</v>
      </c>
      <c r="G2350" s="890" t="s">
        <v>89</v>
      </c>
      <c r="H2350" s="532">
        <v>34575.9056</v>
      </c>
      <c r="I2350" s="532">
        <v>38814.25917</v>
      </c>
      <c r="J2350" s="533">
        <v>30117.19417</v>
      </c>
      <c r="K2350" s="220"/>
      <c r="CE2350" s="525"/>
    </row>
    <row r="2351">
      <c r="A2351" s="219"/>
      <c r="B2351" s="886" t="s">
        <v>330</v>
      </c>
      <c r="C2351" s="887" t="s">
        <v>289</v>
      </c>
      <c r="D2351" s="887" t="s">
        <v>518</v>
      </c>
      <c r="E2351" s="888">
        <v>2019.0</v>
      </c>
      <c r="F2351" s="887" t="s">
        <v>291</v>
      </c>
      <c r="G2351" s="887" t="s">
        <v>89</v>
      </c>
      <c r="H2351" s="547">
        <v>46237.43445</v>
      </c>
      <c r="I2351" s="547">
        <v>51905.27138</v>
      </c>
      <c r="J2351" s="548">
        <v>40274.91882</v>
      </c>
      <c r="K2351" s="220"/>
      <c r="CE2351" s="525"/>
    </row>
    <row r="2352">
      <c r="A2352" s="219"/>
      <c r="B2352" s="889" t="s">
        <v>330</v>
      </c>
      <c r="C2352" s="890" t="s">
        <v>289</v>
      </c>
      <c r="D2352" s="890" t="s">
        <v>522</v>
      </c>
      <c r="E2352" s="891">
        <v>2019.0</v>
      </c>
      <c r="F2352" s="890" t="s">
        <v>291</v>
      </c>
      <c r="G2352" s="890" t="s">
        <v>89</v>
      </c>
      <c r="H2352" s="532">
        <v>542360.8846</v>
      </c>
      <c r="I2352" s="532">
        <v>608844.0944</v>
      </c>
      <c r="J2352" s="533">
        <v>472421.1206</v>
      </c>
      <c r="K2352" s="220"/>
      <c r="CE2352" s="525"/>
    </row>
    <row r="2353">
      <c r="A2353" s="219"/>
      <c r="B2353" s="886" t="s">
        <v>330</v>
      </c>
      <c r="C2353" s="887" t="s">
        <v>289</v>
      </c>
      <c r="D2353" s="887" t="s">
        <v>302</v>
      </c>
      <c r="E2353" s="888">
        <v>2019.0</v>
      </c>
      <c r="F2353" s="887" t="s">
        <v>291</v>
      </c>
      <c r="G2353" s="887" t="s">
        <v>89</v>
      </c>
      <c r="H2353" s="547">
        <v>2819352.366</v>
      </c>
      <c r="I2353" s="547">
        <v>3164951.763</v>
      </c>
      <c r="J2353" s="548">
        <v>2455784.778</v>
      </c>
      <c r="K2353" s="220"/>
      <c r="CE2353" s="525"/>
    </row>
    <row r="2354">
      <c r="A2354" s="219"/>
      <c r="B2354" s="889" t="s">
        <v>520</v>
      </c>
      <c r="C2354" s="890" t="s">
        <v>289</v>
      </c>
      <c r="D2354" s="890" t="s">
        <v>290</v>
      </c>
      <c r="E2354" s="891">
        <v>2019.0</v>
      </c>
      <c r="F2354" s="890" t="s">
        <v>291</v>
      </c>
      <c r="G2354" s="890" t="s">
        <v>89</v>
      </c>
      <c r="H2354" s="532">
        <v>429467.7262</v>
      </c>
      <c r="I2354" s="532">
        <v>476384.814</v>
      </c>
      <c r="J2354" s="533">
        <v>381011.6481</v>
      </c>
      <c r="K2354" s="220"/>
      <c r="CE2354" s="525"/>
    </row>
    <row r="2355">
      <c r="A2355" s="219"/>
      <c r="B2355" s="886" t="s">
        <v>520</v>
      </c>
      <c r="C2355" s="887" t="s">
        <v>289</v>
      </c>
      <c r="D2355" s="887" t="s">
        <v>310</v>
      </c>
      <c r="E2355" s="888">
        <v>2019.0</v>
      </c>
      <c r="F2355" s="887" t="s">
        <v>291</v>
      </c>
      <c r="G2355" s="887" t="s">
        <v>89</v>
      </c>
      <c r="H2355" s="547">
        <v>7620990.679</v>
      </c>
      <c r="I2355" s="547">
        <v>8453543.784</v>
      </c>
      <c r="J2355" s="548">
        <v>6761127.885</v>
      </c>
      <c r="K2355" s="220"/>
      <c r="CE2355" s="525"/>
    </row>
    <row r="2356">
      <c r="A2356" s="219"/>
      <c r="B2356" s="889" t="s">
        <v>520</v>
      </c>
      <c r="C2356" s="890" t="s">
        <v>289</v>
      </c>
      <c r="D2356" s="890" t="s">
        <v>318</v>
      </c>
      <c r="E2356" s="891">
        <v>2019.0</v>
      </c>
      <c r="F2356" s="890" t="s">
        <v>291</v>
      </c>
      <c r="G2356" s="890" t="s">
        <v>89</v>
      </c>
      <c r="H2356" s="532">
        <v>5966096.496</v>
      </c>
      <c r="I2356" s="532">
        <v>6617861.125</v>
      </c>
      <c r="J2356" s="533">
        <v>5292952.462</v>
      </c>
      <c r="K2356" s="220"/>
      <c r="CE2356" s="525"/>
    </row>
    <row r="2357">
      <c r="A2357" s="219"/>
      <c r="B2357" s="886" t="s">
        <v>520</v>
      </c>
      <c r="C2357" s="887" t="s">
        <v>289</v>
      </c>
      <c r="D2357" s="887" t="s">
        <v>309</v>
      </c>
      <c r="E2357" s="888">
        <v>2019.0</v>
      </c>
      <c r="F2357" s="887" t="s">
        <v>291</v>
      </c>
      <c r="G2357" s="887" t="s">
        <v>89</v>
      </c>
      <c r="H2357" s="547">
        <v>1680084.972</v>
      </c>
      <c r="I2357" s="547">
        <v>1863625.409</v>
      </c>
      <c r="J2357" s="548">
        <v>1490523.979</v>
      </c>
      <c r="K2357" s="220"/>
      <c r="CE2357" s="525"/>
    </row>
    <row r="2358">
      <c r="A2358" s="219"/>
      <c r="B2358" s="889" t="s">
        <v>520</v>
      </c>
      <c r="C2358" s="890" t="s">
        <v>289</v>
      </c>
      <c r="D2358" s="890" t="s">
        <v>334</v>
      </c>
      <c r="E2358" s="891">
        <v>2019.0</v>
      </c>
      <c r="F2358" s="890" t="s">
        <v>291</v>
      </c>
      <c r="G2358" s="890" t="s">
        <v>89</v>
      </c>
      <c r="H2358" s="532">
        <v>1844475.107</v>
      </c>
      <c r="I2358" s="532">
        <v>2045974.3</v>
      </c>
      <c r="J2358" s="533">
        <v>1636366.268</v>
      </c>
      <c r="K2358" s="220"/>
      <c r="CE2358" s="525"/>
    </row>
    <row r="2359">
      <c r="A2359" s="219"/>
      <c r="B2359" s="886" t="s">
        <v>520</v>
      </c>
      <c r="C2359" s="887" t="s">
        <v>289</v>
      </c>
      <c r="D2359" s="887" t="s">
        <v>339</v>
      </c>
      <c r="E2359" s="888">
        <v>2019.0</v>
      </c>
      <c r="F2359" s="887" t="s">
        <v>291</v>
      </c>
      <c r="G2359" s="887" t="s">
        <v>89</v>
      </c>
      <c r="H2359" s="547">
        <v>3499369.29</v>
      </c>
      <c r="I2359" s="547">
        <v>3881656.96</v>
      </c>
      <c r="J2359" s="548">
        <v>3104541.69</v>
      </c>
      <c r="K2359" s="220"/>
      <c r="CE2359" s="525"/>
    </row>
    <row r="2360">
      <c r="A2360" s="219"/>
      <c r="B2360" s="889" t="s">
        <v>520</v>
      </c>
      <c r="C2360" s="890" t="s">
        <v>289</v>
      </c>
      <c r="D2360" s="890" t="s">
        <v>344</v>
      </c>
      <c r="E2360" s="891">
        <v>2019.0</v>
      </c>
      <c r="F2360" s="890" t="s">
        <v>291</v>
      </c>
      <c r="G2360" s="890" t="s">
        <v>89</v>
      </c>
      <c r="H2360" s="532">
        <v>4898223.421</v>
      </c>
      <c r="I2360" s="532">
        <v>5433328.539</v>
      </c>
      <c r="J2360" s="533">
        <v>4345565.603</v>
      </c>
      <c r="K2360" s="220"/>
      <c r="CE2360" s="525"/>
    </row>
    <row r="2361">
      <c r="A2361" s="219"/>
      <c r="B2361" s="886" t="s">
        <v>520</v>
      </c>
      <c r="C2361" s="887" t="s">
        <v>289</v>
      </c>
      <c r="D2361" s="887" t="s">
        <v>349</v>
      </c>
      <c r="E2361" s="888">
        <v>2019.0</v>
      </c>
      <c r="F2361" s="887" t="s">
        <v>291</v>
      </c>
      <c r="G2361" s="887" t="s">
        <v>89</v>
      </c>
      <c r="H2361" s="547">
        <v>1654894.183</v>
      </c>
      <c r="I2361" s="547">
        <v>1835682.659</v>
      </c>
      <c r="J2361" s="548">
        <v>1468175.422</v>
      </c>
      <c r="K2361" s="220"/>
      <c r="CE2361" s="525"/>
    </row>
    <row r="2362">
      <c r="A2362" s="219"/>
      <c r="B2362" s="889" t="s">
        <v>520</v>
      </c>
      <c r="C2362" s="890" t="s">
        <v>289</v>
      </c>
      <c r="D2362" s="890" t="s">
        <v>355</v>
      </c>
      <c r="E2362" s="891">
        <v>2019.0</v>
      </c>
      <c r="F2362" s="890" t="s">
        <v>291</v>
      </c>
      <c r="G2362" s="890" t="s">
        <v>89</v>
      </c>
      <c r="H2362" s="532">
        <v>6201975.186</v>
      </c>
      <c r="I2362" s="532">
        <v>6879633.512</v>
      </c>
      <c r="J2362" s="533">
        <v>5501662.914</v>
      </c>
      <c r="K2362" s="220"/>
      <c r="CE2362" s="525"/>
    </row>
    <row r="2363">
      <c r="A2363" s="219"/>
      <c r="B2363" s="886" t="s">
        <v>520</v>
      </c>
      <c r="C2363" s="887" t="s">
        <v>289</v>
      </c>
      <c r="D2363" s="887" t="s">
        <v>358</v>
      </c>
      <c r="E2363" s="888">
        <v>2019.0</v>
      </c>
      <c r="F2363" s="887" t="s">
        <v>291</v>
      </c>
      <c r="G2363" s="887" t="s">
        <v>89</v>
      </c>
      <c r="H2363" s="547">
        <v>7522057.711</v>
      </c>
      <c r="I2363" s="547">
        <v>8343802.91</v>
      </c>
      <c r="J2363" s="548">
        <v>6673357.347</v>
      </c>
      <c r="K2363" s="220"/>
      <c r="CE2363" s="525"/>
    </row>
    <row r="2364">
      <c r="A2364" s="219"/>
      <c r="B2364" s="889" t="s">
        <v>520</v>
      </c>
      <c r="C2364" s="890" t="s">
        <v>289</v>
      </c>
      <c r="D2364" s="890" t="s">
        <v>362</v>
      </c>
      <c r="E2364" s="891">
        <v>2019.0</v>
      </c>
      <c r="F2364" s="890" t="s">
        <v>291</v>
      </c>
      <c r="G2364" s="890" t="s">
        <v>89</v>
      </c>
      <c r="H2364" s="532">
        <v>7389950.063</v>
      </c>
      <c r="I2364" s="532">
        <v>8197412.368</v>
      </c>
      <c r="J2364" s="533">
        <v>6555494.496</v>
      </c>
      <c r="K2364" s="220"/>
      <c r="CE2364" s="525"/>
    </row>
    <row r="2365">
      <c r="A2365" s="219"/>
      <c r="B2365" s="886" t="s">
        <v>520</v>
      </c>
      <c r="C2365" s="887" t="s">
        <v>289</v>
      </c>
      <c r="D2365" s="887" t="s">
        <v>366</v>
      </c>
      <c r="E2365" s="888">
        <v>2019.0</v>
      </c>
      <c r="F2365" s="887" t="s">
        <v>291</v>
      </c>
      <c r="G2365" s="887" t="s">
        <v>89</v>
      </c>
      <c r="H2365" s="547">
        <v>1398854.131</v>
      </c>
      <c r="I2365" s="547">
        <v>1551671.579</v>
      </c>
      <c r="J2365" s="548">
        <v>1241023.913</v>
      </c>
      <c r="K2365" s="220"/>
      <c r="CE2365" s="525"/>
    </row>
    <row r="2366">
      <c r="A2366" s="219"/>
      <c r="B2366" s="889" t="s">
        <v>520</v>
      </c>
      <c r="C2366" s="890" t="s">
        <v>289</v>
      </c>
      <c r="D2366" s="890" t="s">
        <v>368</v>
      </c>
      <c r="E2366" s="891">
        <v>2019.0</v>
      </c>
      <c r="F2366" s="890" t="s">
        <v>291</v>
      </c>
      <c r="G2366" s="890" t="s">
        <v>89</v>
      </c>
      <c r="H2366" s="532">
        <v>5991007.247</v>
      </c>
      <c r="I2366" s="532">
        <v>6645493.245</v>
      </c>
      <c r="J2366" s="533">
        <v>5315052.578</v>
      </c>
      <c r="K2366" s="220"/>
      <c r="CE2366" s="525"/>
    </row>
    <row r="2367">
      <c r="A2367" s="219"/>
      <c r="B2367" s="886" t="s">
        <v>520</v>
      </c>
      <c r="C2367" s="887" t="s">
        <v>289</v>
      </c>
      <c r="D2367" s="887" t="s">
        <v>373</v>
      </c>
      <c r="E2367" s="888">
        <v>2019.0</v>
      </c>
      <c r="F2367" s="887" t="s">
        <v>291</v>
      </c>
      <c r="G2367" s="887" t="s">
        <v>89</v>
      </c>
      <c r="H2367" s="547">
        <v>1166894.069</v>
      </c>
      <c r="I2367" s="547">
        <v>1294371.102</v>
      </c>
      <c r="J2367" s="548">
        <v>1035235.491</v>
      </c>
      <c r="K2367" s="220"/>
      <c r="CE2367" s="525"/>
    </row>
    <row r="2368">
      <c r="A2368" s="219"/>
      <c r="B2368" s="889" t="s">
        <v>520</v>
      </c>
      <c r="C2368" s="890" t="s">
        <v>289</v>
      </c>
      <c r="D2368" s="890" t="s">
        <v>379</v>
      </c>
      <c r="E2368" s="891">
        <v>2019.0</v>
      </c>
      <c r="F2368" s="890" t="s">
        <v>291</v>
      </c>
      <c r="G2368" s="890" t="s">
        <v>89</v>
      </c>
      <c r="H2368" s="532">
        <v>4468363.021</v>
      </c>
      <c r="I2368" s="532">
        <v>4956598.351</v>
      </c>
      <c r="J2368" s="533">
        <v>3963806.107</v>
      </c>
      <c r="K2368" s="220"/>
      <c r="CE2368" s="525"/>
    </row>
    <row r="2369">
      <c r="A2369" s="219"/>
      <c r="B2369" s="886" t="s">
        <v>520</v>
      </c>
      <c r="C2369" s="887" t="s">
        <v>289</v>
      </c>
      <c r="D2369" s="887" t="s">
        <v>382</v>
      </c>
      <c r="E2369" s="888">
        <v>2019.0</v>
      </c>
      <c r="F2369" s="887" t="s">
        <v>291</v>
      </c>
      <c r="G2369" s="887" t="s">
        <v>89</v>
      </c>
      <c r="H2369" s="547">
        <v>1045717.678</v>
      </c>
      <c r="I2369" s="547">
        <v>1159956.829</v>
      </c>
      <c r="J2369" s="548">
        <v>927731.2166</v>
      </c>
      <c r="K2369" s="220"/>
      <c r="CE2369" s="525"/>
    </row>
    <row r="2370">
      <c r="A2370" s="219"/>
      <c r="B2370" s="889" t="s">
        <v>520</v>
      </c>
      <c r="C2370" s="890" t="s">
        <v>289</v>
      </c>
      <c r="D2370" s="890" t="s">
        <v>387</v>
      </c>
      <c r="E2370" s="891">
        <v>2019.0</v>
      </c>
      <c r="F2370" s="890" t="s">
        <v>291</v>
      </c>
      <c r="G2370" s="890" t="s">
        <v>89</v>
      </c>
      <c r="H2370" s="532">
        <v>935540.6967</v>
      </c>
      <c r="I2370" s="532">
        <v>1037743.592</v>
      </c>
      <c r="J2370" s="533">
        <v>829985.3074</v>
      </c>
      <c r="K2370" s="220"/>
      <c r="CE2370" s="525"/>
    </row>
    <row r="2371">
      <c r="A2371" s="219"/>
      <c r="B2371" s="886" t="s">
        <v>520</v>
      </c>
      <c r="C2371" s="887" t="s">
        <v>289</v>
      </c>
      <c r="D2371" s="887" t="s">
        <v>392</v>
      </c>
      <c r="E2371" s="888">
        <v>2019.0</v>
      </c>
      <c r="F2371" s="887" t="s">
        <v>291</v>
      </c>
      <c r="G2371" s="887" t="s">
        <v>89</v>
      </c>
      <c r="H2371" s="547">
        <v>754909.4957</v>
      </c>
      <c r="I2371" s="547">
        <v>837379.3833</v>
      </c>
      <c r="J2371" s="548">
        <v>669734.4028</v>
      </c>
      <c r="K2371" s="220"/>
      <c r="CE2371" s="525"/>
    </row>
    <row r="2372">
      <c r="A2372" s="219"/>
      <c r="B2372" s="889" t="s">
        <v>520</v>
      </c>
      <c r="C2372" s="890" t="s">
        <v>289</v>
      </c>
      <c r="D2372" s="890" t="s">
        <v>398</v>
      </c>
      <c r="E2372" s="891">
        <v>2019.0</v>
      </c>
      <c r="F2372" s="890" t="s">
        <v>291</v>
      </c>
      <c r="G2372" s="890" t="s">
        <v>89</v>
      </c>
      <c r="H2372" s="532">
        <v>565247.4571</v>
      </c>
      <c r="I2372" s="532">
        <v>626997.7656</v>
      </c>
      <c r="J2372" s="533">
        <v>501471.594</v>
      </c>
      <c r="K2372" s="220"/>
      <c r="CE2372" s="525"/>
    </row>
    <row r="2373">
      <c r="A2373" s="219"/>
      <c r="B2373" s="886" t="s">
        <v>520</v>
      </c>
      <c r="C2373" s="887" t="s">
        <v>289</v>
      </c>
      <c r="D2373" s="887" t="s">
        <v>402</v>
      </c>
      <c r="E2373" s="888">
        <v>2019.0</v>
      </c>
      <c r="F2373" s="887" t="s">
        <v>291</v>
      </c>
      <c r="G2373" s="887" t="s">
        <v>89</v>
      </c>
      <c r="H2373" s="547">
        <v>5511504.123</v>
      </c>
      <c r="I2373" s="547">
        <v>6113718.183</v>
      </c>
      <c r="J2373" s="548">
        <v>4889158.199</v>
      </c>
      <c r="K2373" s="220"/>
      <c r="CE2373" s="525"/>
    </row>
    <row r="2374">
      <c r="A2374" s="219"/>
      <c r="B2374" s="889" t="s">
        <v>520</v>
      </c>
      <c r="C2374" s="890" t="s">
        <v>289</v>
      </c>
      <c r="D2374" s="890" t="s">
        <v>407</v>
      </c>
      <c r="E2374" s="891">
        <v>2019.0</v>
      </c>
      <c r="F2374" s="890" t="s">
        <v>291</v>
      </c>
      <c r="G2374" s="890" t="s">
        <v>89</v>
      </c>
      <c r="H2374" s="532">
        <v>2012068.691</v>
      </c>
      <c r="I2374" s="532">
        <v>2231876.602</v>
      </c>
      <c r="J2374" s="533">
        <v>1785050.567</v>
      </c>
      <c r="K2374" s="220"/>
      <c r="CE2374" s="525"/>
    </row>
    <row r="2375">
      <c r="A2375" s="219"/>
      <c r="B2375" s="886" t="s">
        <v>520</v>
      </c>
      <c r="C2375" s="887" t="s">
        <v>289</v>
      </c>
      <c r="D2375" s="887" t="s">
        <v>414</v>
      </c>
      <c r="E2375" s="888">
        <v>2019.0</v>
      </c>
      <c r="F2375" s="887" t="s">
        <v>291</v>
      </c>
      <c r="G2375" s="887" t="s">
        <v>89</v>
      </c>
      <c r="H2375" s="547">
        <v>408631.9917</v>
      </c>
      <c r="I2375" s="547">
        <v>453272.8852</v>
      </c>
      <c r="J2375" s="548">
        <v>362526.7724</v>
      </c>
      <c r="K2375" s="220"/>
      <c r="CE2375" s="525"/>
    </row>
    <row r="2376">
      <c r="A2376" s="219"/>
      <c r="B2376" s="889" t="s">
        <v>520</v>
      </c>
      <c r="C2376" s="890" t="s">
        <v>289</v>
      </c>
      <c r="D2376" s="890" t="s">
        <v>417</v>
      </c>
      <c r="E2376" s="891">
        <v>2019.0</v>
      </c>
      <c r="F2376" s="890" t="s">
        <v>291</v>
      </c>
      <c r="G2376" s="890" t="s">
        <v>89</v>
      </c>
      <c r="H2376" s="532">
        <v>1233254.183</v>
      </c>
      <c r="I2376" s="532">
        <v>1367980.709</v>
      </c>
      <c r="J2376" s="533">
        <v>1094108.311</v>
      </c>
      <c r="K2376" s="220"/>
      <c r="CE2376" s="525"/>
    </row>
    <row r="2377">
      <c r="A2377" s="219"/>
      <c r="B2377" s="886" t="s">
        <v>520</v>
      </c>
      <c r="C2377" s="887" t="s">
        <v>289</v>
      </c>
      <c r="D2377" s="887" t="s">
        <v>300</v>
      </c>
      <c r="E2377" s="888">
        <v>2019.0</v>
      </c>
      <c r="F2377" s="887" t="s">
        <v>291</v>
      </c>
      <c r="G2377" s="887" t="s">
        <v>89</v>
      </c>
      <c r="H2377" s="547">
        <v>3856543.798</v>
      </c>
      <c r="I2377" s="547">
        <v>4277850.902</v>
      </c>
      <c r="J2377" s="548">
        <v>3421416.835</v>
      </c>
      <c r="K2377" s="220"/>
      <c r="CE2377" s="525"/>
    </row>
    <row r="2378">
      <c r="A2378" s="219"/>
      <c r="B2378" s="889" t="s">
        <v>520</v>
      </c>
      <c r="C2378" s="890" t="s">
        <v>289</v>
      </c>
      <c r="D2378" s="890" t="s">
        <v>429</v>
      </c>
      <c r="E2378" s="891">
        <v>2019.0</v>
      </c>
      <c r="F2378" s="890" t="s">
        <v>291</v>
      </c>
      <c r="G2378" s="890" t="s">
        <v>89</v>
      </c>
      <c r="H2378" s="532">
        <v>1114079.228</v>
      </c>
      <c r="I2378" s="532">
        <v>1235809.006</v>
      </c>
      <c r="J2378" s="533">
        <v>988280.0541</v>
      </c>
      <c r="K2378" s="220"/>
      <c r="CE2378" s="525"/>
    </row>
    <row r="2379">
      <c r="A2379" s="219"/>
      <c r="B2379" s="886" t="s">
        <v>520</v>
      </c>
      <c r="C2379" s="887" t="s">
        <v>289</v>
      </c>
      <c r="D2379" s="887" t="s">
        <v>432</v>
      </c>
      <c r="E2379" s="888">
        <v>2019.0</v>
      </c>
      <c r="F2379" s="887" t="s">
        <v>291</v>
      </c>
      <c r="G2379" s="887" t="s">
        <v>89</v>
      </c>
      <c r="H2379" s="547">
        <v>324932.3684</v>
      </c>
      <c r="I2379" s="547">
        <v>360429.5188</v>
      </c>
      <c r="J2379" s="548">
        <v>288270.8284</v>
      </c>
      <c r="K2379" s="220"/>
      <c r="CE2379" s="525"/>
    </row>
    <row r="2380">
      <c r="A2380" s="219"/>
      <c r="B2380" s="889" t="s">
        <v>520</v>
      </c>
      <c r="C2380" s="890" t="s">
        <v>289</v>
      </c>
      <c r="D2380" s="890" t="s">
        <v>435</v>
      </c>
      <c r="E2380" s="891">
        <v>2019.0</v>
      </c>
      <c r="F2380" s="890" t="s">
        <v>291</v>
      </c>
      <c r="G2380" s="890" t="s">
        <v>89</v>
      </c>
      <c r="H2380" s="532">
        <v>277130.5515</v>
      </c>
      <c r="I2380" s="532">
        <v>307405.6051</v>
      </c>
      <c r="J2380" s="533">
        <v>245862.4054</v>
      </c>
      <c r="K2380" s="220"/>
      <c r="CE2380" s="525"/>
    </row>
    <row r="2381">
      <c r="A2381" s="219"/>
      <c r="B2381" s="886" t="s">
        <v>520</v>
      </c>
      <c r="C2381" s="887" t="s">
        <v>289</v>
      </c>
      <c r="D2381" s="887" t="s">
        <v>442</v>
      </c>
      <c r="E2381" s="888">
        <v>2019.0</v>
      </c>
      <c r="F2381" s="887" t="s">
        <v>291</v>
      </c>
      <c r="G2381" s="887" t="s">
        <v>89</v>
      </c>
      <c r="H2381" s="547">
        <v>222559.271</v>
      </c>
      <c r="I2381" s="547">
        <v>246872.6995</v>
      </c>
      <c r="J2381" s="548">
        <v>197448.3051</v>
      </c>
      <c r="K2381" s="220"/>
      <c r="CE2381" s="525"/>
    </row>
    <row r="2382">
      <c r="A2382" s="219"/>
      <c r="B2382" s="889" t="s">
        <v>520</v>
      </c>
      <c r="C2382" s="890" t="s">
        <v>289</v>
      </c>
      <c r="D2382" s="890" t="s">
        <v>445</v>
      </c>
      <c r="E2382" s="891">
        <v>2019.0</v>
      </c>
      <c r="F2382" s="890" t="s">
        <v>291</v>
      </c>
      <c r="G2382" s="890" t="s">
        <v>89</v>
      </c>
      <c r="H2382" s="532">
        <v>364956.8206</v>
      </c>
      <c r="I2382" s="532">
        <v>404833.7986</v>
      </c>
      <c r="J2382" s="533">
        <v>323746.7653</v>
      </c>
      <c r="K2382" s="220"/>
      <c r="CE2382" s="525"/>
    </row>
    <row r="2383">
      <c r="A2383" s="219"/>
      <c r="B2383" s="886" t="s">
        <v>520</v>
      </c>
      <c r="C2383" s="887" t="s">
        <v>289</v>
      </c>
      <c r="D2383" s="887" t="s">
        <v>450</v>
      </c>
      <c r="E2383" s="888">
        <v>2019.0</v>
      </c>
      <c r="F2383" s="887" t="s">
        <v>291</v>
      </c>
      <c r="G2383" s="887" t="s">
        <v>89</v>
      </c>
      <c r="H2383" s="547">
        <v>142393.1699</v>
      </c>
      <c r="I2383" s="547">
        <v>157948.874</v>
      </c>
      <c r="J2383" s="548">
        <v>126327.2024</v>
      </c>
      <c r="K2383" s="220"/>
      <c r="CE2383" s="525"/>
    </row>
    <row r="2384">
      <c r="A2384" s="219"/>
      <c r="B2384" s="889" t="s">
        <v>520</v>
      </c>
      <c r="C2384" s="890" t="s">
        <v>289</v>
      </c>
      <c r="D2384" s="890" t="s">
        <v>457</v>
      </c>
      <c r="E2384" s="891">
        <v>2019.0</v>
      </c>
      <c r="F2384" s="890" t="s">
        <v>291</v>
      </c>
      <c r="G2384" s="890" t="s">
        <v>89</v>
      </c>
      <c r="H2384" s="532">
        <v>289443.6675</v>
      </c>
      <c r="I2384" s="532">
        <v>321063.8641</v>
      </c>
      <c r="J2384" s="533">
        <v>256786.2544</v>
      </c>
      <c r="K2384" s="220"/>
      <c r="CE2384" s="525"/>
    </row>
    <row r="2385">
      <c r="A2385" s="219"/>
      <c r="B2385" s="886" t="s">
        <v>520</v>
      </c>
      <c r="C2385" s="887" t="s">
        <v>289</v>
      </c>
      <c r="D2385" s="887" t="s">
        <v>463</v>
      </c>
      <c r="E2385" s="888">
        <v>2019.0</v>
      </c>
      <c r="F2385" s="887" t="s">
        <v>291</v>
      </c>
      <c r="G2385" s="887" t="s">
        <v>89</v>
      </c>
      <c r="H2385" s="547">
        <v>147052.2623</v>
      </c>
      <c r="I2385" s="547">
        <v>163119.916</v>
      </c>
      <c r="J2385" s="548">
        <v>130447.4709</v>
      </c>
      <c r="K2385" s="220"/>
      <c r="CE2385" s="525"/>
    </row>
    <row r="2386">
      <c r="A2386" s="219"/>
      <c r="B2386" s="889" t="s">
        <v>520</v>
      </c>
      <c r="C2386" s="890" t="s">
        <v>289</v>
      </c>
      <c r="D2386" s="890" t="s">
        <v>467</v>
      </c>
      <c r="E2386" s="891">
        <v>2019.0</v>
      </c>
      <c r="F2386" s="890" t="s">
        <v>291</v>
      </c>
      <c r="G2386" s="890" t="s">
        <v>89</v>
      </c>
      <c r="H2386" s="532">
        <v>81301.3774</v>
      </c>
      <c r="I2386" s="532">
        <v>90183.1248</v>
      </c>
      <c r="J2386" s="533">
        <v>72128.2879</v>
      </c>
      <c r="K2386" s="220"/>
      <c r="CE2386" s="525"/>
    </row>
    <row r="2387">
      <c r="A2387" s="219"/>
      <c r="B2387" s="886" t="s">
        <v>520</v>
      </c>
      <c r="C2387" s="887" t="s">
        <v>289</v>
      </c>
      <c r="D2387" s="887" t="s">
        <v>473</v>
      </c>
      <c r="E2387" s="888">
        <v>2019.0</v>
      </c>
      <c r="F2387" s="887" t="s">
        <v>291</v>
      </c>
      <c r="G2387" s="887" t="s">
        <v>89</v>
      </c>
      <c r="H2387" s="547">
        <v>123399.8798</v>
      </c>
      <c r="I2387" s="547">
        <v>136883.1579</v>
      </c>
      <c r="J2387" s="548">
        <v>109465.8592</v>
      </c>
      <c r="K2387" s="220"/>
      <c r="CE2387" s="525"/>
    </row>
    <row r="2388">
      <c r="A2388" s="219"/>
      <c r="B2388" s="889" t="s">
        <v>520</v>
      </c>
      <c r="C2388" s="890" t="s">
        <v>289</v>
      </c>
      <c r="D2388" s="890" t="s">
        <v>477</v>
      </c>
      <c r="E2388" s="891">
        <v>2019.0</v>
      </c>
      <c r="F2388" s="890" t="s">
        <v>291</v>
      </c>
      <c r="G2388" s="890" t="s">
        <v>89</v>
      </c>
      <c r="H2388" s="532">
        <v>65749.12016</v>
      </c>
      <c r="I2388" s="532">
        <v>72931.86535</v>
      </c>
      <c r="J2388" s="533">
        <v>58330.76412</v>
      </c>
      <c r="K2388" s="220"/>
      <c r="CE2388" s="525"/>
    </row>
    <row r="2389">
      <c r="A2389" s="219"/>
      <c r="B2389" s="886" t="s">
        <v>520</v>
      </c>
      <c r="C2389" s="887" t="s">
        <v>289</v>
      </c>
      <c r="D2389" s="887" t="s">
        <v>483</v>
      </c>
      <c r="E2389" s="888">
        <v>2019.0</v>
      </c>
      <c r="F2389" s="887" t="s">
        <v>291</v>
      </c>
      <c r="G2389" s="887" t="s">
        <v>89</v>
      </c>
      <c r="H2389" s="547">
        <v>42097.02156</v>
      </c>
      <c r="I2389" s="547">
        <v>46695.89952</v>
      </c>
      <c r="J2389" s="548">
        <v>37347.28965</v>
      </c>
      <c r="K2389" s="220"/>
      <c r="CE2389" s="525"/>
    </row>
    <row r="2390">
      <c r="A2390" s="219"/>
      <c r="B2390" s="889" t="s">
        <v>520</v>
      </c>
      <c r="C2390" s="890" t="s">
        <v>289</v>
      </c>
      <c r="D2390" s="890" t="s">
        <v>489</v>
      </c>
      <c r="E2390" s="891">
        <v>2019.0</v>
      </c>
      <c r="F2390" s="890" t="s">
        <v>291</v>
      </c>
      <c r="G2390" s="890" t="s">
        <v>89</v>
      </c>
      <c r="H2390" s="532">
        <v>23652.38244</v>
      </c>
      <c r="I2390" s="532">
        <v>26236.75813</v>
      </c>
      <c r="J2390" s="533">
        <v>20981.61173</v>
      </c>
      <c r="K2390" s="220"/>
      <c r="CE2390" s="525"/>
    </row>
    <row r="2391">
      <c r="A2391" s="219"/>
      <c r="B2391" s="886" t="s">
        <v>520</v>
      </c>
      <c r="C2391" s="887" t="s">
        <v>289</v>
      </c>
      <c r="D2391" s="887" t="s">
        <v>493</v>
      </c>
      <c r="E2391" s="888">
        <v>2019.0</v>
      </c>
      <c r="F2391" s="887" t="s">
        <v>291</v>
      </c>
      <c r="G2391" s="887" t="s">
        <v>89</v>
      </c>
      <c r="H2391" s="547">
        <v>16893.27894</v>
      </c>
      <c r="I2391" s="547">
        <v>18738.78072</v>
      </c>
      <c r="J2391" s="548">
        <v>14987.24039</v>
      </c>
      <c r="K2391" s="220"/>
      <c r="CE2391" s="525"/>
    </row>
    <row r="2392">
      <c r="A2392" s="219"/>
      <c r="B2392" s="889" t="s">
        <v>520</v>
      </c>
      <c r="C2392" s="890" t="s">
        <v>289</v>
      </c>
      <c r="D2392" s="890" t="s">
        <v>496</v>
      </c>
      <c r="E2392" s="891">
        <v>2019.0</v>
      </c>
      <c r="F2392" s="890" t="s">
        <v>291</v>
      </c>
      <c r="G2392" s="890" t="s">
        <v>89</v>
      </c>
      <c r="H2392" s="532">
        <v>5546.867869</v>
      </c>
      <c r="I2392" s="532">
        <v>6152.833978</v>
      </c>
      <c r="J2392" s="533">
        <v>4921.024654</v>
      </c>
      <c r="K2392" s="220"/>
      <c r="CE2392" s="525"/>
    </row>
    <row r="2393">
      <c r="A2393" s="219"/>
      <c r="B2393" s="886" t="s">
        <v>520</v>
      </c>
      <c r="C2393" s="887" t="s">
        <v>289</v>
      </c>
      <c r="D2393" s="887" t="s">
        <v>502</v>
      </c>
      <c r="E2393" s="888">
        <v>2019.0</v>
      </c>
      <c r="F2393" s="887" t="s">
        <v>291</v>
      </c>
      <c r="G2393" s="887" t="s">
        <v>89</v>
      </c>
      <c r="H2393" s="547">
        <v>1211.951783</v>
      </c>
      <c r="I2393" s="547">
        <v>1344.351134</v>
      </c>
      <c r="J2393" s="548">
        <v>1075.209424</v>
      </c>
      <c r="K2393" s="220"/>
      <c r="CE2393" s="525"/>
    </row>
    <row r="2394">
      <c r="A2394" s="219"/>
      <c r="B2394" s="889" t="s">
        <v>520</v>
      </c>
      <c r="C2394" s="890" t="s">
        <v>289</v>
      </c>
      <c r="D2394" s="890" t="s">
        <v>332</v>
      </c>
      <c r="E2394" s="891">
        <v>2019.0</v>
      </c>
      <c r="F2394" s="890" t="s">
        <v>291</v>
      </c>
      <c r="G2394" s="890" t="s">
        <v>89</v>
      </c>
      <c r="H2394" s="532">
        <v>1.501085206E7</v>
      </c>
      <c r="I2394" s="532">
        <v>1.665070861E7</v>
      </c>
      <c r="J2394" s="533">
        <v>1.331720438E7</v>
      </c>
      <c r="K2394" s="220"/>
      <c r="CE2394" s="525"/>
    </row>
    <row r="2395">
      <c r="A2395" s="219"/>
      <c r="B2395" s="886" t="s">
        <v>520</v>
      </c>
      <c r="C2395" s="887" t="s">
        <v>289</v>
      </c>
      <c r="D2395" s="887" t="s">
        <v>510</v>
      </c>
      <c r="E2395" s="888">
        <v>2019.0</v>
      </c>
      <c r="F2395" s="887" t="s">
        <v>291</v>
      </c>
      <c r="G2395" s="887" t="s">
        <v>89</v>
      </c>
      <c r="H2395" s="547">
        <v>448004.4096</v>
      </c>
      <c r="I2395" s="547">
        <v>489545.857</v>
      </c>
      <c r="J2395" s="548">
        <v>413148.3623</v>
      </c>
      <c r="K2395" s="220"/>
      <c r="CE2395" s="525"/>
    </row>
    <row r="2396">
      <c r="A2396" s="219"/>
      <c r="B2396" s="889" t="s">
        <v>520</v>
      </c>
      <c r="C2396" s="890" t="s">
        <v>289</v>
      </c>
      <c r="D2396" s="890" t="s">
        <v>512</v>
      </c>
      <c r="E2396" s="891">
        <v>2019.0</v>
      </c>
      <c r="F2396" s="890" t="s">
        <v>291</v>
      </c>
      <c r="G2396" s="890" t="s">
        <v>89</v>
      </c>
      <c r="H2396" s="532">
        <v>8440.538402</v>
      </c>
      <c r="I2396" s="532">
        <v>9362.622781</v>
      </c>
      <c r="J2396" s="533">
        <v>7488.207499</v>
      </c>
      <c r="K2396" s="220"/>
      <c r="CE2396" s="525"/>
    </row>
    <row r="2397">
      <c r="A2397" s="219"/>
      <c r="B2397" s="886" t="s">
        <v>520</v>
      </c>
      <c r="C2397" s="887" t="s">
        <v>289</v>
      </c>
      <c r="D2397" s="887" t="s">
        <v>515</v>
      </c>
      <c r="E2397" s="888">
        <v>2019.0</v>
      </c>
      <c r="F2397" s="887" t="s">
        <v>291</v>
      </c>
      <c r="G2397" s="887" t="s">
        <v>89</v>
      </c>
      <c r="H2397" s="547">
        <v>25016.44777</v>
      </c>
      <c r="I2397" s="547">
        <v>27749.36297</v>
      </c>
      <c r="J2397" s="548">
        <v>22193.88656</v>
      </c>
      <c r="K2397" s="220"/>
      <c r="CE2397" s="525"/>
    </row>
    <row r="2398">
      <c r="A2398" s="219"/>
      <c r="B2398" s="889" t="s">
        <v>520</v>
      </c>
      <c r="C2398" s="890" t="s">
        <v>289</v>
      </c>
      <c r="D2398" s="890" t="s">
        <v>518</v>
      </c>
      <c r="E2398" s="891">
        <v>2019.0</v>
      </c>
      <c r="F2398" s="890" t="s">
        <v>291</v>
      </c>
      <c r="G2398" s="890" t="s">
        <v>89</v>
      </c>
      <c r="H2398" s="532">
        <v>33456.98617</v>
      </c>
      <c r="I2398" s="532">
        <v>37111.98575</v>
      </c>
      <c r="J2398" s="533">
        <v>29682.09405</v>
      </c>
      <c r="K2398" s="220"/>
      <c r="CE2398" s="525"/>
    </row>
    <row r="2399">
      <c r="A2399" s="219"/>
      <c r="B2399" s="886" t="s">
        <v>520</v>
      </c>
      <c r="C2399" s="887" t="s">
        <v>289</v>
      </c>
      <c r="D2399" s="887" t="s">
        <v>522</v>
      </c>
      <c r="E2399" s="888">
        <v>2019.0</v>
      </c>
      <c r="F2399" s="887" t="s">
        <v>291</v>
      </c>
      <c r="G2399" s="887" t="s">
        <v>89</v>
      </c>
      <c r="H2399" s="547">
        <v>396010.74</v>
      </c>
      <c r="I2399" s="547">
        <v>439272.8282</v>
      </c>
      <c r="J2399" s="548">
        <v>351329.5541</v>
      </c>
      <c r="K2399" s="220"/>
      <c r="CE2399" s="525"/>
    </row>
    <row r="2400">
      <c r="A2400" s="219"/>
      <c r="B2400" s="931" t="s">
        <v>520</v>
      </c>
      <c r="C2400" s="932" t="s">
        <v>289</v>
      </c>
      <c r="D2400" s="932" t="s">
        <v>302</v>
      </c>
      <c r="E2400" s="933">
        <v>2019.0</v>
      </c>
      <c r="F2400" s="932" t="s">
        <v>291</v>
      </c>
      <c r="G2400" s="932" t="s">
        <v>89</v>
      </c>
      <c r="H2400" s="934">
        <v>2109552.698</v>
      </c>
      <c r="I2400" s="934">
        <v>2340010.223</v>
      </c>
      <c r="J2400" s="935">
        <v>1871535.627</v>
      </c>
      <c r="K2400" s="220"/>
      <c r="AS2400" s="929"/>
      <c r="AT2400" s="929"/>
      <c r="AU2400" s="929"/>
      <c r="AV2400" s="929"/>
      <c r="AW2400" s="929"/>
      <c r="AX2400" s="929"/>
      <c r="AY2400" s="929"/>
      <c r="AZ2400" s="929"/>
      <c r="BA2400" s="929"/>
      <c r="BB2400" s="929"/>
      <c r="BC2400" s="929"/>
      <c r="BD2400" s="929"/>
      <c r="BF2400" s="929"/>
      <c r="BG2400" s="929"/>
      <c r="BH2400" s="929"/>
      <c r="BI2400" s="929"/>
      <c r="BJ2400" s="929"/>
      <c r="BK2400" s="929"/>
      <c r="BL2400" s="929"/>
      <c r="BM2400" s="929"/>
      <c r="BN2400" s="929"/>
      <c r="BO2400" s="929"/>
      <c r="BP2400" s="929"/>
      <c r="BQ2400" s="929"/>
      <c r="BS2400" s="929"/>
      <c r="BT2400" s="929"/>
      <c r="BU2400" s="929"/>
      <c r="BV2400" s="929"/>
      <c r="BW2400" s="929"/>
      <c r="BX2400" s="929"/>
      <c r="BY2400" s="929"/>
      <c r="BZ2400" s="929"/>
      <c r="CA2400" s="929"/>
      <c r="CB2400" s="929"/>
      <c r="CC2400" s="929"/>
      <c r="CD2400" s="929"/>
      <c r="CE2400" s="525"/>
    </row>
    <row r="2401">
      <c r="A2401" s="928"/>
      <c r="B2401" s="936"/>
      <c r="C2401" s="936"/>
      <c r="D2401" s="936"/>
      <c r="E2401" s="936"/>
      <c r="F2401" s="936"/>
      <c r="G2401" s="936"/>
      <c r="H2401" s="937"/>
      <c r="I2401" s="937"/>
      <c r="J2401" s="937"/>
      <c r="K2401" s="936"/>
      <c r="V2401" s="929"/>
      <c r="W2401" s="929"/>
      <c r="X2401" s="929"/>
      <c r="Y2401" s="929"/>
      <c r="Z2401" s="929"/>
      <c r="AA2401" s="929"/>
      <c r="AB2401" s="929"/>
      <c r="AC2401" s="929"/>
      <c r="AD2401" s="929"/>
      <c r="AE2401" s="929"/>
      <c r="AF2401" s="929"/>
      <c r="AG2401" s="929"/>
      <c r="AH2401" s="929"/>
      <c r="AI2401" s="929"/>
      <c r="AJ2401" s="929"/>
      <c r="AK2401" s="929"/>
      <c r="AL2401" s="929"/>
      <c r="AM2401" s="929"/>
      <c r="AN2401" s="929"/>
      <c r="AO2401" s="929"/>
      <c r="AP2401" s="929"/>
      <c r="AQ2401" s="929"/>
      <c r="AR2401" s="929"/>
      <c r="BE2401" s="929"/>
      <c r="BR2401" s="929"/>
      <c r="CE2401" s="930"/>
    </row>
    <row r="2402">
      <c r="A2402" s="220"/>
      <c r="B2402" s="220"/>
      <c r="C2402" s="220"/>
      <c r="D2402" s="220"/>
      <c r="E2402" s="220"/>
      <c r="F2402" s="220"/>
      <c r="G2402" s="220"/>
      <c r="H2402" s="824"/>
      <c r="I2402" s="824"/>
      <c r="J2402" s="824"/>
      <c r="K2402" s="220"/>
    </row>
    <row r="2403">
      <c r="A2403" s="220"/>
      <c r="B2403" s="220"/>
      <c r="C2403" s="220"/>
      <c r="D2403" s="220"/>
      <c r="E2403" s="220"/>
      <c r="F2403" s="220"/>
      <c r="G2403" s="220"/>
      <c r="H2403" s="824"/>
      <c r="I2403" s="824"/>
      <c r="J2403" s="824"/>
      <c r="K2403" s="220"/>
    </row>
    <row r="2404">
      <c r="A2404" s="220"/>
      <c r="B2404" s="220"/>
      <c r="C2404" s="220"/>
      <c r="D2404" s="220"/>
      <c r="E2404" s="220"/>
      <c r="F2404" s="220"/>
      <c r="G2404" s="220"/>
      <c r="H2404" s="824"/>
      <c r="I2404" s="824"/>
      <c r="J2404" s="824"/>
      <c r="K2404" s="220"/>
    </row>
    <row r="2405">
      <c r="A2405" s="220"/>
      <c r="B2405" s="220"/>
      <c r="C2405" s="220"/>
      <c r="D2405" s="220"/>
      <c r="E2405" s="220"/>
      <c r="F2405" s="220"/>
      <c r="G2405" s="220"/>
      <c r="H2405" s="824"/>
      <c r="I2405" s="824"/>
      <c r="J2405" s="824"/>
      <c r="K2405" s="220"/>
    </row>
    <row r="2406">
      <c r="A2406" s="220"/>
      <c r="B2406" s="220"/>
      <c r="C2406" s="220"/>
      <c r="D2406" s="220"/>
      <c r="E2406" s="220"/>
      <c r="F2406" s="220"/>
      <c r="G2406" s="220"/>
      <c r="H2406" s="824"/>
      <c r="I2406" s="824"/>
      <c r="J2406" s="824"/>
      <c r="K2406" s="220"/>
    </row>
    <row r="2407">
      <c r="A2407" s="220"/>
      <c r="B2407" s="220"/>
      <c r="C2407" s="220"/>
      <c r="D2407" s="220"/>
      <c r="E2407" s="220"/>
      <c r="F2407" s="220"/>
      <c r="G2407" s="220"/>
      <c r="H2407" s="824"/>
      <c r="I2407" s="824"/>
      <c r="J2407" s="824"/>
      <c r="K2407" s="220"/>
    </row>
    <row r="2408">
      <c r="A2408" s="220"/>
      <c r="B2408" s="220"/>
      <c r="C2408" s="220"/>
      <c r="D2408" s="220"/>
      <c r="E2408" s="220"/>
      <c r="F2408" s="220"/>
      <c r="G2408" s="220"/>
      <c r="H2408" s="824"/>
      <c r="I2408" s="824"/>
      <c r="J2408" s="824"/>
      <c r="K2408" s="220"/>
    </row>
    <row r="2409">
      <c r="A2409" s="220"/>
      <c r="B2409" s="220"/>
      <c r="C2409" s="220"/>
      <c r="D2409" s="220"/>
      <c r="E2409" s="220"/>
      <c r="F2409" s="220"/>
      <c r="G2409" s="220"/>
      <c r="H2409" s="824"/>
      <c r="I2409" s="824"/>
      <c r="J2409" s="824"/>
      <c r="K2409" s="220"/>
    </row>
    <row r="2410">
      <c r="A2410" s="220"/>
      <c r="B2410" s="220"/>
      <c r="C2410" s="220"/>
      <c r="D2410" s="220"/>
      <c r="E2410" s="220"/>
      <c r="F2410" s="220"/>
      <c r="G2410" s="220"/>
      <c r="H2410" s="824"/>
      <c r="I2410" s="824"/>
      <c r="J2410" s="824"/>
      <c r="K2410" s="220"/>
    </row>
    <row r="2411">
      <c r="A2411" s="220"/>
      <c r="B2411" s="220"/>
      <c r="C2411" s="220"/>
      <c r="D2411" s="220"/>
      <c r="E2411" s="220"/>
      <c r="F2411" s="220"/>
      <c r="G2411" s="220"/>
      <c r="H2411" s="824"/>
      <c r="I2411" s="824"/>
      <c r="J2411" s="824"/>
      <c r="K2411" s="220"/>
    </row>
    <row r="2412">
      <c r="A2412" s="220"/>
      <c r="B2412" s="220"/>
      <c r="C2412" s="220"/>
      <c r="D2412" s="220"/>
      <c r="E2412" s="220"/>
      <c r="F2412" s="220"/>
      <c r="G2412" s="220"/>
      <c r="H2412" s="824"/>
      <c r="I2412" s="824"/>
      <c r="J2412" s="824"/>
      <c r="K2412" s="220"/>
    </row>
    <row r="2413">
      <c r="A2413" s="220"/>
      <c r="B2413" s="220"/>
      <c r="C2413" s="220"/>
      <c r="D2413" s="220"/>
      <c r="E2413" s="220"/>
      <c r="F2413" s="220"/>
      <c r="G2413" s="220"/>
      <c r="H2413" s="824"/>
      <c r="I2413" s="824"/>
      <c r="J2413" s="824"/>
      <c r="K2413" s="220"/>
    </row>
    <row r="2414">
      <c r="A2414" s="220"/>
      <c r="B2414" s="220"/>
      <c r="C2414" s="220"/>
      <c r="D2414" s="220"/>
      <c r="E2414" s="220"/>
      <c r="F2414" s="220"/>
      <c r="G2414" s="220"/>
      <c r="H2414" s="824"/>
      <c r="I2414" s="824"/>
      <c r="J2414" s="824"/>
      <c r="K2414" s="220"/>
    </row>
    <row r="2415">
      <c r="A2415" s="220"/>
      <c r="B2415" s="220"/>
      <c r="C2415" s="220"/>
      <c r="D2415" s="220"/>
      <c r="E2415" s="220"/>
      <c r="F2415" s="220"/>
      <c r="G2415" s="220"/>
      <c r="H2415" s="824"/>
      <c r="I2415" s="824"/>
      <c r="J2415" s="824"/>
      <c r="K2415" s="220"/>
    </row>
    <row r="2416">
      <c r="A2416" s="220"/>
      <c r="B2416" s="220"/>
      <c r="C2416" s="220"/>
      <c r="D2416" s="220"/>
      <c r="E2416" s="220"/>
      <c r="F2416" s="220"/>
      <c r="G2416" s="220"/>
      <c r="H2416" s="824"/>
      <c r="I2416" s="824"/>
      <c r="J2416" s="824"/>
      <c r="K2416" s="220"/>
    </row>
    <row r="2417">
      <c r="A2417" s="220"/>
      <c r="B2417" s="220"/>
      <c r="C2417" s="220"/>
      <c r="D2417" s="220"/>
      <c r="E2417" s="220"/>
      <c r="F2417" s="220"/>
      <c r="G2417" s="220"/>
      <c r="H2417" s="824"/>
      <c r="I2417" s="824"/>
      <c r="J2417" s="824"/>
      <c r="K2417" s="220"/>
    </row>
    <row r="2418">
      <c r="A2418" s="220"/>
      <c r="B2418" s="220"/>
      <c r="C2418" s="220"/>
      <c r="D2418" s="220"/>
      <c r="E2418" s="220"/>
      <c r="F2418" s="220"/>
      <c r="G2418" s="220"/>
      <c r="H2418" s="824"/>
      <c r="I2418" s="824"/>
      <c r="J2418" s="824"/>
      <c r="K2418" s="220"/>
    </row>
    <row r="2419">
      <c r="A2419" s="220"/>
      <c r="B2419" s="220"/>
      <c r="C2419" s="220"/>
      <c r="D2419" s="220"/>
      <c r="E2419" s="220"/>
      <c r="F2419" s="220"/>
      <c r="G2419" s="220"/>
      <c r="H2419" s="824"/>
      <c r="I2419" s="824"/>
      <c r="J2419" s="824"/>
      <c r="K2419" s="220"/>
    </row>
    <row r="2420">
      <c r="A2420" s="220"/>
      <c r="B2420" s="220"/>
      <c r="C2420" s="220"/>
      <c r="D2420" s="220"/>
      <c r="E2420" s="220"/>
      <c r="F2420" s="220"/>
      <c r="G2420" s="220"/>
      <c r="H2420" s="824"/>
      <c r="I2420" s="824"/>
      <c r="J2420" s="824"/>
      <c r="K2420" s="220"/>
    </row>
    <row r="2421">
      <c r="A2421" s="220"/>
      <c r="B2421" s="220"/>
      <c r="C2421" s="220"/>
      <c r="D2421" s="220"/>
      <c r="E2421" s="220"/>
      <c r="F2421" s="220"/>
      <c r="G2421" s="220"/>
      <c r="H2421" s="824"/>
      <c r="I2421" s="824"/>
      <c r="J2421" s="824"/>
      <c r="K2421" s="220"/>
    </row>
    <row r="2422">
      <c r="A2422" s="220"/>
      <c r="B2422" s="220"/>
      <c r="C2422" s="220"/>
      <c r="D2422" s="220"/>
      <c r="E2422" s="220"/>
      <c r="F2422" s="220"/>
      <c r="G2422" s="220"/>
      <c r="H2422" s="824"/>
      <c r="I2422" s="824"/>
      <c r="J2422" s="824"/>
      <c r="K2422" s="220"/>
    </row>
    <row r="2423">
      <c r="A2423" s="220"/>
      <c r="B2423" s="220"/>
      <c r="C2423" s="220"/>
      <c r="D2423" s="220"/>
      <c r="E2423" s="220"/>
      <c r="F2423" s="220"/>
      <c r="G2423" s="220"/>
      <c r="H2423" s="824"/>
      <c r="I2423" s="824"/>
      <c r="J2423" s="824"/>
      <c r="K2423" s="220"/>
    </row>
    <row r="2424">
      <c r="A2424" s="220"/>
      <c r="B2424" s="220"/>
      <c r="C2424" s="220"/>
      <c r="D2424" s="220"/>
      <c r="E2424" s="220"/>
      <c r="F2424" s="220"/>
      <c r="G2424" s="220"/>
      <c r="H2424" s="824"/>
      <c r="I2424" s="824"/>
      <c r="J2424" s="824"/>
      <c r="K2424" s="220"/>
    </row>
    <row r="2425">
      <c r="A2425" s="220"/>
      <c r="B2425" s="220"/>
      <c r="C2425" s="220"/>
      <c r="D2425" s="220"/>
      <c r="E2425" s="220"/>
      <c r="F2425" s="220"/>
      <c r="G2425" s="220"/>
      <c r="H2425" s="824"/>
      <c r="I2425" s="824"/>
      <c r="J2425" s="824"/>
      <c r="K2425" s="220"/>
    </row>
    <row r="2426">
      <c r="A2426" s="220"/>
      <c r="B2426" s="220"/>
      <c r="C2426" s="220"/>
      <c r="D2426" s="220"/>
      <c r="E2426" s="220"/>
      <c r="F2426" s="220"/>
      <c r="G2426" s="220"/>
      <c r="H2426" s="824"/>
      <c r="I2426" s="824"/>
      <c r="J2426" s="824"/>
      <c r="K2426" s="220"/>
    </row>
    <row r="2427">
      <c r="A2427" s="220"/>
      <c r="B2427" s="220"/>
      <c r="C2427" s="220"/>
      <c r="D2427" s="220"/>
      <c r="E2427" s="220"/>
      <c r="F2427" s="220"/>
      <c r="G2427" s="220"/>
      <c r="H2427" s="824"/>
      <c r="I2427" s="824"/>
      <c r="J2427" s="824"/>
      <c r="K2427" s="220"/>
    </row>
    <row r="2428">
      <c r="A2428" s="220"/>
      <c r="B2428" s="220"/>
      <c r="C2428" s="220"/>
      <c r="D2428" s="220"/>
      <c r="E2428" s="220"/>
      <c r="F2428" s="220"/>
      <c r="G2428" s="220"/>
      <c r="H2428" s="824"/>
      <c r="I2428" s="824"/>
      <c r="J2428" s="824"/>
      <c r="K2428" s="220"/>
    </row>
    <row r="2429">
      <c r="A2429" s="220"/>
      <c r="B2429" s="220"/>
      <c r="C2429" s="220"/>
      <c r="D2429" s="220"/>
      <c r="E2429" s="220"/>
      <c r="F2429" s="220"/>
      <c r="G2429" s="220"/>
      <c r="H2429" s="824"/>
      <c r="I2429" s="824"/>
      <c r="J2429" s="824"/>
      <c r="K2429" s="220"/>
    </row>
    <row r="2430">
      <c r="A2430" s="220"/>
      <c r="B2430" s="220"/>
      <c r="C2430" s="220"/>
      <c r="D2430" s="220"/>
      <c r="E2430" s="220"/>
      <c r="F2430" s="220"/>
      <c r="G2430" s="220"/>
      <c r="H2430" s="824"/>
      <c r="I2430" s="824"/>
      <c r="J2430" s="824"/>
      <c r="K2430" s="220"/>
    </row>
    <row r="2431">
      <c r="A2431" s="220"/>
      <c r="B2431" s="220"/>
      <c r="C2431" s="220"/>
      <c r="D2431" s="220"/>
      <c r="E2431" s="220"/>
      <c r="F2431" s="220"/>
      <c r="G2431" s="220"/>
      <c r="H2431" s="824"/>
      <c r="I2431" s="824"/>
      <c r="J2431" s="824"/>
      <c r="K2431" s="220"/>
    </row>
    <row r="2432">
      <c r="A2432" s="220"/>
      <c r="B2432" s="220"/>
      <c r="C2432" s="220"/>
      <c r="D2432" s="220"/>
      <c r="E2432" s="220"/>
      <c r="F2432" s="220"/>
      <c r="G2432" s="220"/>
      <c r="H2432" s="824"/>
      <c r="I2432" s="824"/>
      <c r="J2432" s="824"/>
      <c r="K2432" s="220"/>
    </row>
    <row r="2433">
      <c r="A2433" s="220"/>
      <c r="B2433" s="220"/>
      <c r="C2433" s="220"/>
      <c r="D2433" s="220"/>
      <c r="E2433" s="220"/>
      <c r="F2433" s="220"/>
      <c r="G2433" s="220"/>
      <c r="H2433" s="824"/>
      <c r="I2433" s="824"/>
      <c r="J2433" s="824"/>
      <c r="K2433" s="220"/>
    </row>
    <row r="2434">
      <c r="A2434" s="220"/>
      <c r="B2434" s="220"/>
      <c r="C2434" s="220"/>
      <c r="D2434" s="220"/>
      <c r="E2434" s="220"/>
      <c r="F2434" s="220"/>
      <c r="G2434" s="220"/>
      <c r="H2434" s="824"/>
      <c r="I2434" s="824"/>
      <c r="J2434" s="824"/>
      <c r="K2434" s="220"/>
    </row>
    <row r="2435">
      <c r="A2435" s="220"/>
      <c r="B2435" s="220"/>
      <c r="C2435" s="220"/>
      <c r="D2435" s="220"/>
      <c r="E2435" s="220"/>
      <c r="F2435" s="220"/>
      <c r="G2435" s="220"/>
      <c r="H2435" s="824"/>
      <c r="I2435" s="824"/>
      <c r="J2435" s="824"/>
      <c r="K2435" s="220"/>
    </row>
    <row r="2436">
      <c r="A2436" s="220"/>
      <c r="B2436" s="220"/>
      <c r="C2436" s="220"/>
      <c r="D2436" s="220"/>
      <c r="E2436" s="220"/>
      <c r="F2436" s="220"/>
      <c r="G2436" s="220"/>
      <c r="H2436" s="824"/>
      <c r="I2436" s="824"/>
      <c r="J2436" s="824"/>
      <c r="K2436" s="220"/>
    </row>
    <row r="2437">
      <c r="A2437" s="220"/>
      <c r="B2437" s="220"/>
      <c r="C2437" s="220"/>
      <c r="D2437" s="220"/>
      <c r="E2437" s="220"/>
      <c r="F2437" s="220"/>
      <c r="G2437" s="220"/>
      <c r="H2437" s="824"/>
      <c r="I2437" s="824"/>
      <c r="J2437" s="824"/>
      <c r="K2437" s="220"/>
    </row>
    <row r="2438">
      <c r="A2438" s="220"/>
      <c r="B2438" s="220"/>
      <c r="C2438" s="220"/>
      <c r="D2438" s="220"/>
      <c r="E2438" s="220"/>
      <c r="F2438" s="220"/>
      <c r="G2438" s="220"/>
      <c r="H2438" s="824"/>
      <c r="I2438" s="824"/>
      <c r="J2438" s="824"/>
      <c r="K2438" s="220"/>
    </row>
    <row r="2439">
      <c r="A2439" s="220"/>
      <c r="B2439" s="220"/>
      <c r="C2439" s="220"/>
      <c r="D2439" s="220"/>
      <c r="E2439" s="220"/>
      <c r="F2439" s="220"/>
      <c r="G2439" s="220"/>
      <c r="H2439" s="824"/>
      <c r="I2439" s="824"/>
      <c r="J2439" s="824"/>
      <c r="K2439" s="220"/>
    </row>
    <row r="2440">
      <c r="A2440" s="220"/>
      <c r="B2440" s="220"/>
      <c r="C2440" s="220"/>
      <c r="D2440" s="220"/>
      <c r="E2440" s="220"/>
      <c r="F2440" s="220"/>
      <c r="G2440" s="220"/>
      <c r="H2440" s="824"/>
      <c r="I2440" s="824"/>
      <c r="J2440" s="824"/>
      <c r="K2440" s="220"/>
    </row>
    <row r="2441">
      <c r="A2441" s="220"/>
      <c r="B2441" s="220"/>
      <c r="C2441" s="220"/>
      <c r="D2441" s="220"/>
      <c r="E2441" s="220"/>
      <c r="F2441" s="220"/>
      <c r="G2441" s="220"/>
      <c r="H2441" s="824"/>
      <c r="I2441" s="824"/>
      <c r="J2441" s="824"/>
      <c r="K2441" s="220"/>
    </row>
    <row r="2442">
      <c r="A2442" s="220"/>
      <c r="B2442" s="220"/>
      <c r="C2442" s="220"/>
      <c r="D2442" s="220"/>
      <c r="E2442" s="220"/>
      <c r="F2442" s="220"/>
      <c r="G2442" s="220"/>
      <c r="H2442" s="824"/>
      <c r="I2442" s="824"/>
      <c r="J2442" s="824"/>
      <c r="K2442" s="220"/>
    </row>
    <row r="2443">
      <c r="A2443" s="220"/>
      <c r="B2443" s="220"/>
      <c r="C2443" s="220"/>
      <c r="D2443" s="220"/>
      <c r="E2443" s="220"/>
      <c r="F2443" s="220"/>
      <c r="G2443" s="220"/>
      <c r="H2443" s="824"/>
      <c r="I2443" s="824"/>
      <c r="J2443" s="824"/>
      <c r="K2443" s="220"/>
    </row>
    <row r="2444">
      <c r="A2444" s="220"/>
      <c r="B2444" s="220"/>
      <c r="C2444" s="220"/>
      <c r="D2444" s="220"/>
      <c r="E2444" s="220"/>
      <c r="F2444" s="220"/>
      <c r="G2444" s="220"/>
      <c r="H2444" s="824"/>
      <c r="I2444" s="824"/>
      <c r="J2444" s="824"/>
      <c r="K2444" s="220"/>
    </row>
    <row r="2445">
      <c r="A2445" s="220"/>
      <c r="B2445" s="220"/>
      <c r="C2445" s="220"/>
      <c r="D2445" s="220"/>
      <c r="E2445" s="220"/>
      <c r="F2445" s="220"/>
      <c r="G2445" s="220"/>
      <c r="H2445" s="824"/>
      <c r="I2445" s="824"/>
      <c r="J2445" s="824"/>
      <c r="K2445" s="220"/>
    </row>
    <row r="2446">
      <c r="A2446" s="220"/>
      <c r="B2446" s="220"/>
      <c r="C2446" s="220"/>
      <c r="D2446" s="220"/>
      <c r="E2446" s="220"/>
      <c r="F2446" s="220"/>
      <c r="G2446" s="220"/>
      <c r="H2446" s="824"/>
      <c r="I2446" s="824"/>
      <c r="J2446" s="824"/>
      <c r="K2446" s="220"/>
    </row>
    <row r="2447">
      <c r="A2447" s="220"/>
      <c r="B2447" s="220"/>
      <c r="C2447" s="220"/>
      <c r="D2447" s="220"/>
      <c r="E2447" s="220"/>
      <c r="F2447" s="220"/>
      <c r="G2447" s="220"/>
      <c r="H2447" s="824"/>
      <c r="I2447" s="824"/>
      <c r="J2447" s="824"/>
      <c r="K2447" s="220"/>
    </row>
    <row r="2448">
      <c r="A2448" s="220"/>
      <c r="B2448" s="220"/>
      <c r="C2448" s="220"/>
      <c r="D2448" s="220"/>
      <c r="E2448" s="220"/>
      <c r="F2448" s="220"/>
      <c r="G2448" s="220"/>
      <c r="H2448" s="824"/>
      <c r="I2448" s="824"/>
      <c r="J2448" s="824"/>
      <c r="K2448" s="220"/>
    </row>
    <row r="2449">
      <c r="A2449" s="220"/>
      <c r="B2449" s="220"/>
      <c r="C2449" s="220"/>
      <c r="D2449" s="220"/>
      <c r="E2449" s="220"/>
      <c r="F2449" s="220"/>
      <c r="G2449" s="220"/>
      <c r="H2449" s="824"/>
      <c r="I2449" s="824"/>
      <c r="J2449" s="824"/>
      <c r="K2449" s="220"/>
    </row>
    <row r="2450">
      <c r="A2450" s="220"/>
      <c r="B2450" s="220"/>
      <c r="C2450" s="220"/>
      <c r="D2450" s="220"/>
      <c r="E2450" s="220"/>
      <c r="F2450" s="220"/>
      <c r="G2450" s="220"/>
      <c r="H2450" s="824"/>
      <c r="I2450" s="824"/>
      <c r="J2450" s="824"/>
      <c r="K2450" s="220"/>
    </row>
    <row r="2451">
      <c r="A2451" s="220"/>
      <c r="B2451" s="220"/>
      <c r="C2451" s="220"/>
      <c r="D2451" s="220"/>
      <c r="E2451" s="220"/>
      <c r="F2451" s="220"/>
      <c r="G2451" s="220"/>
      <c r="H2451" s="824"/>
      <c r="I2451" s="824"/>
      <c r="J2451" s="824"/>
      <c r="K2451" s="220"/>
    </row>
    <row r="2452">
      <c r="A2452" s="220"/>
      <c r="B2452" s="220"/>
      <c r="C2452" s="220"/>
      <c r="D2452" s="220"/>
      <c r="E2452" s="220"/>
      <c r="F2452" s="220"/>
      <c r="G2452" s="220"/>
      <c r="H2452" s="824"/>
      <c r="I2452" s="824"/>
      <c r="J2452" s="824"/>
      <c r="K2452" s="220"/>
      <c r="L2452" s="929"/>
      <c r="M2452" s="929"/>
      <c r="N2452" s="929"/>
      <c r="O2452" s="929"/>
      <c r="P2452" s="929"/>
      <c r="Q2452" s="929"/>
      <c r="R2452" s="929"/>
      <c r="S2452" s="929"/>
      <c r="T2452" s="929"/>
      <c r="U2452" s="929"/>
    </row>
    <row r="2453">
      <c r="A2453" s="220"/>
      <c r="B2453" s="220"/>
      <c r="C2453" s="220"/>
      <c r="D2453" s="220"/>
      <c r="E2453" s="220"/>
      <c r="F2453" s="220"/>
      <c r="G2453" s="220"/>
      <c r="H2453" s="824"/>
      <c r="I2453" s="824"/>
      <c r="J2453" s="824"/>
      <c r="K2453" s="220"/>
    </row>
    <row r="2454">
      <c r="A2454" s="220"/>
      <c r="B2454" s="220"/>
      <c r="C2454" s="220"/>
      <c r="D2454" s="220"/>
      <c r="E2454" s="220"/>
      <c r="F2454" s="220"/>
      <c r="G2454" s="220"/>
      <c r="H2454" s="824"/>
      <c r="I2454" s="824"/>
      <c r="J2454" s="824"/>
      <c r="K2454" s="220"/>
    </row>
    <row r="2455">
      <c r="A2455" s="220"/>
      <c r="B2455" s="220"/>
      <c r="C2455" s="220"/>
      <c r="D2455" s="220"/>
      <c r="E2455" s="220"/>
      <c r="F2455" s="220"/>
      <c r="G2455" s="220"/>
      <c r="H2455" s="824"/>
      <c r="I2455" s="824"/>
      <c r="J2455" s="824"/>
      <c r="K2455" s="220"/>
    </row>
    <row r="2456">
      <c r="A2456" s="220"/>
      <c r="B2456" s="220"/>
      <c r="C2456" s="220"/>
      <c r="D2456" s="220"/>
      <c r="E2456" s="220"/>
      <c r="F2456" s="220"/>
      <c r="G2456" s="220"/>
      <c r="H2456" s="824"/>
      <c r="I2456" s="824"/>
      <c r="J2456" s="824"/>
      <c r="K2456" s="220"/>
    </row>
    <row r="2457">
      <c r="A2457" s="220"/>
      <c r="B2457" s="220"/>
      <c r="C2457" s="220"/>
      <c r="D2457" s="220"/>
      <c r="E2457" s="220"/>
      <c r="F2457" s="220"/>
      <c r="G2457" s="220"/>
      <c r="H2457" s="824"/>
      <c r="I2457" s="824"/>
      <c r="J2457" s="824"/>
      <c r="K2457" s="220"/>
    </row>
    <row r="2458">
      <c r="A2458" s="220"/>
      <c r="B2458" s="220"/>
      <c r="C2458" s="220"/>
      <c r="D2458" s="220"/>
      <c r="E2458" s="220"/>
      <c r="F2458" s="220"/>
      <c r="G2458" s="220"/>
      <c r="H2458" s="824"/>
      <c r="I2458" s="824"/>
      <c r="J2458" s="824"/>
      <c r="K2458" s="220"/>
    </row>
    <row r="2459">
      <c r="A2459" s="220"/>
      <c r="B2459" s="220"/>
      <c r="C2459" s="220"/>
      <c r="D2459" s="220"/>
      <c r="E2459" s="220"/>
      <c r="F2459" s="220"/>
      <c r="G2459" s="220"/>
      <c r="H2459" s="824"/>
      <c r="I2459" s="824"/>
      <c r="J2459" s="824"/>
      <c r="K2459" s="220"/>
    </row>
    <row r="2460">
      <c r="A2460" s="220"/>
      <c r="B2460" s="220"/>
      <c r="C2460" s="220"/>
      <c r="D2460" s="220"/>
      <c r="E2460" s="220"/>
      <c r="F2460" s="220"/>
      <c r="G2460" s="220"/>
      <c r="H2460" s="824"/>
      <c r="I2460" s="824"/>
      <c r="J2460" s="824"/>
      <c r="K2460" s="220"/>
    </row>
    <row r="2461">
      <c r="A2461" s="220"/>
      <c r="B2461" s="220"/>
      <c r="C2461" s="220"/>
      <c r="D2461" s="220"/>
      <c r="E2461" s="220"/>
      <c r="F2461" s="220"/>
      <c r="G2461" s="220"/>
      <c r="H2461" s="824"/>
      <c r="I2461" s="824"/>
      <c r="J2461" s="824"/>
      <c r="K2461" s="220"/>
    </row>
    <row r="2462">
      <c r="A2462" s="220"/>
      <c r="B2462" s="220"/>
      <c r="C2462" s="220"/>
      <c r="D2462" s="220"/>
      <c r="E2462" s="220"/>
      <c r="F2462" s="220"/>
      <c r="G2462" s="220"/>
      <c r="H2462" s="824"/>
      <c r="I2462" s="824"/>
      <c r="J2462" s="824"/>
      <c r="K2462" s="220"/>
    </row>
    <row r="2463">
      <c r="A2463" s="220"/>
      <c r="B2463" s="220"/>
      <c r="C2463" s="220"/>
      <c r="D2463" s="220"/>
      <c r="E2463" s="220"/>
      <c r="F2463" s="220"/>
      <c r="G2463" s="220"/>
      <c r="H2463" s="824"/>
      <c r="I2463" s="824"/>
      <c r="J2463" s="824"/>
      <c r="K2463" s="220"/>
    </row>
    <row r="2464">
      <c r="A2464" s="220"/>
      <c r="B2464" s="220"/>
      <c r="C2464" s="220"/>
      <c r="D2464" s="220"/>
      <c r="E2464" s="220"/>
      <c r="F2464" s="220"/>
      <c r="G2464" s="220"/>
      <c r="H2464" s="824"/>
      <c r="I2464" s="824"/>
      <c r="J2464" s="824"/>
      <c r="K2464" s="220"/>
    </row>
    <row r="2465">
      <c r="A2465" s="220"/>
      <c r="B2465" s="220"/>
      <c r="C2465" s="220"/>
      <c r="D2465" s="220"/>
      <c r="E2465" s="220"/>
      <c r="F2465" s="220"/>
      <c r="G2465" s="220"/>
      <c r="H2465" s="824"/>
      <c r="I2465" s="824"/>
      <c r="J2465" s="824"/>
      <c r="K2465" s="220"/>
    </row>
    <row r="2466">
      <c r="A2466" s="220"/>
      <c r="B2466" s="220"/>
      <c r="C2466" s="220"/>
      <c r="D2466" s="220"/>
      <c r="E2466" s="220"/>
      <c r="F2466" s="220"/>
      <c r="G2466" s="220"/>
      <c r="H2466" s="824"/>
      <c r="I2466" s="824"/>
      <c r="J2466" s="824"/>
      <c r="K2466" s="220"/>
    </row>
    <row r="2467">
      <c r="A2467" s="220"/>
      <c r="B2467" s="220"/>
      <c r="C2467" s="220"/>
      <c r="D2467" s="220"/>
      <c r="E2467" s="220"/>
      <c r="F2467" s="220"/>
      <c r="G2467" s="220"/>
      <c r="H2467" s="824"/>
      <c r="I2467" s="824"/>
      <c r="J2467" s="824"/>
      <c r="K2467" s="220"/>
    </row>
    <row r="2468">
      <c r="A2468" s="220"/>
      <c r="B2468" s="220"/>
      <c r="C2468" s="220"/>
      <c r="D2468" s="220"/>
      <c r="E2468" s="220"/>
      <c r="F2468" s="220"/>
      <c r="G2468" s="220"/>
      <c r="H2468" s="824"/>
      <c r="I2468" s="824"/>
      <c r="J2468" s="824"/>
      <c r="K2468" s="220"/>
    </row>
    <row r="2469">
      <c r="A2469" s="220"/>
      <c r="B2469" s="220"/>
      <c r="C2469" s="220"/>
      <c r="D2469" s="220"/>
      <c r="E2469" s="220"/>
      <c r="F2469" s="220"/>
      <c r="G2469" s="220"/>
      <c r="H2469" s="824"/>
      <c r="I2469" s="824"/>
      <c r="J2469" s="824"/>
      <c r="K2469" s="220"/>
    </row>
    <row r="2470">
      <c r="A2470" s="220"/>
      <c r="B2470" s="220"/>
      <c r="C2470" s="220"/>
      <c r="D2470" s="220"/>
      <c r="E2470" s="220"/>
      <c r="F2470" s="220"/>
      <c r="G2470" s="220"/>
      <c r="H2470" s="824"/>
      <c r="I2470" s="824"/>
      <c r="J2470" s="824"/>
      <c r="K2470" s="220"/>
    </row>
    <row r="2471">
      <c r="A2471" s="220"/>
      <c r="B2471" s="220"/>
      <c r="C2471" s="220"/>
      <c r="D2471" s="220"/>
      <c r="E2471" s="220"/>
      <c r="F2471" s="220"/>
      <c r="G2471" s="220"/>
      <c r="H2471" s="824"/>
      <c r="I2471" s="824"/>
      <c r="J2471" s="824"/>
      <c r="K2471" s="220"/>
    </row>
  </sheetData>
  <mergeCells count="7">
    <mergeCell ref="B2:J2"/>
    <mergeCell ref="L2:U2"/>
    <mergeCell ref="W2:AF2"/>
    <mergeCell ref="AH2:AQ2"/>
    <mergeCell ref="AS2:BD2"/>
    <mergeCell ref="BF2:BQ2"/>
    <mergeCell ref="BS2:CD2"/>
  </mergeCells>
  <hyperlinks>
    <hyperlink r:id="rId2" ref="B2"/>
    <hyperlink r:id="rId3" ref="L2"/>
    <hyperlink r:id="rId4" ref="W2"/>
    <hyperlink r:id="rId5" ref="AH2"/>
  </hyperlinks>
  <drawing r:id="rId6"/>
  <legacyDrawing r:id="rId7"/>
  <tableParts count="7">
    <tablePart r:id="rId15"/>
    <tablePart r:id="rId16"/>
    <tablePart r:id="rId17"/>
    <tablePart r:id="rId18"/>
    <tablePart r:id="rId19"/>
    <tablePart r:id="rId20"/>
    <tablePart r:id="rId2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75"/>
  <cols>
    <col customWidth="1" min="1" max="4" width="1.88"/>
    <col customWidth="1" min="5" max="5" width="50.0"/>
    <col customWidth="1" min="6" max="7" width="7.25"/>
    <col customWidth="1" min="8" max="26" width="12.13"/>
    <col customWidth="1" min="27" max="27" width="3.63"/>
  </cols>
  <sheetData>
    <row r="1">
      <c r="A1" s="1"/>
      <c r="B1" s="2"/>
      <c r="C1" s="2"/>
      <c r="D1" s="2"/>
      <c r="E1" s="240"/>
      <c r="F1" s="6"/>
      <c r="G1" s="6"/>
      <c r="H1" s="11"/>
      <c r="I1" s="18" t="s">
        <v>1</v>
      </c>
      <c r="J1" s="17"/>
      <c r="K1" s="17"/>
      <c r="L1" s="17"/>
      <c r="M1" s="17"/>
      <c r="N1" s="17"/>
      <c r="O1" s="17"/>
      <c r="P1" s="17"/>
      <c r="Q1" s="17"/>
      <c r="R1" s="18" t="s">
        <v>1</v>
      </c>
      <c r="S1" s="17"/>
      <c r="T1" s="17"/>
      <c r="U1" s="17"/>
      <c r="V1" s="17"/>
      <c r="W1" s="17"/>
      <c r="X1" s="17"/>
      <c r="Y1" s="17"/>
      <c r="Z1" s="17"/>
      <c r="AA1" s="22"/>
    </row>
    <row r="2">
      <c r="A2" s="21"/>
      <c r="B2" s="23"/>
      <c r="C2" s="23"/>
      <c r="D2" s="23"/>
      <c r="E2" s="248"/>
      <c r="F2" s="26"/>
      <c r="G2" s="26"/>
      <c r="H2" s="30"/>
      <c r="I2" s="28" t="s">
        <v>3</v>
      </c>
      <c r="J2" s="31" t="s">
        <v>4</v>
      </c>
      <c r="K2" s="31" t="s">
        <v>5</v>
      </c>
      <c r="L2" s="31" t="s">
        <v>5</v>
      </c>
      <c r="M2" s="31" t="s">
        <v>5</v>
      </c>
      <c r="N2" s="31" t="s">
        <v>5</v>
      </c>
      <c r="O2" s="31" t="s">
        <v>6</v>
      </c>
      <c r="P2" s="31" t="s">
        <v>7</v>
      </c>
      <c r="Q2" s="31" t="s">
        <v>7</v>
      </c>
      <c r="R2" s="31" t="s">
        <v>7</v>
      </c>
      <c r="S2" s="31" t="s">
        <v>7</v>
      </c>
      <c r="T2" s="31" t="s">
        <v>7</v>
      </c>
      <c r="U2" s="31" t="s">
        <v>7</v>
      </c>
      <c r="V2" s="31" t="s">
        <v>7</v>
      </c>
      <c r="W2" s="31" t="s">
        <v>7</v>
      </c>
      <c r="X2" s="31" t="s">
        <v>7</v>
      </c>
      <c r="Y2" s="31" t="s">
        <v>8</v>
      </c>
      <c r="Z2" s="31" t="s">
        <v>9</v>
      </c>
      <c r="AA2" s="38"/>
    </row>
    <row r="3">
      <c r="A3" s="39"/>
      <c r="B3" s="15"/>
      <c r="C3" s="15"/>
      <c r="D3" s="15"/>
      <c r="E3" s="15"/>
      <c r="F3" s="40" t="s">
        <v>14</v>
      </c>
      <c r="G3" s="40" t="s">
        <v>15</v>
      </c>
      <c r="H3" s="42" t="s">
        <v>16</v>
      </c>
      <c r="I3" s="43"/>
      <c r="J3" s="44"/>
      <c r="K3" s="44" t="s">
        <v>17</v>
      </c>
      <c r="L3" s="44" t="s">
        <v>18</v>
      </c>
      <c r="M3" s="44" t="s">
        <v>19</v>
      </c>
      <c r="N3" s="44" t="s">
        <v>20</v>
      </c>
      <c r="O3" s="44" t="s">
        <v>21</v>
      </c>
      <c r="P3" s="44" t="s">
        <v>22</v>
      </c>
      <c r="Q3" s="44" t="s">
        <v>23</v>
      </c>
      <c r="R3" s="44" t="s">
        <v>24</v>
      </c>
      <c r="S3" s="44" t="s">
        <v>25</v>
      </c>
      <c r="T3" s="44" t="s">
        <v>26</v>
      </c>
      <c r="U3" s="44" t="s">
        <v>27</v>
      </c>
      <c r="V3" s="44" t="s">
        <v>28</v>
      </c>
      <c r="W3" s="44" t="s">
        <v>29</v>
      </c>
      <c r="X3" s="44" t="s">
        <v>30</v>
      </c>
      <c r="Y3" s="44"/>
      <c r="Z3" s="44" t="s">
        <v>32</v>
      </c>
      <c r="AA3" s="47"/>
    </row>
    <row r="4">
      <c r="A4" s="66" t="s">
        <v>45</v>
      </c>
      <c r="B4" s="17"/>
      <c r="C4" s="17"/>
      <c r="D4" s="17"/>
      <c r="E4" s="17"/>
      <c r="F4" s="17"/>
      <c r="G4" s="17"/>
      <c r="H4" s="67"/>
      <c r="I4" s="686"/>
      <c r="J4" s="686"/>
      <c r="K4" s="686"/>
      <c r="L4" s="686"/>
      <c r="M4" s="686"/>
      <c r="N4" s="686"/>
      <c r="O4" s="686"/>
      <c r="P4" s="686"/>
      <c r="Q4" s="686"/>
      <c r="R4" s="686"/>
      <c r="S4" s="686"/>
      <c r="T4" s="686"/>
      <c r="U4" s="686"/>
      <c r="V4" s="686"/>
      <c r="W4" s="686"/>
      <c r="X4" s="686"/>
      <c r="Y4" s="686"/>
      <c r="Z4" s="686"/>
      <c r="AA4" s="687"/>
    </row>
    <row r="5">
      <c r="A5" s="71"/>
      <c r="B5" s="72"/>
      <c r="C5" s="72"/>
      <c r="D5" s="72"/>
      <c r="E5" s="289"/>
      <c r="F5" s="75"/>
      <c r="G5" s="75"/>
      <c r="H5" s="78"/>
      <c r="I5" s="688"/>
      <c r="J5" s="688"/>
      <c r="K5" s="688"/>
      <c r="L5" s="688"/>
      <c r="M5" s="688"/>
      <c r="N5" s="688"/>
      <c r="O5" s="688"/>
      <c r="P5" s="688"/>
      <c r="Q5" s="688"/>
      <c r="R5" s="688"/>
      <c r="S5" s="688"/>
      <c r="T5" s="688"/>
      <c r="U5" s="688"/>
      <c r="V5" s="688"/>
      <c r="W5" s="688"/>
      <c r="X5" s="688"/>
      <c r="Y5" s="688"/>
      <c r="Z5" s="688"/>
      <c r="AA5" s="690"/>
    </row>
    <row r="6">
      <c r="A6" s="71"/>
      <c r="B6" s="72"/>
      <c r="C6" s="82" t="s">
        <v>498</v>
      </c>
      <c r="F6" s="75"/>
      <c r="G6" s="108"/>
      <c r="H6" s="78"/>
      <c r="I6" s="688"/>
      <c r="J6" s="688"/>
      <c r="K6" s="688"/>
      <c r="L6" s="688"/>
      <c r="M6" s="688"/>
      <c r="N6" s="688"/>
      <c r="O6" s="688"/>
      <c r="P6" s="688"/>
      <c r="Q6" s="688"/>
      <c r="R6" s="688"/>
      <c r="S6" s="688"/>
      <c r="T6" s="688"/>
      <c r="U6" s="688"/>
      <c r="V6" s="688"/>
      <c r="W6" s="688"/>
      <c r="X6" s="688"/>
      <c r="Y6" s="688"/>
      <c r="Z6" s="688"/>
      <c r="AA6" s="690"/>
    </row>
    <row r="7">
      <c r="A7" s="71"/>
      <c r="B7" s="72"/>
      <c r="C7" s="72"/>
      <c r="D7" s="72"/>
      <c r="E7" s="340" t="s">
        <v>52</v>
      </c>
      <c r="F7" s="96" t="s">
        <v>95</v>
      </c>
      <c r="G7" s="691" t="s">
        <v>110</v>
      </c>
      <c r="H7" s="102" t="s">
        <v>124</v>
      </c>
      <c r="I7" s="103">
        <v>1000000.0</v>
      </c>
      <c r="J7" s="103">
        <v>1000000.0</v>
      </c>
      <c r="K7" s="103">
        <v>1000000.0</v>
      </c>
      <c r="L7" s="103">
        <v>1000000.0</v>
      </c>
      <c r="M7" s="103">
        <v>1000000.0</v>
      </c>
      <c r="N7" s="103">
        <v>1000000.0</v>
      </c>
      <c r="O7" s="103">
        <v>1000000.0</v>
      </c>
      <c r="P7" s="103">
        <v>1000000.0</v>
      </c>
      <c r="Q7" s="103">
        <v>1000000.0</v>
      </c>
      <c r="R7" s="103">
        <v>1000000.0</v>
      </c>
      <c r="S7" s="103">
        <v>1000000.0</v>
      </c>
      <c r="T7" s="103">
        <v>1000000.0</v>
      </c>
      <c r="U7" s="103">
        <v>1000000.0</v>
      </c>
      <c r="V7" s="103">
        <v>1000000.0</v>
      </c>
      <c r="W7" s="103">
        <v>1000000.0</v>
      </c>
      <c r="X7" s="103">
        <v>1000000.0</v>
      </c>
      <c r="Y7" s="103">
        <v>1000000.0</v>
      </c>
      <c r="Z7" s="103">
        <v>1000000.0</v>
      </c>
      <c r="AA7" s="692"/>
    </row>
    <row r="8">
      <c r="A8" s="71"/>
      <c r="B8" s="72"/>
      <c r="C8" s="107"/>
      <c r="D8" s="72"/>
      <c r="E8" s="599"/>
      <c r="F8" s="120"/>
      <c r="G8" s="120"/>
      <c r="H8" s="380"/>
      <c r="I8" s="383"/>
      <c r="J8" s="383"/>
      <c r="K8" s="383"/>
      <c r="L8" s="383"/>
      <c r="M8" s="383"/>
      <c r="N8" s="383"/>
      <c r="O8" s="383"/>
      <c r="P8" s="383"/>
      <c r="Q8" s="383"/>
      <c r="R8" s="383"/>
      <c r="S8" s="383"/>
      <c r="T8" s="383"/>
      <c r="U8" s="383"/>
      <c r="V8" s="383"/>
      <c r="W8" s="383"/>
      <c r="X8" s="383"/>
      <c r="Y8" s="383"/>
      <c r="Z8" s="383"/>
      <c r="AA8" s="690"/>
    </row>
    <row r="9">
      <c r="A9" s="71"/>
      <c r="B9" s="72"/>
      <c r="C9" s="107" t="s">
        <v>504</v>
      </c>
      <c r="F9" s="120"/>
      <c r="G9" s="120"/>
      <c r="H9" s="380"/>
      <c r="I9" s="383"/>
      <c r="J9" s="383"/>
      <c r="K9" s="383"/>
      <c r="L9" s="383"/>
      <c r="M9" s="383"/>
      <c r="N9" s="383"/>
      <c r="O9" s="383"/>
      <c r="P9" s="383"/>
      <c r="Q9" s="383"/>
      <c r="R9" s="383"/>
      <c r="S9" s="383"/>
      <c r="T9" s="383"/>
      <c r="U9" s="383"/>
      <c r="V9" s="383"/>
      <c r="W9" s="383"/>
      <c r="X9" s="383"/>
      <c r="Y9" s="383"/>
      <c r="Z9" s="383"/>
      <c r="AA9" s="690"/>
    </row>
    <row r="10">
      <c r="A10" s="71"/>
      <c r="B10" s="72"/>
      <c r="C10" s="107"/>
      <c r="D10" s="72"/>
      <c r="E10" s="334" t="s">
        <v>506</v>
      </c>
      <c r="F10" s="115" t="s">
        <v>95</v>
      </c>
      <c r="G10" s="115" t="s">
        <v>110</v>
      </c>
      <c r="H10" s="191" t="s">
        <v>124</v>
      </c>
      <c r="I10" s="232">
        <f>'Main CEA'!I31</f>
        <v>5.688830152</v>
      </c>
      <c r="J10" s="693">
        <f>'Main CEA'!J31</f>
        <v>6.475448975</v>
      </c>
      <c r="K10" s="693">
        <f>'Main CEA'!K31</f>
        <v>6.475448975</v>
      </c>
      <c r="L10" s="693">
        <f>'Main CEA'!L31</f>
        <v>6.475448975</v>
      </c>
      <c r="M10" s="693">
        <f>'Main CEA'!M31</f>
        <v>6.475448975</v>
      </c>
      <c r="N10" s="693">
        <f>'Main CEA'!N31</f>
        <v>6.475448975</v>
      </c>
      <c r="O10" s="693">
        <f>'Main CEA'!O31</f>
        <v>6.475448975</v>
      </c>
      <c r="P10" s="693">
        <f>'Main CEA'!P31</f>
        <v>5.042736685</v>
      </c>
      <c r="Q10" s="693">
        <f>'Main CEA'!Q31</f>
        <v>5.042736685</v>
      </c>
      <c r="R10" s="693">
        <f>'Main CEA'!R31</f>
        <v>6.303420857</v>
      </c>
      <c r="S10" s="693">
        <f>'Main CEA'!S31</f>
        <v>5.042736685</v>
      </c>
      <c r="T10" s="693">
        <f>'Main CEA'!T31</f>
        <v>6.303420857</v>
      </c>
      <c r="U10" s="693">
        <f>'Main CEA'!U31</f>
        <v>6.303420857</v>
      </c>
      <c r="V10" s="693">
        <f>'Main CEA'!V31</f>
        <v>6.303420857</v>
      </c>
      <c r="W10" s="693">
        <f>'Main CEA'!W31</f>
        <v>6.303420857</v>
      </c>
      <c r="X10" s="693">
        <f>'Main CEA'!X31</f>
        <v>5.042736685</v>
      </c>
      <c r="Y10" s="693">
        <f>'Main CEA'!Y31</f>
        <v>5.373569829</v>
      </c>
      <c r="Z10" s="693">
        <f>'Main CEA'!Z31</f>
        <v>8.094311219</v>
      </c>
      <c r="AA10" s="697"/>
    </row>
    <row r="11">
      <c r="A11" s="71"/>
      <c r="B11" s="72"/>
      <c r="C11" s="107"/>
      <c r="D11" s="72"/>
      <c r="E11" s="508" t="s">
        <v>513</v>
      </c>
      <c r="F11" s="139" t="s">
        <v>88</v>
      </c>
      <c r="G11" s="139" t="s">
        <v>112</v>
      </c>
      <c r="H11" s="233" t="s">
        <v>124</v>
      </c>
      <c r="I11" s="145">
        <f t="shared" ref="I11:Z11" si="1">I7/I10</f>
        <v>175783.0649</v>
      </c>
      <c r="J11" s="145">
        <f t="shared" si="1"/>
        <v>154429.4463</v>
      </c>
      <c r="K11" s="145">
        <f t="shared" si="1"/>
        <v>154429.4463</v>
      </c>
      <c r="L11" s="145">
        <f t="shared" si="1"/>
        <v>154429.4463</v>
      </c>
      <c r="M11" s="145">
        <f t="shared" si="1"/>
        <v>154429.4463</v>
      </c>
      <c r="N11" s="145">
        <f t="shared" si="1"/>
        <v>154429.4463</v>
      </c>
      <c r="O11" s="145">
        <f t="shared" si="1"/>
        <v>154429.4463</v>
      </c>
      <c r="P11" s="145">
        <f t="shared" si="1"/>
        <v>198305.0202</v>
      </c>
      <c r="Q11" s="145">
        <f t="shared" si="1"/>
        <v>198305.0202</v>
      </c>
      <c r="R11" s="145">
        <f t="shared" si="1"/>
        <v>158644.0161</v>
      </c>
      <c r="S11" s="145">
        <f t="shared" si="1"/>
        <v>198305.0202</v>
      </c>
      <c r="T11" s="145">
        <f t="shared" si="1"/>
        <v>158644.0161</v>
      </c>
      <c r="U11" s="145">
        <f t="shared" si="1"/>
        <v>158644.0161</v>
      </c>
      <c r="V11" s="145">
        <f t="shared" si="1"/>
        <v>158644.0161</v>
      </c>
      <c r="W11" s="145">
        <f t="shared" si="1"/>
        <v>158644.0161</v>
      </c>
      <c r="X11" s="145">
        <f t="shared" si="1"/>
        <v>198305.0202</v>
      </c>
      <c r="Y11" s="145">
        <f t="shared" si="1"/>
        <v>186096.0277</v>
      </c>
      <c r="Z11" s="145">
        <f t="shared" si="1"/>
        <v>123543.5571</v>
      </c>
      <c r="AA11" s="703"/>
    </row>
    <row r="12">
      <c r="A12" s="71"/>
      <c r="B12" s="72"/>
      <c r="C12" s="107"/>
      <c r="D12" s="72"/>
      <c r="E12" s="508" t="s">
        <v>517</v>
      </c>
      <c r="F12" s="139" t="s">
        <v>99</v>
      </c>
      <c r="G12" s="139" t="s">
        <v>110</v>
      </c>
      <c r="H12" s="233" t="s">
        <v>124</v>
      </c>
      <c r="I12" s="337">
        <v>0.0</v>
      </c>
      <c r="J12" s="337">
        <v>0.0</v>
      </c>
      <c r="K12" s="337">
        <v>0.0</v>
      </c>
      <c r="L12" s="337">
        <v>0.0</v>
      </c>
      <c r="M12" s="337">
        <v>0.0</v>
      </c>
      <c r="N12" s="337">
        <v>0.0</v>
      </c>
      <c r="O12" s="337">
        <v>0.0</v>
      </c>
      <c r="P12" s="337">
        <v>0.0</v>
      </c>
      <c r="Q12" s="337">
        <v>0.0</v>
      </c>
      <c r="R12" s="337">
        <v>0.0</v>
      </c>
      <c r="S12" s="337">
        <v>0.0</v>
      </c>
      <c r="T12" s="337">
        <v>0.0</v>
      </c>
      <c r="U12" s="337">
        <v>0.0</v>
      </c>
      <c r="V12" s="337">
        <v>0.0</v>
      </c>
      <c r="W12" s="337">
        <v>0.0</v>
      </c>
      <c r="X12" s="337">
        <v>0.0</v>
      </c>
      <c r="Y12" s="337">
        <v>0.0</v>
      </c>
      <c r="Z12" s="337">
        <v>0.0</v>
      </c>
      <c r="AA12" s="703"/>
    </row>
    <row r="13">
      <c r="A13" s="71"/>
      <c r="B13" s="72"/>
      <c r="C13" s="107"/>
      <c r="D13" s="72"/>
      <c r="E13" s="508" t="s">
        <v>519</v>
      </c>
      <c r="F13" s="139" t="s">
        <v>88</v>
      </c>
      <c r="G13" s="139" t="s">
        <v>112</v>
      </c>
      <c r="H13" s="233" t="s">
        <v>124</v>
      </c>
      <c r="I13" s="230">
        <f t="shared" ref="I13:Z13" si="2">I11*(1-I12)</f>
        <v>175783.0649</v>
      </c>
      <c r="J13" s="230">
        <f t="shared" si="2"/>
        <v>154429.4463</v>
      </c>
      <c r="K13" s="230">
        <f t="shared" si="2"/>
        <v>154429.4463</v>
      </c>
      <c r="L13" s="230">
        <f t="shared" si="2"/>
        <v>154429.4463</v>
      </c>
      <c r="M13" s="230">
        <f t="shared" si="2"/>
        <v>154429.4463</v>
      </c>
      <c r="N13" s="230">
        <f t="shared" si="2"/>
        <v>154429.4463</v>
      </c>
      <c r="O13" s="230">
        <f t="shared" si="2"/>
        <v>154429.4463</v>
      </c>
      <c r="P13" s="230">
        <f t="shared" si="2"/>
        <v>198305.0202</v>
      </c>
      <c r="Q13" s="230">
        <f t="shared" si="2"/>
        <v>198305.0202</v>
      </c>
      <c r="R13" s="230">
        <f t="shared" si="2"/>
        <v>158644.0161</v>
      </c>
      <c r="S13" s="230">
        <f t="shared" si="2"/>
        <v>198305.0202</v>
      </c>
      <c r="T13" s="230">
        <f t="shared" si="2"/>
        <v>158644.0161</v>
      </c>
      <c r="U13" s="230">
        <f t="shared" si="2"/>
        <v>158644.0161</v>
      </c>
      <c r="V13" s="230">
        <f t="shared" si="2"/>
        <v>158644.0161</v>
      </c>
      <c r="W13" s="230">
        <f t="shared" si="2"/>
        <v>158644.0161</v>
      </c>
      <c r="X13" s="230">
        <f t="shared" si="2"/>
        <v>198305.0202</v>
      </c>
      <c r="Y13" s="230">
        <f t="shared" si="2"/>
        <v>186096.0277</v>
      </c>
      <c r="Z13" s="230">
        <f t="shared" si="2"/>
        <v>123543.5571</v>
      </c>
      <c r="AA13" s="703"/>
    </row>
    <row r="14">
      <c r="A14" s="71"/>
      <c r="B14" s="72"/>
      <c r="C14" s="107"/>
      <c r="D14" s="72"/>
      <c r="E14" s="508" t="s">
        <v>523</v>
      </c>
      <c r="F14" s="139" t="s">
        <v>99</v>
      </c>
      <c r="G14" s="139" t="s">
        <v>110</v>
      </c>
      <c r="H14" s="233" t="s">
        <v>124</v>
      </c>
      <c r="I14" s="329">
        <f>'Main CEA'!I52</f>
        <v>0.006730294518</v>
      </c>
      <c r="J14" s="329">
        <f>'Main CEA'!J52</f>
        <v>0.002245654081</v>
      </c>
      <c r="K14" s="329">
        <f>'Main CEA'!K52</f>
        <v>0.003219623787</v>
      </c>
      <c r="L14" s="329">
        <f>'Main CEA'!L52</f>
        <v>0.003811876904</v>
      </c>
      <c r="M14" s="329">
        <f>'Main CEA'!M52</f>
        <v>0.003785542753</v>
      </c>
      <c r="N14" s="329">
        <f>'Main CEA'!N52</f>
        <v>0.005692047779</v>
      </c>
      <c r="O14" s="329">
        <f>'Main CEA'!O52</f>
        <v>0.00485782338</v>
      </c>
      <c r="P14" s="329">
        <f>'Main CEA'!P52</f>
        <v>0.004261027438</v>
      </c>
      <c r="Q14" s="329">
        <f>'Main CEA'!Q52</f>
        <v>0.002874568801</v>
      </c>
      <c r="R14" s="329">
        <f>'Main CEA'!R52</f>
        <v>0.003042403195</v>
      </c>
      <c r="S14" s="329">
        <f>'Main CEA'!S52</f>
        <v>0.005477765772</v>
      </c>
      <c r="T14" s="329">
        <f>'Main CEA'!T52</f>
        <v>0.003703092873</v>
      </c>
      <c r="U14" s="329">
        <f>'Main CEA'!U52</f>
        <v>0.004754051306</v>
      </c>
      <c r="V14" s="329">
        <f>'Main CEA'!V52</f>
        <v>0.00390283285</v>
      </c>
      <c r="W14" s="329">
        <f>'Main CEA'!W52</f>
        <v>0.003299604583</v>
      </c>
      <c r="X14" s="329">
        <f>'Main CEA'!X52</f>
        <v>0.006010187767</v>
      </c>
      <c r="Y14" s="329">
        <f>'Main CEA'!Y52</f>
        <v>0.002798551529</v>
      </c>
      <c r="Z14" s="329">
        <f>'Main CEA'!Z52</f>
        <v>0.005405976778</v>
      </c>
      <c r="AA14" s="703"/>
    </row>
    <row r="15">
      <c r="A15" s="71"/>
      <c r="B15" s="72"/>
      <c r="C15" s="107"/>
      <c r="D15" s="72"/>
      <c r="E15" s="508" t="s">
        <v>527</v>
      </c>
      <c r="F15" s="139" t="s">
        <v>99</v>
      </c>
      <c r="G15" s="139" t="s">
        <v>110</v>
      </c>
      <c r="H15" s="233" t="s">
        <v>124</v>
      </c>
      <c r="I15" s="150">
        <f>'Main CEA'!I54</f>
        <v>0.7</v>
      </c>
      <c r="J15" s="150">
        <f>'Main CEA'!J54</f>
        <v>0.7</v>
      </c>
      <c r="K15" s="150">
        <f>'Main CEA'!K54</f>
        <v>0.515</v>
      </c>
      <c r="L15" s="150">
        <f>'Main CEA'!L54</f>
        <v>0.515</v>
      </c>
      <c r="M15" s="150">
        <f>'Main CEA'!M54</f>
        <v>0.515</v>
      </c>
      <c r="N15" s="150">
        <f>'Main CEA'!N54</f>
        <v>0.515</v>
      </c>
      <c r="O15" s="150">
        <f>'Main CEA'!O54</f>
        <v>0.515</v>
      </c>
      <c r="P15" s="150">
        <f>'Main CEA'!P54</f>
        <v>0.7</v>
      </c>
      <c r="Q15" s="150">
        <f>'Main CEA'!Q54</f>
        <v>0.7</v>
      </c>
      <c r="R15" s="150">
        <f>'Main CEA'!R54</f>
        <v>0.7</v>
      </c>
      <c r="S15" s="150">
        <f>'Main CEA'!S54</f>
        <v>0.7</v>
      </c>
      <c r="T15" s="150">
        <f>'Main CEA'!T54</f>
        <v>0.7</v>
      </c>
      <c r="U15" s="150">
        <f>'Main CEA'!U54</f>
        <v>0.7</v>
      </c>
      <c r="V15" s="150">
        <f>'Main CEA'!V54</f>
        <v>0.7</v>
      </c>
      <c r="W15" s="150">
        <f>'Main CEA'!W54</f>
        <v>0.7</v>
      </c>
      <c r="X15" s="150">
        <f>'Main CEA'!X54</f>
        <v>0.7</v>
      </c>
      <c r="Y15" s="150">
        <f>'Main CEA'!Y54</f>
        <v>0.7</v>
      </c>
      <c r="Z15" s="150">
        <f>'Main CEA'!Z54</f>
        <v>0.62</v>
      </c>
      <c r="AA15" s="703"/>
    </row>
    <row r="16">
      <c r="A16" s="71"/>
      <c r="B16" s="72"/>
      <c r="C16" s="107"/>
      <c r="D16" s="72"/>
      <c r="E16" s="508" t="s">
        <v>530</v>
      </c>
      <c r="F16" s="139" t="s">
        <v>99</v>
      </c>
      <c r="G16" s="139" t="s">
        <v>110</v>
      </c>
      <c r="H16" s="233" t="s">
        <v>124</v>
      </c>
      <c r="I16" s="150">
        <f>'Main CEA'!I49</f>
        <v>0.7936949983</v>
      </c>
      <c r="J16" s="150">
        <f>'Main CEA'!J49</f>
        <v>0.7936949983</v>
      </c>
      <c r="K16" s="150">
        <f>'Main CEA'!K49</f>
        <v>0.638457146</v>
      </c>
      <c r="L16" s="150">
        <f>'Main CEA'!L49</f>
        <v>0.638457146</v>
      </c>
      <c r="M16" s="150">
        <f>'Main CEA'!M49</f>
        <v>0.638457146</v>
      </c>
      <c r="N16" s="150">
        <f>'Main CEA'!N49</f>
        <v>0.638457146</v>
      </c>
      <c r="O16" s="150">
        <f>'Main CEA'!O49</f>
        <v>0.638457146</v>
      </c>
      <c r="P16" s="150">
        <f>'Main CEA'!P49</f>
        <v>0.7936949983</v>
      </c>
      <c r="Q16" s="150">
        <f>'Main CEA'!Q49</f>
        <v>0.7936949983</v>
      </c>
      <c r="R16" s="150">
        <f>'Main CEA'!R49</f>
        <v>0.7936949983</v>
      </c>
      <c r="S16" s="150">
        <f>'Main CEA'!S49</f>
        <v>0.7936949983</v>
      </c>
      <c r="T16" s="150">
        <f>'Main CEA'!T49</f>
        <v>0.7936949983</v>
      </c>
      <c r="U16" s="150">
        <f>'Main CEA'!U49</f>
        <v>0.7936949983</v>
      </c>
      <c r="V16" s="150">
        <f>'Main CEA'!V49</f>
        <v>0.7936949983</v>
      </c>
      <c r="W16" s="150">
        <f>'Main CEA'!W49</f>
        <v>0.7936949983</v>
      </c>
      <c r="X16" s="150">
        <f>'Main CEA'!X49</f>
        <v>0.7936949983</v>
      </c>
      <c r="Y16" s="150">
        <f>'Main CEA'!Y49</f>
        <v>0.7936949983</v>
      </c>
      <c r="Z16" s="150">
        <f>'Main CEA'!Z49</f>
        <v>0.638457146</v>
      </c>
      <c r="AA16" s="703"/>
    </row>
    <row r="17">
      <c r="A17" s="71"/>
      <c r="B17" s="72"/>
      <c r="C17" s="107"/>
      <c r="D17" s="72"/>
      <c r="E17" s="429" t="s">
        <v>532</v>
      </c>
      <c r="F17" s="204" t="s">
        <v>88</v>
      </c>
      <c r="G17" s="204" t="s">
        <v>112</v>
      </c>
      <c r="H17" s="242" t="s">
        <v>124</v>
      </c>
      <c r="I17" s="182">
        <f t="shared" ref="I17:Z17" si="3">I11*I14*I15*I16</f>
        <v>657.2987183</v>
      </c>
      <c r="J17" s="182">
        <f t="shared" si="3"/>
        <v>192.6746845</v>
      </c>
      <c r="K17" s="182">
        <f t="shared" si="3"/>
        <v>163.4836115</v>
      </c>
      <c r="L17" s="182">
        <f t="shared" si="3"/>
        <v>193.5565905</v>
      </c>
      <c r="M17" s="182">
        <f t="shared" si="3"/>
        <v>192.2194149</v>
      </c>
      <c r="N17" s="182">
        <f t="shared" si="3"/>
        <v>289.0264792</v>
      </c>
      <c r="O17" s="182">
        <f t="shared" si="3"/>
        <v>246.6668663</v>
      </c>
      <c r="P17" s="182">
        <f t="shared" si="3"/>
        <v>469.4612198</v>
      </c>
      <c r="Q17" s="182">
        <f t="shared" si="3"/>
        <v>316.7073189</v>
      </c>
      <c r="R17" s="182">
        <f t="shared" si="3"/>
        <v>268.1588581</v>
      </c>
      <c r="S17" s="182">
        <f t="shared" si="3"/>
        <v>603.516086</v>
      </c>
      <c r="T17" s="182">
        <f t="shared" si="3"/>
        <v>326.3923592</v>
      </c>
      <c r="U17" s="182">
        <f t="shared" si="3"/>
        <v>419.0243331</v>
      </c>
      <c r="V17" s="182">
        <f t="shared" si="3"/>
        <v>343.9975353</v>
      </c>
      <c r="W17" s="182">
        <f t="shared" si="3"/>
        <v>290.8287103</v>
      </c>
      <c r="X17" s="182">
        <f t="shared" si="3"/>
        <v>662.1759943</v>
      </c>
      <c r="Y17" s="182">
        <f t="shared" si="3"/>
        <v>289.3490724</v>
      </c>
      <c r="Z17" s="182">
        <f t="shared" si="3"/>
        <v>264.3733772</v>
      </c>
      <c r="AA17" s="712"/>
    </row>
    <row r="18">
      <c r="A18" s="71"/>
      <c r="B18" s="72"/>
      <c r="C18" s="107"/>
      <c r="D18" s="72"/>
      <c r="E18" s="599"/>
      <c r="F18" s="120"/>
      <c r="G18" s="120"/>
      <c r="H18" s="380"/>
      <c r="I18" s="85"/>
      <c r="J18" s="85"/>
      <c r="K18" s="85"/>
      <c r="L18" s="85"/>
      <c r="M18" s="85"/>
      <c r="N18" s="85"/>
      <c r="O18" s="85"/>
      <c r="P18" s="85"/>
      <c r="Q18" s="85"/>
      <c r="R18" s="85"/>
      <c r="S18" s="85"/>
      <c r="T18" s="85"/>
      <c r="U18" s="85"/>
      <c r="V18" s="85"/>
      <c r="W18" s="85"/>
      <c r="X18" s="85"/>
      <c r="Y18" s="85"/>
      <c r="Z18" s="85"/>
      <c r="AA18" s="690"/>
    </row>
    <row r="19">
      <c r="A19" s="71"/>
      <c r="B19" s="72"/>
      <c r="C19" s="107" t="s">
        <v>533</v>
      </c>
      <c r="F19" s="120"/>
      <c r="G19" s="120"/>
      <c r="H19" s="380"/>
      <c r="I19" s="85"/>
      <c r="J19" s="85"/>
      <c r="K19" s="85"/>
      <c r="L19" s="85"/>
      <c r="M19" s="85"/>
      <c r="N19" s="85"/>
      <c r="O19" s="85"/>
      <c r="P19" s="85"/>
      <c r="Q19" s="85"/>
      <c r="R19" s="85"/>
      <c r="S19" s="85"/>
      <c r="T19" s="85"/>
      <c r="U19" s="85"/>
      <c r="V19" s="85"/>
      <c r="W19" s="85"/>
      <c r="X19" s="85"/>
      <c r="Y19" s="85"/>
      <c r="Z19" s="85"/>
      <c r="AA19" s="690"/>
    </row>
    <row r="20">
      <c r="A20" s="71"/>
      <c r="B20" s="72"/>
      <c r="C20" s="107"/>
      <c r="D20" s="72"/>
      <c r="E20" s="334" t="s">
        <v>534</v>
      </c>
      <c r="F20" s="115" t="s">
        <v>95</v>
      </c>
      <c r="G20" s="115" t="s">
        <v>112</v>
      </c>
      <c r="H20" s="191" t="s">
        <v>124</v>
      </c>
      <c r="I20" s="457">
        <f t="shared" ref="I20:Z20" si="4">I7/I17</f>
        <v>1521.37829</v>
      </c>
      <c r="J20" s="457">
        <f t="shared" si="4"/>
        <v>5190.095432</v>
      </c>
      <c r="K20" s="457">
        <f t="shared" si="4"/>
        <v>6116.821075</v>
      </c>
      <c r="L20" s="457">
        <f t="shared" si="4"/>
        <v>5166.447691</v>
      </c>
      <c r="M20" s="457">
        <f t="shared" si="4"/>
        <v>5202.388116</v>
      </c>
      <c r="N20" s="457">
        <f t="shared" si="4"/>
        <v>3459.890605</v>
      </c>
      <c r="O20" s="457">
        <f t="shared" si="4"/>
        <v>4054.050774</v>
      </c>
      <c r="P20" s="457">
        <f t="shared" si="4"/>
        <v>2130.101397</v>
      </c>
      <c r="Q20" s="457">
        <f t="shared" si="4"/>
        <v>3157.489392</v>
      </c>
      <c r="R20" s="457">
        <f t="shared" si="4"/>
        <v>3729.132825</v>
      </c>
      <c r="S20" s="457">
        <f t="shared" si="4"/>
        <v>1656.956663</v>
      </c>
      <c r="T20" s="457">
        <f t="shared" si="4"/>
        <v>3063.797212</v>
      </c>
      <c r="U20" s="457">
        <f t="shared" si="4"/>
        <v>2386.496251</v>
      </c>
      <c r="V20" s="457">
        <f t="shared" si="4"/>
        <v>2906.997572</v>
      </c>
      <c r="W20" s="457">
        <f t="shared" si="4"/>
        <v>3438.450073</v>
      </c>
      <c r="X20" s="457">
        <f t="shared" si="4"/>
        <v>1510.172535</v>
      </c>
      <c r="Y20" s="457">
        <f t="shared" si="4"/>
        <v>3456.033198</v>
      </c>
      <c r="Z20" s="457">
        <f t="shared" si="4"/>
        <v>3782.529128</v>
      </c>
      <c r="AA20" s="697"/>
    </row>
    <row r="21">
      <c r="A21" s="71"/>
      <c r="B21" s="72"/>
      <c r="C21" s="107"/>
      <c r="D21" s="72"/>
      <c r="E21" s="508" t="s">
        <v>535</v>
      </c>
      <c r="F21" s="139" t="s">
        <v>103</v>
      </c>
      <c r="G21" s="139" t="s">
        <v>110</v>
      </c>
      <c r="H21" s="141">
        <f>'Main CEA'!H$100</f>
        <v>116.25262</v>
      </c>
      <c r="I21" s="327" t="str">
        <f>'Main CEA'!I$100</f>
        <v>-</v>
      </c>
      <c r="J21" s="327" t="str">
        <f>'Main CEA'!J$100</f>
        <v>-</v>
      </c>
      <c r="K21" s="327" t="str">
        <f>'Main CEA'!K$100</f>
        <v>-</v>
      </c>
      <c r="L21" s="327" t="str">
        <f>'Main CEA'!L$100</f>
        <v>-</v>
      </c>
      <c r="M21" s="327" t="str">
        <f>'Main CEA'!M$100</f>
        <v>-</v>
      </c>
      <c r="N21" s="327" t="str">
        <f>'Main CEA'!N$100</f>
        <v>-</v>
      </c>
      <c r="O21" s="327" t="str">
        <f>'Main CEA'!O$100</f>
        <v>-</v>
      </c>
      <c r="P21" s="327" t="str">
        <f>'Main CEA'!P$100</f>
        <v>-</v>
      </c>
      <c r="Q21" s="327" t="str">
        <f>'Main CEA'!Q$100</f>
        <v>-</v>
      </c>
      <c r="R21" s="327" t="str">
        <f>'Main CEA'!R$100</f>
        <v>-</v>
      </c>
      <c r="S21" s="327" t="str">
        <f>'Main CEA'!S$100</f>
        <v>-</v>
      </c>
      <c r="T21" s="327" t="str">
        <f>'Main CEA'!T$100</f>
        <v>-</v>
      </c>
      <c r="U21" s="327" t="str">
        <f>'Main CEA'!U$100</f>
        <v>-</v>
      </c>
      <c r="V21" s="327" t="str">
        <f>'Main CEA'!V$100</f>
        <v>-</v>
      </c>
      <c r="W21" s="327" t="str">
        <f>'Main CEA'!W$100</f>
        <v>-</v>
      </c>
      <c r="X21" s="327" t="str">
        <f>'Main CEA'!X$100</f>
        <v>-</v>
      </c>
      <c r="Y21" s="327" t="str">
        <f>'Main CEA'!Y$100</f>
        <v>-</v>
      </c>
      <c r="Z21" s="327" t="str">
        <f>'Main CEA'!Z$100</f>
        <v>-</v>
      </c>
      <c r="AA21" s="703"/>
    </row>
    <row r="22">
      <c r="A22" s="71"/>
      <c r="B22" s="72"/>
      <c r="C22" s="107"/>
      <c r="D22" s="72"/>
      <c r="E22" s="724" t="s">
        <v>537</v>
      </c>
      <c r="F22" s="725" t="s">
        <v>105</v>
      </c>
      <c r="G22" s="726" t="s">
        <v>112</v>
      </c>
      <c r="H22" s="727" t="s">
        <v>124</v>
      </c>
      <c r="I22" s="728">
        <f>((I17*$H21)/I7)/'Main CEA'!$H$133</f>
        <v>22.94675619</v>
      </c>
      <c r="J22" s="728">
        <f>((J17*$H21)/J7)/'Main CEA'!$H$133</f>
        <v>6.726407472</v>
      </c>
      <c r="K22" s="728">
        <f>((K17*$H21)/K7)/'Main CEA'!$H$133</f>
        <v>5.707326775</v>
      </c>
      <c r="L22" s="728">
        <f>((L17*$H21)/L7)/'Main CEA'!$H$133</f>
        <v>6.757195424</v>
      </c>
      <c r="M22" s="728">
        <f>((M17*$H21)/M7)/'Main CEA'!$H$133</f>
        <v>6.710513694</v>
      </c>
      <c r="N22" s="728">
        <f>((N17*$H21)/N7)/'Main CEA'!$H$133</f>
        <v>10.09011575</v>
      </c>
      <c r="O22" s="728">
        <f>((O17*$H21)/O7)/'Main CEA'!$H$133</f>
        <v>8.611312153</v>
      </c>
      <c r="P22" s="728">
        <f>((P17*$H21)/P7)/'Main CEA'!$H$133</f>
        <v>16.38921826</v>
      </c>
      <c r="Q22" s="728">
        <f>((Q17*$H21)/Q7)/'Main CEA'!$H$133</f>
        <v>11.05647315</v>
      </c>
      <c r="R22" s="728">
        <f>((R17*$H21)/R7)/'Main CEA'!$H$133</f>
        <v>9.361612562</v>
      </c>
      <c r="S22" s="728">
        <f>((S17*$H21)/S7)/'Main CEA'!$H$133</f>
        <v>21.06916703</v>
      </c>
      <c r="T22" s="728">
        <f>((T17*$H21)/T7)/'Main CEA'!$H$133</f>
        <v>11.39458466</v>
      </c>
      <c r="U22" s="728">
        <f>((U17*$H21)/U7)/'Main CEA'!$H$133</f>
        <v>14.6284314</v>
      </c>
      <c r="V22" s="728">
        <f>((V17*$H21)/V7)/'Main CEA'!$H$133</f>
        <v>12.00919362</v>
      </c>
      <c r="W22" s="728">
        <f>((W17*$H21)/W7)/'Main CEA'!$H$133</f>
        <v>10.1530329</v>
      </c>
      <c r="X22" s="728">
        <f>((X17*$H21)/X7)/'Main CEA'!$H$133</f>
        <v>23.1170253</v>
      </c>
      <c r="Y22" s="728">
        <f>((Y17*$H21)/Y7)/'Main CEA'!$H$133</f>
        <v>10.10137771</v>
      </c>
      <c r="Z22" s="728">
        <f>((Z17*$H21)/Z7)/'Main CEA'!$H$133</f>
        <v>9.229458787</v>
      </c>
      <c r="AA22" s="712"/>
    </row>
    <row r="23">
      <c r="A23" s="71"/>
      <c r="B23" s="72"/>
      <c r="C23" s="107"/>
      <c r="D23" s="72"/>
      <c r="E23" s="599"/>
      <c r="F23" s="120"/>
      <c r="G23" s="120"/>
      <c r="H23" s="78"/>
      <c r="I23" s="688"/>
      <c r="J23" s="688"/>
      <c r="K23" s="688"/>
      <c r="L23" s="688"/>
      <c r="M23" s="688"/>
      <c r="N23" s="688"/>
      <c r="O23" s="688"/>
      <c r="P23" s="688"/>
      <c r="Q23" s="688"/>
      <c r="R23" s="688"/>
      <c r="S23" s="688"/>
      <c r="T23" s="688"/>
      <c r="U23" s="688"/>
      <c r="V23" s="688"/>
      <c r="W23" s="688"/>
      <c r="X23" s="688"/>
      <c r="Y23" s="688"/>
      <c r="Z23" s="688"/>
      <c r="AA23" s="690"/>
    </row>
    <row r="24" hidden="1">
      <c r="A24" s="71"/>
      <c r="B24" s="72"/>
      <c r="C24" s="657" t="s">
        <v>542</v>
      </c>
      <c r="F24" s="400"/>
      <c r="G24" s="729"/>
      <c r="H24" s="223"/>
      <c r="I24" s="688"/>
      <c r="J24" s="688"/>
      <c r="K24" s="688"/>
      <c r="L24" s="688"/>
      <c r="M24" s="688"/>
      <c r="N24" s="688"/>
      <c r="O24" s="688"/>
      <c r="P24" s="688"/>
      <c r="Q24" s="688"/>
      <c r="R24" s="688"/>
      <c r="S24" s="688"/>
      <c r="T24" s="688"/>
      <c r="U24" s="688"/>
      <c r="V24" s="688"/>
      <c r="W24" s="688"/>
      <c r="X24" s="688"/>
      <c r="Y24" s="688"/>
      <c r="Z24" s="688"/>
      <c r="AA24" s="690"/>
    </row>
    <row r="25" hidden="1">
      <c r="A25" s="71"/>
      <c r="B25" s="72"/>
      <c r="C25" s="657"/>
      <c r="D25" s="273"/>
      <c r="E25" s="730" t="s">
        <v>543</v>
      </c>
      <c r="F25" s="731" t="s">
        <v>99</v>
      </c>
      <c r="G25" s="604" t="s">
        <v>110</v>
      </c>
      <c r="H25" s="376" t="s">
        <v>124</v>
      </c>
      <c r="I25" s="732">
        <f>'Main CEA'!I126/'Main CEA'!I125</f>
        <v>0.05647913709</v>
      </c>
      <c r="J25" s="732">
        <f>'Main CEA'!J126/'Main CEA'!J125</f>
        <v>0.05532441274</v>
      </c>
      <c r="K25" s="732">
        <f>'Main CEA'!K126/'Main CEA'!K125</f>
        <v>0.02915109423</v>
      </c>
      <c r="L25" s="732">
        <f>'Main CEA'!L126/'Main CEA'!L125</f>
        <v>0.02915109414</v>
      </c>
      <c r="M25" s="732">
        <f>'Main CEA'!M126/'Main CEA'!M125</f>
        <v>0.02915109411</v>
      </c>
      <c r="N25" s="732">
        <f>'Main CEA'!N126/'Main CEA'!N125</f>
        <v>0.02915109424</v>
      </c>
      <c r="O25" s="732">
        <f>'Main CEA'!O126/'Main CEA'!O125</f>
        <v>0.1257065789</v>
      </c>
      <c r="P25" s="732">
        <f>'Main CEA'!P126/'Main CEA'!P125</f>
        <v>0.02341801524</v>
      </c>
      <c r="Q25" s="732">
        <f>'Main CEA'!Q126/'Main CEA'!Q125</f>
        <v>0.07413378817</v>
      </c>
      <c r="R25" s="732">
        <f>'Main CEA'!R126/'Main CEA'!R125</f>
        <v>0.1285258975</v>
      </c>
      <c r="S25" s="732">
        <f>'Main CEA'!S126/'Main CEA'!S125</f>
        <v>0.04165347302</v>
      </c>
      <c r="T25" s="732">
        <f>'Main CEA'!T126/'Main CEA'!T125</f>
        <v>0.1992293824</v>
      </c>
      <c r="U25" s="732">
        <f>'Main CEA'!U126/'Main CEA'!U125</f>
        <v>0.08985842305</v>
      </c>
      <c r="V25" s="732">
        <f>'Main CEA'!V126/'Main CEA'!V125</f>
        <v>0.2752772144</v>
      </c>
      <c r="W25" s="732">
        <f>'Main CEA'!W126/'Main CEA'!W125</f>
        <v>0.1095401963</v>
      </c>
      <c r="X25" s="732">
        <f>'Main CEA'!X126/'Main CEA'!X125</f>
        <v>0.02391752554</v>
      </c>
      <c r="Y25" s="732">
        <f>'Main CEA'!Y126/'Main CEA'!Y125</f>
        <v>0.1768368614</v>
      </c>
      <c r="Z25" s="732">
        <f>'Main CEA'!Z126/'Main CEA'!Z125</f>
        <v>0.02914426838</v>
      </c>
      <c r="AA25" s="697"/>
    </row>
    <row r="26" hidden="1">
      <c r="A26" s="71"/>
      <c r="B26" s="72"/>
      <c r="C26" s="657"/>
      <c r="D26" s="273"/>
      <c r="E26" s="735" t="s">
        <v>545</v>
      </c>
      <c r="F26" s="736" t="s">
        <v>99</v>
      </c>
      <c r="G26" s="737" t="s">
        <v>110</v>
      </c>
      <c r="H26" s="438" t="s">
        <v>124</v>
      </c>
      <c r="I26" s="739">
        <f>'Main CEA'!I127/SUM('Main CEA'!I125:I126)</f>
        <v>0.1888416074</v>
      </c>
      <c r="J26" s="739">
        <f>'Main CEA'!J127/SUM('Main CEA'!J125:J126)</f>
        <v>0.3532796077</v>
      </c>
      <c r="K26" s="739">
        <f>'Main CEA'!K127/SUM('Main CEA'!K125:K126)</f>
        <v>0.2422668991</v>
      </c>
      <c r="L26" s="739">
        <f>'Main CEA'!L127/SUM('Main CEA'!L125:L126)</f>
        <v>0.24934808</v>
      </c>
      <c r="M26" s="739">
        <f>'Main CEA'!M127/SUM('Main CEA'!M125:M126)</f>
        <v>0.2371148531</v>
      </c>
      <c r="N26" s="739">
        <f>'Main CEA'!N127/SUM('Main CEA'!N125:N126)</f>
        <v>0.1565279019</v>
      </c>
      <c r="O26" s="739">
        <f>'Main CEA'!O127/SUM('Main CEA'!O125:O126)</f>
        <v>0.1721050614</v>
      </c>
      <c r="P26" s="739">
        <f>'Main CEA'!P127/SUM('Main CEA'!P125:P126)</f>
        <v>0.235253093</v>
      </c>
      <c r="Q26" s="739">
        <f>'Main CEA'!Q127/SUM('Main CEA'!Q125:Q126)</f>
        <v>0.3440714016</v>
      </c>
      <c r="R26" s="739">
        <f>'Main CEA'!R127/SUM('Main CEA'!R125:R126)</f>
        <v>0.3463852551</v>
      </c>
      <c r="S26" s="739">
        <f>'Main CEA'!S127/SUM('Main CEA'!S125:S126)</f>
        <v>0.3223840552</v>
      </c>
      <c r="T26" s="739">
        <f>'Main CEA'!T127/SUM('Main CEA'!T125:T126)</f>
        <v>0.3672724892</v>
      </c>
      <c r="U26" s="739">
        <f>'Main CEA'!U127/SUM('Main CEA'!U125:U126)</f>
        <v>0.3692348349</v>
      </c>
      <c r="V26" s="739">
        <f>'Main CEA'!V127/SUM('Main CEA'!V125:V126)</f>
        <v>0.5577321908</v>
      </c>
      <c r="W26" s="739">
        <f>'Main CEA'!W127/SUM('Main CEA'!W125:W126)</f>
        <v>0.3726536057</v>
      </c>
      <c r="X26" s="739">
        <f>'Main CEA'!X127/SUM('Main CEA'!X125:X126)</f>
        <v>0.2434428711</v>
      </c>
      <c r="Y26" s="739">
        <f>'Main CEA'!Y127/SUM('Main CEA'!Y125:Y126)</f>
        <v>0.541345499</v>
      </c>
      <c r="Z26" s="739">
        <f>'Main CEA'!Z127/SUM('Main CEA'!Z125:Z126)</f>
        <v>0.1608131015</v>
      </c>
      <c r="AA26" s="692"/>
    </row>
    <row r="27" hidden="1">
      <c r="A27" s="71"/>
      <c r="B27" s="72"/>
      <c r="C27" s="107"/>
      <c r="D27" s="72"/>
      <c r="E27" s="599"/>
      <c r="F27" s="120"/>
      <c r="G27" s="120"/>
      <c r="H27" s="78"/>
      <c r="I27" s="688"/>
      <c r="J27" s="688"/>
      <c r="K27" s="688"/>
      <c r="L27" s="688"/>
      <c r="M27" s="688"/>
      <c r="N27" s="688"/>
      <c r="O27" s="688"/>
      <c r="P27" s="688"/>
      <c r="Q27" s="688"/>
      <c r="R27" s="688"/>
      <c r="S27" s="688"/>
      <c r="T27" s="688"/>
      <c r="U27" s="688"/>
      <c r="V27" s="688"/>
      <c r="W27" s="688"/>
      <c r="X27" s="688"/>
      <c r="Y27" s="688"/>
      <c r="Z27" s="688"/>
      <c r="AA27" s="690"/>
    </row>
    <row r="28">
      <c r="A28" s="71"/>
      <c r="B28" s="72"/>
      <c r="C28" s="107" t="s">
        <v>546</v>
      </c>
      <c r="F28" s="120"/>
      <c r="G28" s="120"/>
      <c r="H28" s="78"/>
      <c r="AA28" s="690"/>
    </row>
    <row r="29">
      <c r="A29" s="71"/>
      <c r="B29" s="72"/>
      <c r="C29" s="107"/>
      <c r="D29" s="72"/>
      <c r="E29" s="334" t="s">
        <v>547</v>
      </c>
      <c r="F29" s="115" t="s">
        <v>99</v>
      </c>
      <c r="G29" s="115" t="s">
        <v>112</v>
      </c>
      <c r="H29" s="191" t="s">
        <v>124</v>
      </c>
      <c r="I29" s="132">
        <f t="shared" ref="I29:Z29" si="5">1-SUM(I30:I31)</f>
        <v>0.7961869933</v>
      </c>
      <c r="J29" s="132">
        <f t="shared" si="5"/>
        <v>0.7002070477</v>
      </c>
      <c r="K29" s="132">
        <f t="shared" si="5"/>
        <v>0.7821786303</v>
      </c>
      <c r="L29" s="132">
        <f t="shared" si="5"/>
        <v>0.7777453195</v>
      </c>
      <c r="M29" s="132">
        <f t="shared" si="5"/>
        <v>0.7854360646</v>
      </c>
      <c r="N29" s="132">
        <f t="shared" si="5"/>
        <v>0.8401653086</v>
      </c>
      <c r="O29" s="132">
        <f t="shared" si="5"/>
        <v>0.7578936257</v>
      </c>
      <c r="P29" s="132">
        <f t="shared" si="5"/>
        <v>0.7910264262</v>
      </c>
      <c r="Q29" s="132">
        <f t="shared" si="5"/>
        <v>0.6926586808</v>
      </c>
      <c r="R29" s="132">
        <f t="shared" si="5"/>
        <v>0.6581412677</v>
      </c>
      <c r="S29" s="132">
        <f t="shared" si="5"/>
        <v>0.7259707614</v>
      </c>
      <c r="T29" s="132">
        <f t="shared" si="5"/>
        <v>0.6098775737</v>
      </c>
      <c r="U29" s="132">
        <f t="shared" si="5"/>
        <v>0.6701190674</v>
      </c>
      <c r="V29" s="132">
        <f t="shared" si="5"/>
        <v>0.5033877064</v>
      </c>
      <c r="W29" s="132">
        <f t="shared" si="5"/>
        <v>0.6565926311</v>
      </c>
      <c r="X29" s="132">
        <f t="shared" si="5"/>
        <v>0.7854330768</v>
      </c>
      <c r="Y29" s="132">
        <f t="shared" si="5"/>
        <v>0.5512945998</v>
      </c>
      <c r="Z29" s="132">
        <f t="shared" si="5"/>
        <v>0.8370693482</v>
      </c>
      <c r="AA29" s="697"/>
    </row>
    <row r="30">
      <c r="A30" s="71"/>
      <c r="B30" s="72"/>
      <c r="C30" s="107"/>
      <c r="D30" s="72"/>
      <c r="E30" s="334" t="s">
        <v>548</v>
      </c>
      <c r="F30" s="115" t="s">
        <v>99</v>
      </c>
      <c r="G30" s="115" t="s">
        <v>112</v>
      </c>
      <c r="H30" s="191" t="s">
        <v>124</v>
      </c>
      <c r="I30" s="740">
        <f t="shared" ref="I30:Z30" si="6">I25/(1*(1+I25)*(1+I26))</f>
        <v>0.04496795434</v>
      </c>
      <c r="J30" s="132">
        <f t="shared" si="6"/>
        <v>0.03873854371</v>
      </c>
      <c r="K30" s="132">
        <f t="shared" si="6"/>
        <v>0.02280136296</v>
      </c>
      <c r="L30" s="132">
        <f t="shared" si="6"/>
        <v>0.02267212703</v>
      </c>
      <c r="M30" s="132">
        <f t="shared" si="6"/>
        <v>0.02289632064</v>
      </c>
      <c r="N30" s="132">
        <f t="shared" si="6"/>
        <v>0.02449173809</v>
      </c>
      <c r="O30" s="132">
        <f t="shared" si="6"/>
        <v>0.09527221486</v>
      </c>
      <c r="P30" s="132">
        <f t="shared" si="6"/>
        <v>0.01852426891</v>
      </c>
      <c r="Q30" s="132">
        <f t="shared" si="6"/>
        <v>0.05134941192</v>
      </c>
      <c r="R30" s="132">
        <f t="shared" si="6"/>
        <v>0.08458819712</v>
      </c>
      <c r="S30" s="132">
        <f t="shared" si="6"/>
        <v>0.03023920352</v>
      </c>
      <c r="T30" s="132">
        <f t="shared" si="6"/>
        <v>0.1215055323</v>
      </c>
      <c r="U30" s="132">
        <f t="shared" si="6"/>
        <v>0.06021584265</v>
      </c>
      <c r="V30" s="132">
        <f t="shared" si="6"/>
        <v>0.1385711656</v>
      </c>
      <c r="W30" s="132">
        <f t="shared" si="6"/>
        <v>0.07192328569</v>
      </c>
      <c r="X30" s="132">
        <f t="shared" si="6"/>
        <v>0.01878561567</v>
      </c>
      <c r="Y30" s="132">
        <f t="shared" si="6"/>
        <v>0.09748920671</v>
      </c>
      <c r="Z30" s="132">
        <f t="shared" si="6"/>
        <v>0.02439577374</v>
      </c>
      <c r="AA30" s="697"/>
    </row>
    <row r="31">
      <c r="A31" s="71"/>
      <c r="B31" s="72"/>
      <c r="C31" s="107"/>
      <c r="D31" s="72"/>
      <c r="E31" s="429" t="s">
        <v>549</v>
      </c>
      <c r="F31" s="204" t="s">
        <v>99</v>
      </c>
      <c r="G31" s="204" t="s">
        <v>112</v>
      </c>
      <c r="H31" s="242" t="s">
        <v>124</v>
      </c>
      <c r="I31" s="741">
        <f t="shared" ref="I31:Z31" si="7">I26/(1*(1+I26))</f>
        <v>0.1588450524</v>
      </c>
      <c r="J31" s="162">
        <f t="shared" si="7"/>
        <v>0.2610544086</v>
      </c>
      <c r="K31" s="162">
        <f t="shared" si="7"/>
        <v>0.1950200068</v>
      </c>
      <c r="L31" s="162">
        <f t="shared" si="7"/>
        <v>0.1995825535</v>
      </c>
      <c r="M31" s="162">
        <f t="shared" si="7"/>
        <v>0.1916676148</v>
      </c>
      <c r="N31" s="162">
        <f t="shared" si="7"/>
        <v>0.1353429533</v>
      </c>
      <c r="O31" s="162">
        <f t="shared" si="7"/>
        <v>0.1468341594</v>
      </c>
      <c r="P31" s="162">
        <f t="shared" si="7"/>
        <v>0.1904493049</v>
      </c>
      <c r="Q31" s="162">
        <f t="shared" si="7"/>
        <v>0.2559919073</v>
      </c>
      <c r="R31" s="162">
        <f t="shared" si="7"/>
        <v>0.2572705351</v>
      </c>
      <c r="S31" s="162">
        <f t="shared" si="7"/>
        <v>0.2437900351</v>
      </c>
      <c r="T31" s="162">
        <f t="shared" si="7"/>
        <v>0.2686168939</v>
      </c>
      <c r="U31" s="162">
        <f t="shared" si="7"/>
        <v>0.26966509</v>
      </c>
      <c r="V31" s="162">
        <f t="shared" si="7"/>
        <v>0.358041128</v>
      </c>
      <c r="W31" s="162">
        <f t="shared" si="7"/>
        <v>0.2714840832</v>
      </c>
      <c r="X31" s="162">
        <f t="shared" si="7"/>
        <v>0.1957813075</v>
      </c>
      <c r="Y31" s="162">
        <f t="shared" si="7"/>
        <v>0.3512161935</v>
      </c>
      <c r="Z31" s="162">
        <f t="shared" si="7"/>
        <v>0.1385348781</v>
      </c>
      <c r="AA31" s="712"/>
    </row>
    <row r="32">
      <c r="A32" s="71"/>
      <c r="B32" s="72"/>
      <c r="C32" s="107"/>
      <c r="D32" s="72"/>
      <c r="E32" s="599"/>
      <c r="F32" s="120"/>
      <c r="G32" s="120"/>
      <c r="H32" s="78"/>
      <c r="I32" s="85"/>
      <c r="J32" s="85"/>
      <c r="K32" s="85"/>
      <c r="L32" s="85"/>
      <c r="M32" s="85"/>
      <c r="N32" s="85"/>
      <c r="O32" s="85"/>
      <c r="P32" s="85"/>
      <c r="Q32" s="85"/>
      <c r="R32" s="85"/>
      <c r="S32" s="85"/>
      <c r="T32" s="85"/>
      <c r="U32" s="85"/>
      <c r="V32" s="85"/>
      <c r="W32" s="85"/>
      <c r="X32" s="85"/>
      <c r="Y32" s="85"/>
      <c r="Z32" s="85"/>
      <c r="AA32" s="690"/>
    </row>
    <row r="33">
      <c r="A33" s="71"/>
      <c r="B33" s="72"/>
      <c r="C33" s="657" t="s">
        <v>550</v>
      </c>
      <c r="F33" s="400"/>
      <c r="G33" s="729"/>
      <c r="H33" s="78"/>
      <c r="I33" s="688"/>
      <c r="J33" s="688"/>
      <c r="K33" s="688"/>
      <c r="L33" s="688"/>
      <c r="M33" s="688"/>
      <c r="N33" s="688"/>
      <c r="O33" s="688"/>
      <c r="P33" s="688"/>
      <c r="Q33" s="688"/>
      <c r="R33" s="688"/>
      <c r="S33" s="688"/>
      <c r="T33" s="688"/>
      <c r="U33" s="688"/>
      <c r="V33" s="688"/>
      <c r="W33" s="688"/>
      <c r="X33" s="688"/>
      <c r="Y33" s="688"/>
      <c r="Z33" s="688"/>
      <c r="AA33" s="690"/>
    </row>
    <row r="34">
      <c r="A34" s="71"/>
      <c r="B34" s="72"/>
      <c r="C34" s="657"/>
      <c r="D34" s="220"/>
      <c r="E34" s="730" t="s">
        <v>551</v>
      </c>
      <c r="F34" s="603" t="s">
        <v>99</v>
      </c>
      <c r="G34" s="604" t="s">
        <v>110</v>
      </c>
      <c r="H34" s="191" t="s">
        <v>124</v>
      </c>
      <c r="I34" s="132">
        <f>'Main CEA'!I177</f>
        <v>0.191</v>
      </c>
      <c r="J34" s="132">
        <f>'Main CEA'!J177</f>
        <v>0.241</v>
      </c>
      <c r="K34" s="132">
        <f>'Main CEA'!K177</f>
        <v>0.281</v>
      </c>
      <c r="L34" s="132">
        <f>'Main CEA'!L177</f>
        <v>0.281</v>
      </c>
      <c r="M34" s="132">
        <f>'Main CEA'!M177</f>
        <v>0.281</v>
      </c>
      <c r="N34" s="132">
        <f>'Main CEA'!N177</f>
        <v>0.281</v>
      </c>
      <c r="O34" s="132">
        <f>'Main CEA'!O177</f>
        <v>0.281</v>
      </c>
      <c r="P34" s="132">
        <f>'Main CEA'!P177</f>
        <v>0.341</v>
      </c>
      <c r="Q34" s="132">
        <f>'Main CEA'!Q177</f>
        <v>0.341</v>
      </c>
      <c r="R34" s="132">
        <f>'Main CEA'!R177</f>
        <v>0.341</v>
      </c>
      <c r="S34" s="132">
        <f>'Main CEA'!S177</f>
        <v>0.341</v>
      </c>
      <c r="T34" s="132">
        <f>'Main CEA'!T177</f>
        <v>0.341</v>
      </c>
      <c r="U34" s="132">
        <f>'Main CEA'!U177</f>
        <v>0.341</v>
      </c>
      <c r="V34" s="132">
        <f>'Main CEA'!V177</f>
        <v>0.341</v>
      </c>
      <c r="W34" s="132">
        <f>'Main CEA'!W177</f>
        <v>0.341</v>
      </c>
      <c r="X34" s="132">
        <f>'Main CEA'!X177</f>
        <v>0.341</v>
      </c>
      <c r="Y34" s="132">
        <f>'Main CEA'!Y177</f>
        <v>0.291</v>
      </c>
      <c r="Z34" s="132">
        <f>'Main CEA'!Z177</f>
        <v>0.281</v>
      </c>
      <c r="AA34" s="697"/>
    </row>
    <row r="35">
      <c r="A35" s="71"/>
      <c r="B35" s="72"/>
      <c r="C35" s="657"/>
      <c r="D35" s="220"/>
      <c r="E35" s="334" t="s">
        <v>553</v>
      </c>
      <c r="F35" s="603" t="s">
        <v>99</v>
      </c>
      <c r="G35" s="604" t="s">
        <v>110</v>
      </c>
      <c r="H35" s="279">
        <f>'Main CEA'!H161</f>
        <v>-0.08</v>
      </c>
      <c r="I35" s="132" t="str">
        <f>'Main CEA'!I161</f>
        <v>-</v>
      </c>
      <c r="J35" s="132" t="str">
        <f>'Main CEA'!J161</f>
        <v>-</v>
      </c>
      <c r="K35" s="132" t="str">
        <f>'Main CEA'!K161</f>
        <v>-</v>
      </c>
      <c r="L35" s="132" t="str">
        <f>'Main CEA'!L161</f>
        <v>-</v>
      </c>
      <c r="M35" s="132" t="str">
        <f>'Main CEA'!M161</f>
        <v>-</v>
      </c>
      <c r="N35" s="132" t="str">
        <f>'Main CEA'!N161</f>
        <v>-</v>
      </c>
      <c r="O35" s="132" t="str">
        <f>'Main CEA'!O161</f>
        <v>-</v>
      </c>
      <c r="P35" s="132" t="str">
        <f>'Main CEA'!P161</f>
        <v>-</v>
      </c>
      <c r="Q35" s="132" t="str">
        <f>'Main CEA'!Q161</f>
        <v>-</v>
      </c>
      <c r="R35" s="132" t="str">
        <f>'Main CEA'!R161</f>
        <v>-</v>
      </c>
      <c r="S35" s="132" t="str">
        <f>'Main CEA'!S161</f>
        <v>-</v>
      </c>
      <c r="T35" s="132" t="str">
        <f>'Main CEA'!T161</f>
        <v>-</v>
      </c>
      <c r="U35" s="132" t="str">
        <f>'Main CEA'!U161</f>
        <v>-</v>
      </c>
      <c r="V35" s="132" t="str">
        <f>'Main CEA'!V161</f>
        <v>-</v>
      </c>
      <c r="W35" s="132" t="str">
        <f>'Main CEA'!W161</f>
        <v>-</v>
      </c>
      <c r="X35" s="132" t="str">
        <f>'Main CEA'!X161</f>
        <v>-</v>
      </c>
      <c r="Y35" s="132" t="str">
        <f>'Main CEA'!Y161</f>
        <v>-</v>
      </c>
      <c r="Z35" s="132" t="str">
        <f>'Main CEA'!Z161</f>
        <v>-</v>
      </c>
      <c r="AA35" s="697"/>
    </row>
    <row r="36">
      <c r="A36" s="71"/>
      <c r="B36" s="72"/>
      <c r="C36" s="107"/>
      <c r="D36" s="72"/>
      <c r="E36" s="508" t="s">
        <v>554</v>
      </c>
      <c r="F36" s="139" t="s">
        <v>99</v>
      </c>
      <c r="G36" s="139" t="s">
        <v>110</v>
      </c>
      <c r="H36" s="233" t="s">
        <v>124</v>
      </c>
      <c r="I36" s="150">
        <f>'Main CEA'!I180</f>
        <v>-0.002836339751</v>
      </c>
      <c r="J36" s="150">
        <f>'Main CEA'!J180</f>
        <v>-0.008995253969</v>
      </c>
      <c r="K36" s="150">
        <f>'Main CEA'!K180</f>
        <v>-0.0177305505</v>
      </c>
      <c r="L36" s="150">
        <f>'Main CEA'!L180</f>
        <v>-0.01489086544</v>
      </c>
      <c r="M36" s="150">
        <f>'Main CEA'!M180</f>
        <v>-0.0151427267</v>
      </c>
      <c r="N36" s="150">
        <f>'Main CEA'!N180</f>
        <v>-0.01077252744</v>
      </c>
      <c r="O36" s="150">
        <f>'Main CEA'!O180</f>
        <v>-0.01071664873</v>
      </c>
      <c r="P36" s="150">
        <f>'Main CEA'!P180</f>
        <v>-0.005587138932</v>
      </c>
      <c r="Q36" s="150">
        <f>'Main CEA'!Q180</f>
        <v>-0.008158529823</v>
      </c>
      <c r="R36" s="150">
        <f>'Main CEA'!R180</f>
        <v>-0.009155407931</v>
      </c>
      <c r="S36" s="150">
        <f>'Main CEA'!S180</f>
        <v>-0.003988673437</v>
      </c>
      <c r="T36" s="150">
        <f>'Main CEA'!T180</f>
        <v>-0.006970331038</v>
      </c>
      <c r="U36" s="150">
        <f>'Main CEA'!U180</f>
        <v>-0.005302869423</v>
      </c>
      <c r="V36" s="150">
        <f>'Main CEA'!V180</f>
        <v>-0.004852275773</v>
      </c>
      <c r="W36" s="150">
        <f>'Main CEA'!W180</f>
        <v>-0.007486122481</v>
      </c>
      <c r="X36" s="150">
        <f>'Main CEA'!X180</f>
        <v>-0.003933090646</v>
      </c>
      <c r="Y36" s="150">
        <f>'Main CEA'!Y180</f>
        <v>-0.002834737873</v>
      </c>
      <c r="Z36" s="150">
        <f>'Main CEA'!Z180</f>
        <v>-0.009663030069</v>
      </c>
      <c r="AA36" s="703"/>
    </row>
    <row r="37">
      <c r="A37" s="71"/>
      <c r="B37" s="72"/>
      <c r="C37" s="107"/>
      <c r="D37" s="72"/>
      <c r="E37" s="429" t="s">
        <v>559</v>
      </c>
      <c r="F37" s="204" t="s">
        <v>99</v>
      </c>
      <c r="G37" s="204" t="s">
        <v>110</v>
      </c>
      <c r="H37" s="242" t="str">
        <f>'Main CEA'!H$183</f>
        <v>-</v>
      </c>
      <c r="I37" s="162">
        <f>'Main CEA'!I181</f>
        <v>-0.426621249</v>
      </c>
      <c r="J37" s="162">
        <f>'Main CEA'!J181</f>
        <v>-0.2598473716</v>
      </c>
      <c r="K37" s="162">
        <f>'Main CEA'!K181</f>
        <v>-0.06915863606</v>
      </c>
      <c r="L37" s="162">
        <f>'Main CEA'!L181</f>
        <v>-0.08210600695</v>
      </c>
      <c r="M37" s="162">
        <f>'Main CEA'!M181</f>
        <v>-0.08095766091</v>
      </c>
      <c r="N37" s="162">
        <f>'Main CEA'!N181</f>
        <v>-0.100883318</v>
      </c>
      <c r="O37" s="162">
        <f>'Main CEA'!O181</f>
        <v>-0.1307789658</v>
      </c>
      <c r="P37" s="162">
        <f>'Main CEA'!P181</f>
        <v>-0.1637379572</v>
      </c>
      <c r="Q37" s="162">
        <f>'Main CEA'!Q181</f>
        <v>-0.07646619323</v>
      </c>
      <c r="R37" s="162">
        <f>'Main CEA'!R181</f>
        <v>-0.07359063388</v>
      </c>
      <c r="S37" s="162">
        <f>'Main CEA'!S181</f>
        <v>-0.1741124306</v>
      </c>
      <c r="T37" s="162">
        <f>'Main CEA'!T181</f>
        <v>-0.07989362945</v>
      </c>
      <c r="U37" s="162">
        <f>'Main CEA'!U181</f>
        <v>-0.1655829432</v>
      </c>
      <c r="V37" s="162">
        <f>'Main CEA'!V181</f>
        <v>-0.1685074178</v>
      </c>
      <c r="W37" s="162">
        <f>'Main CEA'!W181</f>
        <v>-0.1514130403</v>
      </c>
      <c r="X37" s="162">
        <f>'Main CEA'!X181</f>
        <v>-0.1744731779</v>
      </c>
      <c r="Y37" s="162">
        <f>'Main CEA'!Y181</f>
        <v>-0.5115769106</v>
      </c>
      <c r="Z37" s="162">
        <f>'Main CEA'!Z181</f>
        <v>-0.1930020087</v>
      </c>
      <c r="AA37" s="712"/>
    </row>
    <row r="38">
      <c r="A38" s="71"/>
      <c r="B38" s="72"/>
      <c r="C38" s="107"/>
      <c r="D38" s="72"/>
      <c r="E38" s="599"/>
      <c r="F38" s="120"/>
      <c r="G38" s="120"/>
      <c r="H38" s="78"/>
      <c r="I38" s="688"/>
      <c r="J38" s="688"/>
      <c r="K38" s="688"/>
      <c r="L38" s="688"/>
      <c r="M38" s="688"/>
      <c r="N38" s="688"/>
      <c r="O38" s="688"/>
      <c r="P38" s="688"/>
      <c r="Q38" s="688"/>
      <c r="R38" s="688"/>
      <c r="S38" s="688"/>
      <c r="T38" s="688"/>
      <c r="U38" s="688"/>
      <c r="V38" s="688"/>
      <c r="W38" s="688"/>
      <c r="X38" s="688"/>
      <c r="Y38" s="688"/>
      <c r="Z38" s="688"/>
      <c r="AA38" s="690"/>
    </row>
    <row r="39">
      <c r="A39" s="71"/>
      <c r="B39" s="72"/>
      <c r="C39" s="107" t="s">
        <v>560</v>
      </c>
      <c r="F39" s="764"/>
      <c r="G39" s="764"/>
      <c r="H39" s="765"/>
      <c r="I39" s="766"/>
      <c r="J39" s="766"/>
      <c r="K39" s="766"/>
      <c r="L39" s="766"/>
      <c r="M39" s="766"/>
      <c r="N39" s="766"/>
      <c r="O39" s="766"/>
      <c r="P39" s="766"/>
      <c r="Q39" s="766"/>
      <c r="R39" s="766"/>
      <c r="S39" s="766"/>
      <c r="T39" s="766"/>
      <c r="U39" s="766"/>
      <c r="V39" s="766"/>
      <c r="W39" s="766"/>
      <c r="X39" s="766"/>
      <c r="Y39" s="766"/>
      <c r="Z39" s="766"/>
      <c r="AA39" s="690"/>
    </row>
    <row r="40">
      <c r="A40" s="71"/>
      <c r="B40" s="72"/>
      <c r="C40" s="107"/>
      <c r="D40" s="72"/>
      <c r="E40" s="767" t="s">
        <v>561</v>
      </c>
      <c r="F40" s="768" t="s">
        <v>105</v>
      </c>
      <c r="G40" s="769" t="s">
        <v>112</v>
      </c>
      <c r="H40" s="770" t="s">
        <v>124</v>
      </c>
      <c r="I40" s="771">
        <f t="shared" ref="I40:Z40" si="8">I22/I29*(1+I34)*(1+$H35)*(1+SUM(I36:I37))</f>
        <v>18.0174674</v>
      </c>
      <c r="J40" s="771">
        <f t="shared" si="8"/>
        <v>8.019128417</v>
      </c>
      <c r="K40" s="771">
        <f t="shared" si="8"/>
        <v>7.852125556</v>
      </c>
      <c r="L40" s="771">
        <f t="shared" si="8"/>
        <v>9.246029712</v>
      </c>
      <c r="M40" s="771">
        <f t="shared" si="8"/>
        <v>9.101271824</v>
      </c>
      <c r="N40" s="771">
        <f t="shared" si="8"/>
        <v>12.5733096</v>
      </c>
      <c r="O40" s="771">
        <f t="shared" si="8"/>
        <v>11.49583583</v>
      </c>
      <c r="P40" s="771">
        <f t="shared" si="8"/>
        <v>21.23317512</v>
      </c>
      <c r="Q40" s="771">
        <f t="shared" si="8"/>
        <v>18.02657078</v>
      </c>
      <c r="R40" s="771">
        <f t="shared" si="8"/>
        <v>16.09673298</v>
      </c>
      <c r="S40" s="771">
        <f t="shared" si="8"/>
        <v>29.42816881</v>
      </c>
      <c r="T40" s="771">
        <f t="shared" si="8"/>
        <v>21.04785894</v>
      </c>
      <c r="U40" s="771">
        <f t="shared" si="8"/>
        <v>22.32938367</v>
      </c>
      <c r="V40" s="771">
        <f t="shared" si="8"/>
        <v>24.33012971</v>
      </c>
      <c r="W40" s="771">
        <f t="shared" si="8"/>
        <v>16.04591397</v>
      </c>
      <c r="X40" s="771">
        <f t="shared" si="8"/>
        <v>29.83296948</v>
      </c>
      <c r="Y40" s="771">
        <f t="shared" si="8"/>
        <v>10.567669</v>
      </c>
      <c r="Z40" s="771">
        <f t="shared" si="8"/>
        <v>10.36078258</v>
      </c>
      <c r="AA40" s="697"/>
    </row>
    <row r="41">
      <c r="A41" s="71"/>
      <c r="B41" s="72"/>
      <c r="C41" s="107"/>
      <c r="D41" s="72"/>
      <c r="E41" s="340" t="s">
        <v>562</v>
      </c>
      <c r="F41" s="96" t="s">
        <v>95</v>
      </c>
      <c r="G41" s="96" t="s">
        <v>112</v>
      </c>
      <c r="H41" s="177" t="s">
        <v>124</v>
      </c>
      <c r="I41" s="112">
        <f>I20*('Main CEA'!I56/SUM('Main CEA'!I56,'Main CEA'!I69))/(1+'Main CEA'!I204)</f>
        <v>3328.251541</v>
      </c>
      <c r="J41" s="112">
        <f>J20*('Main CEA'!J56/SUM('Main CEA'!J56,'Main CEA'!J69))/(1+'Main CEA'!J204)</f>
        <v>8418.987103</v>
      </c>
      <c r="K41" s="112">
        <f>K20*('Main CEA'!K56/SUM('Main CEA'!K56,'Main CEA'!K69))/(1+'Main CEA'!K204)</f>
        <v>7917.804675</v>
      </c>
      <c r="L41" s="112">
        <f>L20*('Main CEA'!L56/SUM('Main CEA'!L56,'Main CEA'!L69))/(1+'Main CEA'!L204)</f>
        <v>6748.465993</v>
      </c>
      <c r="M41" s="112">
        <f>M20*('Main CEA'!M56/SUM('Main CEA'!M56,'Main CEA'!M69))/(1+'Main CEA'!M204)</f>
        <v>6788.060904</v>
      </c>
      <c r="N41" s="112">
        <f>N20*('Main CEA'!N56/SUM('Main CEA'!N56,'Main CEA'!N69))/(1+'Main CEA'!N204)</f>
        <v>4571.108642</v>
      </c>
      <c r="O41" s="112">
        <f>O20*('Main CEA'!O56/SUM('Main CEA'!O56,'Main CEA'!O69))/(1+'Main CEA'!O204)</f>
        <v>4831.55777</v>
      </c>
      <c r="P41" s="112">
        <f>P20*('Main CEA'!P56/SUM('Main CEA'!P56,'Main CEA'!P69))/(1+'Main CEA'!P204)</f>
        <v>2836.500272</v>
      </c>
      <c r="Q41" s="112">
        <f>Q20*('Main CEA'!Q56/SUM('Main CEA'!Q56,'Main CEA'!Q69))/(1+'Main CEA'!Q204)</f>
        <v>3549.415359</v>
      </c>
      <c r="R41" s="112">
        <f>R20*('Main CEA'!R56/SUM('Main CEA'!R56,'Main CEA'!R69))/(1+'Main CEA'!R204)</f>
        <v>3885.069808</v>
      </c>
      <c r="S41" s="112">
        <f>S20*('Main CEA'!S56/SUM('Main CEA'!S56,'Main CEA'!S69))/(1+'Main CEA'!S204)</f>
        <v>2167.590351</v>
      </c>
      <c r="T41" s="112">
        <f>T20*('Main CEA'!T56/SUM('Main CEA'!T56,'Main CEA'!T69))/(1+'Main CEA'!T204)</f>
        <v>2926.887131</v>
      </c>
      <c r="U41" s="112">
        <f>U20*('Main CEA'!U56/SUM('Main CEA'!U56,'Main CEA'!U69))/(1+'Main CEA'!U204)</f>
        <v>2891.46435</v>
      </c>
      <c r="V41" s="112">
        <f>V20*('Main CEA'!V56/SUM('Main CEA'!V56,'Main CEA'!V69))/(1+'Main CEA'!V204)</f>
        <v>2809.292509</v>
      </c>
      <c r="W41" s="112">
        <f>W20*('Main CEA'!W56/SUM('Main CEA'!W56,'Main CEA'!W69))/(1+'Main CEA'!W204)</f>
        <v>4005.315413</v>
      </c>
      <c r="X41" s="112">
        <f>X20*('Main CEA'!X56/SUM('Main CEA'!X56,'Main CEA'!X69))/(1+'Main CEA'!X204)</f>
        <v>2028.932579</v>
      </c>
      <c r="Y41" s="112">
        <f>Y20*('Main CEA'!Y56/SUM('Main CEA'!Y56,'Main CEA'!Y69))/(1+'Main CEA'!Y204)</f>
        <v>6736.266995</v>
      </c>
      <c r="Z41" s="112">
        <f>Z20*('Main CEA'!Z56/SUM('Main CEA'!Z56,'Main CEA'!Z69))/(1+'Main CEA'!Z204)</f>
        <v>5568.221408</v>
      </c>
      <c r="AA41" s="692"/>
    </row>
    <row r="42">
      <c r="A42" s="713"/>
      <c r="B42" s="714"/>
      <c r="C42" s="794"/>
      <c r="D42" s="714"/>
      <c r="E42" s="795"/>
      <c r="F42" s="96"/>
      <c r="G42" s="96"/>
      <c r="H42" s="439"/>
      <c r="I42" s="796"/>
      <c r="J42" s="796"/>
      <c r="K42" s="796"/>
      <c r="L42" s="796"/>
      <c r="M42" s="796"/>
      <c r="N42" s="796"/>
      <c r="O42" s="796"/>
      <c r="P42" s="796"/>
      <c r="Q42" s="796"/>
      <c r="R42" s="796"/>
      <c r="S42" s="796"/>
      <c r="T42" s="796"/>
      <c r="U42" s="796"/>
      <c r="V42" s="796"/>
      <c r="W42" s="796"/>
      <c r="X42" s="796"/>
      <c r="Y42" s="796"/>
      <c r="Z42" s="796"/>
      <c r="AA42" s="692"/>
    </row>
  </sheetData>
  <mergeCells count="11">
    <mergeCell ref="C24:E24"/>
    <mergeCell ref="C28:E28"/>
    <mergeCell ref="C33:E33"/>
    <mergeCell ref="C39:E39"/>
    <mergeCell ref="I1:Q1"/>
    <mergeCell ref="R1:Z1"/>
    <mergeCell ref="A3:E3"/>
    <mergeCell ref="A4:G4"/>
    <mergeCell ref="C6:E6"/>
    <mergeCell ref="C9:E9"/>
    <mergeCell ref="C19:E1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4" width="1.88"/>
    <col customWidth="1" min="5" max="5" width="50.0"/>
    <col customWidth="1" min="6" max="59" width="7.63"/>
    <col customWidth="1" min="60" max="60" width="3.63"/>
  </cols>
  <sheetData>
    <row r="1">
      <c r="A1" s="1"/>
      <c r="B1" s="2"/>
      <c r="C1" s="2"/>
      <c r="D1" s="2"/>
      <c r="E1" s="240"/>
      <c r="F1" s="742" t="s">
        <v>1</v>
      </c>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87"/>
      <c r="BH1" s="743"/>
    </row>
    <row r="2">
      <c r="A2" s="21"/>
      <c r="B2" s="23"/>
      <c r="C2" s="23"/>
      <c r="D2" s="23"/>
      <c r="E2" s="248"/>
      <c r="F2" s="744" t="s">
        <v>3</v>
      </c>
      <c r="H2" s="745"/>
      <c r="I2" s="746" t="s">
        <v>4</v>
      </c>
      <c r="K2" s="745"/>
      <c r="L2" s="747" t="s">
        <v>5</v>
      </c>
      <c r="N2" s="745"/>
      <c r="O2" s="747" t="s">
        <v>5</v>
      </c>
      <c r="Q2" s="745"/>
      <c r="R2" s="747" t="s">
        <v>5</v>
      </c>
      <c r="T2" s="745"/>
      <c r="U2" s="747" t="s">
        <v>5</v>
      </c>
      <c r="W2" s="745"/>
      <c r="X2" s="747" t="s">
        <v>6</v>
      </c>
      <c r="Z2" s="745"/>
      <c r="AA2" s="747" t="s">
        <v>7</v>
      </c>
      <c r="AC2" s="745"/>
      <c r="AD2" s="747" t="s">
        <v>7</v>
      </c>
      <c r="AF2" s="745"/>
      <c r="AG2" s="747" t="s">
        <v>7</v>
      </c>
      <c r="AI2" s="745"/>
      <c r="AJ2" s="747" t="s">
        <v>7</v>
      </c>
      <c r="AL2" s="745"/>
      <c r="AM2" s="747" t="s">
        <v>7</v>
      </c>
      <c r="AO2" s="745"/>
      <c r="AP2" s="747" t="s">
        <v>7</v>
      </c>
      <c r="AR2" s="745"/>
      <c r="AS2" s="747" t="s">
        <v>7</v>
      </c>
      <c r="AU2" s="745"/>
      <c r="AV2" s="747" t="s">
        <v>7</v>
      </c>
      <c r="AX2" s="745"/>
      <c r="AY2" s="747" t="s">
        <v>7</v>
      </c>
      <c r="BA2" s="745"/>
      <c r="BB2" s="747" t="s">
        <v>8</v>
      </c>
      <c r="BD2" s="745"/>
      <c r="BE2" s="749" t="s">
        <v>9</v>
      </c>
      <c r="BG2" s="745"/>
      <c r="BH2" s="750"/>
    </row>
    <row r="3">
      <c r="A3" s="21" t="s">
        <v>45</v>
      </c>
      <c r="F3" s="28"/>
      <c r="H3" s="745"/>
      <c r="I3" s="28"/>
      <c r="K3" s="745"/>
      <c r="L3" s="751" t="s">
        <v>17</v>
      </c>
      <c r="N3" s="745"/>
      <c r="O3" s="751" t="s">
        <v>18</v>
      </c>
      <c r="Q3" s="745"/>
      <c r="R3" s="751" t="s">
        <v>19</v>
      </c>
      <c r="T3" s="745"/>
      <c r="U3" s="751" t="s">
        <v>20</v>
      </c>
      <c r="W3" s="745"/>
      <c r="X3" s="751" t="s">
        <v>21</v>
      </c>
      <c r="Z3" s="745"/>
      <c r="AA3" s="751" t="s">
        <v>22</v>
      </c>
      <c r="AC3" s="745"/>
      <c r="AD3" s="751" t="s">
        <v>23</v>
      </c>
      <c r="AF3" s="745"/>
      <c r="AG3" s="752" t="s">
        <v>24</v>
      </c>
      <c r="AI3" s="745"/>
      <c r="AJ3" s="751" t="s">
        <v>25</v>
      </c>
      <c r="AL3" s="745"/>
      <c r="AM3" s="751" t="s">
        <v>26</v>
      </c>
      <c r="AO3" s="745"/>
      <c r="AP3" s="751" t="s">
        <v>27</v>
      </c>
      <c r="AR3" s="745"/>
      <c r="AS3" s="751" t="s">
        <v>28</v>
      </c>
      <c r="AU3" s="745"/>
      <c r="AV3" s="751" t="s">
        <v>29</v>
      </c>
      <c r="AX3" s="745"/>
      <c r="AY3" s="751" t="s">
        <v>30</v>
      </c>
      <c r="BA3" s="745"/>
      <c r="BB3" s="28"/>
      <c r="BD3" s="745"/>
      <c r="BE3" s="28" t="s">
        <v>32</v>
      </c>
      <c r="BG3" s="745"/>
      <c r="BH3" s="750"/>
    </row>
    <row r="4">
      <c r="A4" s="21"/>
      <c r="B4" s="753"/>
      <c r="C4" s="753"/>
      <c r="D4" s="753"/>
      <c r="E4" s="753"/>
      <c r="F4" s="754" t="s">
        <v>555</v>
      </c>
      <c r="G4" s="755" t="s">
        <v>556</v>
      </c>
      <c r="H4" s="756" t="s">
        <v>557</v>
      </c>
      <c r="I4" s="757" t="s">
        <v>555</v>
      </c>
      <c r="J4" s="755" t="s">
        <v>556</v>
      </c>
      <c r="K4" s="756" t="s">
        <v>557</v>
      </c>
      <c r="L4" s="758" t="s">
        <v>555</v>
      </c>
      <c r="M4" s="755" t="s">
        <v>556</v>
      </c>
      <c r="N4" s="759" t="s">
        <v>557</v>
      </c>
      <c r="O4" s="758" t="s">
        <v>555</v>
      </c>
      <c r="P4" s="755" t="s">
        <v>556</v>
      </c>
      <c r="Q4" s="759" t="s">
        <v>557</v>
      </c>
      <c r="R4" s="758" t="s">
        <v>555</v>
      </c>
      <c r="S4" s="755" t="s">
        <v>556</v>
      </c>
      <c r="T4" s="759" t="s">
        <v>557</v>
      </c>
      <c r="U4" s="758" t="s">
        <v>555</v>
      </c>
      <c r="V4" s="755" t="s">
        <v>556</v>
      </c>
      <c r="W4" s="759" t="s">
        <v>557</v>
      </c>
      <c r="X4" s="758" t="s">
        <v>555</v>
      </c>
      <c r="Y4" s="755" t="s">
        <v>556</v>
      </c>
      <c r="Z4" s="759" t="s">
        <v>557</v>
      </c>
      <c r="AA4" s="758" t="s">
        <v>555</v>
      </c>
      <c r="AB4" s="755" t="s">
        <v>556</v>
      </c>
      <c r="AC4" s="759" t="s">
        <v>557</v>
      </c>
      <c r="AD4" s="758" t="s">
        <v>555</v>
      </c>
      <c r="AE4" s="755" t="s">
        <v>556</v>
      </c>
      <c r="AF4" s="759" t="s">
        <v>557</v>
      </c>
      <c r="AG4" s="758" t="s">
        <v>555</v>
      </c>
      <c r="AH4" s="755" t="s">
        <v>556</v>
      </c>
      <c r="AI4" s="759" t="s">
        <v>557</v>
      </c>
      <c r="AJ4" s="758" t="s">
        <v>555</v>
      </c>
      <c r="AK4" s="755" t="s">
        <v>556</v>
      </c>
      <c r="AL4" s="759" t="s">
        <v>557</v>
      </c>
      <c r="AM4" s="758" t="s">
        <v>555</v>
      </c>
      <c r="AN4" s="755" t="s">
        <v>556</v>
      </c>
      <c r="AO4" s="759" t="s">
        <v>557</v>
      </c>
      <c r="AP4" s="758" t="s">
        <v>555</v>
      </c>
      <c r="AQ4" s="755" t="s">
        <v>556</v>
      </c>
      <c r="AR4" s="759" t="s">
        <v>557</v>
      </c>
      <c r="AS4" s="758" t="s">
        <v>555</v>
      </c>
      <c r="AT4" s="755" t="s">
        <v>556</v>
      </c>
      <c r="AU4" s="759" t="s">
        <v>557</v>
      </c>
      <c r="AV4" s="758" t="s">
        <v>555</v>
      </c>
      <c r="AW4" s="755" t="s">
        <v>556</v>
      </c>
      <c r="AX4" s="759" t="s">
        <v>557</v>
      </c>
      <c r="AY4" s="758" t="s">
        <v>555</v>
      </c>
      <c r="AZ4" s="755" t="s">
        <v>556</v>
      </c>
      <c r="BA4" s="759" t="s">
        <v>557</v>
      </c>
      <c r="BB4" s="758" t="s">
        <v>555</v>
      </c>
      <c r="BC4" s="755" t="s">
        <v>556</v>
      </c>
      <c r="BD4" s="759" t="s">
        <v>557</v>
      </c>
      <c r="BE4" s="758" t="s">
        <v>555</v>
      </c>
      <c r="BF4" s="755" t="s">
        <v>556</v>
      </c>
      <c r="BG4" s="759" t="s">
        <v>557</v>
      </c>
      <c r="BH4" s="760"/>
    </row>
    <row r="5">
      <c r="A5" s="761" t="s">
        <v>558</v>
      </c>
      <c r="B5" s="4"/>
      <c r="C5" s="4"/>
      <c r="D5" s="4"/>
      <c r="E5" s="4"/>
      <c r="F5" s="762">
        <f>'Main CEA'!I191</f>
        <v>18.0174674</v>
      </c>
      <c r="G5" s="15"/>
      <c r="H5" s="763"/>
      <c r="I5" s="762">
        <f>'Main CEA'!J191</f>
        <v>8.019128417</v>
      </c>
      <c r="J5" s="15"/>
      <c r="K5" s="763"/>
      <c r="L5" s="762">
        <f>'Main CEA'!K191</f>
        <v>7.852125556</v>
      </c>
      <c r="M5" s="15"/>
      <c r="N5" s="763"/>
      <c r="O5" s="762">
        <f>'Main CEA'!L191</f>
        <v>9.246029712</v>
      </c>
      <c r="P5" s="15"/>
      <c r="Q5" s="763"/>
      <c r="R5" s="762">
        <f>'Main CEA'!M191</f>
        <v>9.101271824</v>
      </c>
      <c r="S5" s="15"/>
      <c r="T5" s="763"/>
      <c r="U5" s="762">
        <f>'Main CEA'!N191</f>
        <v>12.5733096</v>
      </c>
      <c r="V5" s="15"/>
      <c r="W5" s="763"/>
      <c r="X5" s="762">
        <f>'Main CEA'!O191</f>
        <v>11.49583583</v>
      </c>
      <c r="Y5" s="15"/>
      <c r="Z5" s="763"/>
      <c r="AA5" s="762">
        <f>'Main CEA'!P191</f>
        <v>21.23317512</v>
      </c>
      <c r="AB5" s="15"/>
      <c r="AC5" s="763"/>
      <c r="AD5" s="762">
        <f>'Main CEA'!Q191</f>
        <v>18.02657078</v>
      </c>
      <c r="AE5" s="15"/>
      <c r="AF5" s="763"/>
      <c r="AG5" s="762">
        <f>'Main CEA'!R191</f>
        <v>16.09673298</v>
      </c>
      <c r="AH5" s="15"/>
      <c r="AI5" s="763"/>
      <c r="AJ5" s="762">
        <f>'Main CEA'!S191</f>
        <v>29.42816881</v>
      </c>
      <c r="AK5" s="15"/>
      <c r="AL5" s="763"/>
      <c r="AM5" s="762">
        <f>'Main CEA'!T191</f>
        <v>21.04785894</v>
      </c>
      <c r="AN5" s="15"/>
      <c r="AO5" s="763"/>
      <c r="AP5" s="762">
        <f>'Main CEA'!U191</f>
        <v>22.32938367</v>
      </c>
      <c r="AQ5" s="15"/>
      <c r="AR5" s="763"/>
      <c r="AS5" s="762">
        <f>'Main CEA'!V191</f>
        <v>24.33012971</v>
      </c>
      <c r="AT5" s="15"/>
      <c r="AU5" s="763"/>
      <c r="AV5" s="762">
        <f>'Main CEA'!W191</f>
        <v>16.04591397</v>
      </c>
      <c r="AW5" s="15"/>
      <c r="AX5" s="763"/>
      <c r="AY5" s="762">
        <f>'Main CEA'!X191</f>
        <v>29.83296948</v>
      </c>
      <c r="AZ5" s="15"/>
      <c r="BA5" s="763"/>
      <c r="BB5" s="762">
        <f>'Main CEA'!Y191</f>
        <v>10.567669</v>
      </c>
      <c r="BC5" s="15"/>
      <c r="BD5" s="763"/>
      <c r="BE5" s="762">
        <f>'Main CEA'!Z191</f>
        <v>10.36078258</v>
      </c>
      <c r="BF5" s="15"/>
      <c r="BG5" s="763"/>
      <c r="BH5" s="772"/>
    </row>
    <row r="6">
      <c r="A6" s="66" t="s">
        <v>563</v>
      </c>
      <c r="B6" s="17"/>
      <c r="C6" s="17"/>
      <c r="D6" s="17"/>
      <c r="E6" s="17"/>
      <c r="F6" s="773"/>
      <c r="G6" s="774"/>
      <c r="H6" s="775"/>
      <c r="I6" s="773"/>
      <c r="J6" s="774"/>
      <c r="K6" s="775"/>
      <c r="L6" s="773"/>
      <c r="M6" s="774"/>
      <c r="N6" s="775"/>
      <c r="O6" s="773"/>
      <c r="P6" s="774"/>
      <c r="Q6" s="775"/>
      <c r="R6" s="773"/>
      <c r="S6" s="774"/>
      <c r="T6" s="775"/>
      <c r="U6" s="773"/>
      <c r="V6" s="774"/>
      <c r="W6" s="775"/>
      <c r="X6" s="773"/>
      <c r="Y6" s="774"/>
      <c r="Z6" s="775"/>
      <c r="AA6" s="773"/>
      <c r="AB6" s="774"/>
      <c r="AC6" s="775"/>
      <c r="AD6" s="773"/>
      <c r="AE6" s="774"/>
      <c r="AF6" s="775"/>
      <c r="AG6" s="773"/>
      <c r="AH6" s="774"/>
      <c r="AI6" s="775"/>
      <c r="AJ6" s="773"/>
      <c r="AK6" s="774"/>
      <c r="AL6" s="775"/>
      <c r="AM6" s="773"/>
      <c r="AN6" s="774"/>
      <c r="AO6" s="775"/>
      <c r="AP6" s="773"/>
      <c r="AQ6" s="774"/>
      <c r="AR6" s="775"/>
      <c r="AS6" s="773"/>
      <c r="AT6" s="774"/>
      <c r="AU6" s="775"/>
      <c r="AV6" s="773"/>
      <c r="AW6" s="774"/>
      <c r="AX6" s="775"/>
      <c r="AY6" s="773"/>
      <c r="AZ6" s="774"/>
      <c r="BA6" s="775"/>
      <c r="BB6" s="773"/>
      <c r="BC6" s="774"/>
      <c r="BD6" s="775"/>
      <c r="BE6" s="773"/>
      <c r="BF6" s="774"/>
      <c r="BG6" s="775"/>
      <c r="BH6" s="779"/>
    </row>
    <row r="7">
      <c r="A7" s="71"/>
      <c r="B7" s="72"/>
      <c r="C7" s="72"/>
      <c r="D7" s="72"/>
      <c r="E7" s="289"/>
      <c r="F7" s="783"/>
      <c r="G7" s="786"/>
      <c r="H7" s="787"/>
      <c r="I7" s="788"/>
      <c r="J7" s="789"/>
      <c r="K7" s="790"/>
      <c r="L7" s="788"/>
      <c r="M7" s="789"/>
      <c r="N7" s="790"/>
      <c r="O7" s="788"/>
      <c r="P7" s="789"/>
      <c r="Q7" s="790"/>
      <c r="R7" s="788"/>
      <c r="S7" s="789"/>
      <c r="T7" s="790"/>
      <c r="U7" s="788"/>
      <c r="V7" s="789"/>
      <c r="W7" s="790"/>
      <c r="X7" s="788"/>
      <c r="Y7" s="789"/>
      <c r="Z7" s="790"/>
      <c r="AA7" s="788"/>
      <c r="AB7" s="789"/>
      <c r="AC7" s="790"/>
      <c r="AD7" s="788"/>
      <c r="AE7" s="789"/>
      <c r="AF7" s="790"/>
      <c r="AG7" s="788"/>
      <c r="AH7" s="789"/>
      <c r="AI7" s="790"/>
      <c r="AJ7" s="788"/>
      <c r="AK7" s="789"/>
      <c r="AL7" s="790"/>
      <c r="AM7" s="788"/>
      <c r="AN7" s="789"/>
      <c r="AO7" s="790"/>
      <c r="AP7" s="788"/>
      <c r="AQ7" s="789"/>
      <c r="AR7" s="790"/>
      <c r="AS7" s="788"/>
      <c r="AT7" s="789"/>
      <c r="AU7" s="790"/>
      <c r="AV7" s="788"/>
      <c r="AW7" s="789"/>
      <c r="AX7" s="790"/>
      <c r="AY7" s="788"/>
      <c r="AZ7" s="789"/>
      <c r="BA7" s="790"/>
      <c r="BB7" s="788"/>
      <c r="BC7" s="789"/>
      <c r="BD7" s="790"/>
      <c r="BE7" s="788"/>
      <c r="BF7" s="789"/>
      <c r="BG7" s="790"/>
      <c r="BH7" s="690"/>
    </row>
    <row r="8">
      <c r="A8" s="71"/>
      <c r="B8" s="72"/>
      <c r="C8" s="107" t="s">
        <v>504</v>
      </c>
      <c r="F8" s="791"/>
      <c r="G8" s="792"/>
      <c r="H8" s="793"/>
      <c r="I8" s="791"/>
      <c r="J8" s="792"/>
      <c r="K8" s="793"/>
      <c r="L8" s="791"/>
      <c r="M8" s="792"/>
      <c r="N8" s="793"/>
      <c r="O8" s="791"/>
      <c r="P8" s="792"/>
      <c r="Q8" s="793"/>
      <c r="R8" s="791"/>
      <c r="S8" s="792"/>
      <c r="T8" s="793"/>
      <c r="U8" s="791"/>
      <c r="V8" s="792"/>
      <c r="W8" s="793"/>
      <c r="X8" s="791"/>
      <c r="Y8" s="792"/>
      <c r="Z8" s="793"/>
      <c r="AA8" s="791"/>
      <c r="AB8" s="792"/>
      <c r="AC8" s="793"/>
      <c r="AD8" s="791"/>
      <c r="AE8" s="792"/>
      <c r="AF8" s="793"/>
      <c r="AG8" s="791"/>
      <c r="AH8" s="792"/>
      <c r="AI8" s="793"/>
      <c r="AJ8" s="791"/>
      <c r="AK8" s="792"/>
      <c r="AL8" s="793"/>
      <c r="AM8" s="791"/>
      <c r="AN8" s="792"/>
      <c r="AO8" s="793"/>
      <c r="AP8" s="791"/>
      <c r="AQ8" s="792"/>
      <c r="AR8" s="793"/>
      <c r="AS8" s="791"/>
      <c r="AT8" s="792"/>
      <c r="AU8" s="793"/>
      <c r="AV8" s="791"/>
      <c r="AW8" s="792"/>
      <c r="AX8" s="793"/>
      <c r="AY8" s="791"/>
      <c r="AZ8" s="792"/>
      <c r="BA8" s="793"/>
      <c r="BB8" s="791"/>
      <c r="BC8" s="792"/>
      <c r="BD8" s="793"/>
      <c r="BE8" s="791"/>
      <c r="BF8" s="792"/>
      <c r="BG8" s="793"/>
      <c r="BH8" s="690"/>
    </row>
    <row r="9">
      <c r="A9" s="71"/>
      <c r="B9" s="72"/>
      <c r="C9" s="107"/>
      <c r="D9" s="72"/>
      <c r="E9" s="334" t="s">
        <v>506</v>
      </c>
      <c r="F9" s="797">
        <v>5.3</v>
      </c>
      <c r="G9" s="799">
        <f t="array" ref="G9">IF(F$3="",INDEX('Simple CEA'!$H$7:$Z$39,MATCH($E9,'Simple CEA'!$E$7:$E$39,0),MATCH(F$2,'Simple CEA'!$H$2:$Z$2,0)),INDEX('Simple CEA'!$H$7:$Z$39,MATCH($E9,'Simple CEA'!$E$7:$E$39,0),MATCH(F$3,'Simple CEA'!$H$3:$Z$3,0)))</f>
        <v>5.688830152</v>
      </c>
      <c r="H9" s="801">
        <v>6.5</v>
      </c>
      <c r="I9" s="797">
        <v>6.05</v>
      </c>
      <c r="J9" s="799">
        <f t="array" ref="J9">IF(I$3="",INDEX('Simple CEA'!$H$7:$Z$39,MATCH($E9,'Simple CEA'!$E$7:$E$39,0),MATCH(I$2,'Simple CEA'!$H$2:$Z$2,0)),INDEX('Simple CEA'!$H$7:$Z$39,MATCH($E9,'Simple CEA'!$E$7:$E$39,0),MATCH(I$3,'Simple CEA'!$H$3:$Z$3,0)))</f>
        <v>6.475448975</v>
      </c>
      <c r="K9" s="801">
        <v>7.37</v>
      </c>
      <c r="L9" s="797" t="s">
        <v>124</v>
      </c>
      <c r="M9" s="805" t="s">
        <v>124</v>
      </c>
      <c r="N9" s="801" t="s">
        <v>124</v>
      </c>
      <c r="O9" s="797" t="s">
        <v>124</v>
      </c>
      <c r="P9" s="805" t="s">
        <v>124</v>
      </c>
      <c r="Q9" s="801" t="s">
        <v>124</v>
      </c>
      <c r="R9" s="797" t="s">
        <v>124</v>
      </c>
      <c r="S9" s="805" t="s">
        <v>124</v>
      </c>
      <c r="T9" s="801" t="s">
        <v>124</v>
      </c>
      <c r="U9" s="797" t="s">
        <v>124</v>
      </c>
      <c r="V9" s="805" t="s">
        <v>124</v>
      </c>
      <c r="W9" s="801" t="s">
        <v>124</v>
      </c>
      <c r="X9" s="797" t="s">
        <v>124</v>
      </c>
      <c r="Y9" s="805" t="s">
        <v>124</v>
      </c>
      <c r="Z9" s="801" t="s">
        <v>124</v>
      </c>
      <c r="AA9" s="797">
        <v>4.68</v>
      </c>
      <c r="AB9" s="799">
        <f t="array" ref="AB9">IF(AA$3="",INDEX('Simple CEA'!$H$7:$Z$39,MATCH($E9,'Simple CEA'!$E$7:$E$39,0),MATCH(AA$2,'Simple CEA'!$H$2:$Z$2,0)),INDEX('Simple CEA'!$H$7:$Z$39,MATCH($E9,'Simple CEA'!$E$7:$E$39,0),MATCH(AA$3,'Simple CEA'!$H$3:$Z$3,0)))</f>
        <v>5.042736685</v>
      </c>
      <c r="AC9" s="801">
        <v>5.78</v>
      </c>
      <c r="AD9" s="797">
        <v>4.68</v>
      </c>
      <c r="AE9" s="799">
        <f t="array" ref="AE9">IF(AD$3="",INDEX('Simple CEA'!$H$7:$Z$39,MATCH($E9,'Simple CEA'!$E$7:$E$39,0),MATCH(AD$2,'Simple CEA'!$H$2:$Z$2,0)),INDEX('Simple CEA'!$H$7:$Z$39,MATCH($E9,'Simple CEA'!$E$7:$E$39,0),MATCH(AD$3,'Simple CEA'!$H$3:$Z$3,0)))</f>
        <v>5.042736685</v>
      </c>
      <c r="AF9" s="801">
        <v>5.78</v>
      </c>
      <c r="AG9" s="797">
        <v>5.88</v>
      </c>
      <c r="AH9" s="799">
        <f t="array" ref="AH9">IF(AG$3="",INDEX('Simple CEA'!$H$7:$Z$39,MATCH($E9,'Simple CEA'!$E$7:$E$39,0),MATCH(AG$2,'Simple CEA'!$H$2:$Z$2,0)),INDEX('Simple CEA'!$H$7:$Z$39,MATCH($E9,'Simple CEA'!$E$7:$E$39,0),MATCH(AG$3,'Simple CEA'!$H$3:$Z$3,0)))</f>
        <v>6.303420857</v>
      </c>
      <c r="AI9" s="801">
        <v>7.17</v>
      </c>
      <c r="AJ9" s="797">
        <v>4.68</v>
      </c>
      <c r="AK9" s="799">
        <f t="array" ref="AK9">IF(AJ$3="",INDEX('Simple CEA'!$H$7:$Z$39,MATCH($E9,'Simple CEA'!$E$7:$E$39,0),MATCH(AJ$2,'Simple CEA'!$H$2:$Z$2,0)),INDEX('Simple CEA'!$H$7:$Z$39,MATCH($E9,'Simple CEA'!$E$7:$E$39,0),MATCH(AJ$3,'Simple CEA'!$H$3:$Z$3,0)))</f>
        <v>5.042736685</v>
      </c>
      <c r="AL9" s="801">
        <v>5.78</v>
      </c>
      <c r="AM9" s="797">
        <v>5.88</v>
      </c>
      <c r="AN9" s="799">
        <f t="array" ref="AN9">IF(AM$3="",INDEX('Simple CEA'!$H$7:$Z$39,MATCH($E9,'Simple CEA'!$E$7:$E$39,0),MATCH(AM$2,'Simple CEA'!$H$2:$Z$2,0)),INDEX('Simple CEA'!$H$7:$Z$39,MATCH($E9,'Simple CEA'!$E$7:$E$39,0),MATCH(AM$3,'Simple CEA'!$H$3:$Z$3,0)))</f>
        <v>6.303420857</v>
      </c>
      <c r="AO9" s="801">
        <v>7.17</v>
      </c>
      <c r="AP9" s="797">
        <v>5.88</v>
      </c>
      <c r="AQ9" s="799">
        <f t="array" ref="AQ9">IF(AP$3="",INDEX('Simple CEA'!$H$7:$Z$39,MATCH($E9,'Simple CEA'!$E$7:$E$39,0),MATCH(AP$2,'Simple CEA'!$H$2:$Z$2,0)),INDEX('Simple CEA'!$H$7:$Z$39,MATCH($E9,'Simple CEA'!$E$7:$E$39,0),MATCH(AP$3,'Simple CEA'!$H$3:$Z$3,0)))</f>
        <v>6.303420857</v>
      </c>
      <c r="AR9" s="801">
        <v>7.17</v>
      </c>
      <c r="AS9" s="797">
        <v>5.88</v>
      </c>
      <c r="AT9" s="799">
        <f t="array" ref="AT9">IF(AS$3="",INDEX('Simple CEA'!$H$7:$Z$39,MATCH($E9,'Simple CEA'!$E$7:$E$39,0),MATCH(AS$2,'Simple CEA'!$H$2:$Z$2,0)),INDEX('Simple CEA'!$H$7:$Z$39,MATCH($E9,'Simple CEA'!$E$7:$E$39,0),MATCH(AS$3,'Simple CEA'!$H$3:$Z$3,0)))</f>
        <v>6.303420857</v>
      </c>
      <c r="AU9" s="801">
        <v>7.17</v>
      </c>
      <c r="AV9" s="797">
        <v>5.88</v>
      </c>
      <c r="AW9" s="799">
        <f t="array" ref="AW9">IF(AV$3="",INDEX('Simple CEA'!$H$7:$Z$39,MATCH($E9,'Simple CEA'!$E$7:$E$39,0),MATCH(AV$2,'Simple CEA'!$H$2:$Z$2,0)),INDEX('Simple CEA'!$H$7:$Z$39,MATCH($E9,'Simple CEA'!$E$7:$E$39,0),MATCH(AV$3,'Simple CEA'!$H$3:$Z$3,0)))</f>
        <v>6.303420857</v>
      </c>
      <c r="AX9" s="801">
        <v>7.17</v>
      </c>
      <c r="AY9" s="797">
        <v>4.68</v>
      </c>
      <c r="AZ9" s="799">
        <f t="array" ref="AZ9">IF(AY$3="",INDEX('Simple CEA'!$H$7:$Z$39,MATCH($E9,'Simple CEA'!$E$7:$E$39,0),MATCH(AY$2,'Simple CEA'!$H$2:$Z$2,0)),INDEX('Simple CEA'!$H$7:$Z$39,MATCH($E9,'Simple CEA'!$E$7:$E$39,0),MATCH(AY$3,'Simple CEA'!$H$3:$Z$3,0)))</f>
        <v>5.042736685</v>
      </c>
      <c r="BA9" s="801">
        <v>5.78</v>
      </c>
      <c r="BB9" s="797">
        <v>5.0</v>
      </c>
      <c r="BC9" s="799">
        <f t="array" ref="BC9">IF(BB$3="",INDEX('Simple CEA'!$H$7:$Z$39,MATCH($E9,'Simple CEA'!$E$7:$E$39,0),MATCH(BB$2,'Simple CEA'!$H$2:$Z$2,0)),INDEX('Simple CEA'!$H$7:$Z$39,MATCH($E9,'Simple CEA'!$E$7:$E$39,0),MATCH(BB$3,'Simple CEA'!$H$3:$Z$3,0)))</f>
        <v>5.373569829</v>
      </c>
      <c r="BD9" s="801">
        <v>6.9</v>
      </c>
      <c r="BE9" s="797" t="s">
        <v>124</v>
      </c>
      <c r="BF9" s="805" t="s">
        <v>124</v>
      </c>
      <c r="BG9" s="801" t="s">
        <v>124</v>
      </c>
      <c r="BH9" s="697"/>
    </row>
    <row r="10">
      <c r="A10" s="71"/>
      <c r="B10" s="72"/>
      <c r="C10" s="107"/>
      <c r="D10" s="72"/>
      <c r="E10" s="508" t="s">
        <v>523</v>
      </c>
      <c r="F10" s="834">
        <v>0.0031</v>
      </c>
      <c r="G10" s="836">
        <f t="array" ref="G10">IF(F$3="",INDEX('Simple CEA'!$H$7:$Z$39,MATCH($E10,'Simple CEA'!$E$7:$E$39,0),MATCH(F$2,'Simple CEA'!$H$2:$Z$2,0)),INDEX('Simple CEA'!$H$7:$Z$39,MATCH($E10,'Simple CEA'!$E$7:$E$39,0),MATCH(F$3,'Simple CEA'!$H$3:$Z$3,0)))</f>
        <v>0.006730294518</v>
      </c>
      <c r="H10" s="837">
        <v>0.0095</v>
      </c>
      <c r="I10" s="834">
        <v>7.0E-4</v>
      </c>
      <c r="J10" s="836">
        <f t="array" ref="J10">IF(I$3="",INDEX('Simple CEA'!$H$7:$Z$39,MATCH($E10,'Simple CEA'!$E$7:$E$39,0),MATCH(I$2,'Simple CEA'!$H$2:$Z$2,0)),INDEX('Simple CEA'!$H$7:$Z$39,MATCH($E10,'Simple CEA'!$E$7:$E$39,0),MATCH(I$3,'Simple CEA'!$H$3:$Z$3,0)))</f>
        <v>0.002245654081</v>
      </c>
      <c r="K10" s="837">
        <v>0.0035</v>
      </c>
      <c r="L10" s="838" t="s">
        <v>124</v>
      </c>
      <c r="M10" s="839" t="s">
        <v>124</v>
      </c>
      <c r="N10" s="840" t="s">
        <v>124</v>
      </c>
      <c r="O10" s="838" t="s">
        <v>124</v>
      </c>
      <c r="P10" s="839" t="s">
        <v>124</v>
      </c>
      <c r="Q10" s="840" t="s">
        <v>124</v>
      </c>
      <c r="R10" s="838" t="s">
        <v>124</v>
      </c>
      <c r="S10" s="839" t="s">
        <v>124</v>
      </c>
      <c r="T10" s="840" t="s">
        <v>124</v>
      </c>
      <c r="U10" s="838" t="s">
        <v>124</v>
      </c>
      <c r="V10" s="839" t="s">
        <v>124</v>
      </c>
      <c r="W10" s="840" t="s">
        <v>124</v>
      </c>
      <c r="X10" s="838" t="s">
        <v>124</v>
      </c>
      <c r="Y10" s="839" t="s">
        <v>124</v>
      </c>
      <c r="Z10" s="840" t="s">
        <v>124</v>
      </c>
      <c r="AA10" s="834">
        <v>0.0018</v>
      </c>
      <c r="AB10" s="836">
        <f t="array" ref="AB10">IF(AA$3="",INDEX('Simple CEA'!$H$7:$Z$39,MATCH($E10,'Simple CEA'!$E$7:$E$39,0),MATCH(AA$2,'Simple CEA'!$H$2:$Z$2,0)),INDEX('Simple CEA'!$H$7:$Z$39,MATCH($E10,'Simple CEA'!$E$7:$E$39,0),MATCH(AA$3,'Simple CEA'!$H$3:$Z$3,0)))</f>
        <v>0.004261027438</v>
      </c>
      <c r="AC10" s="837">
        <v>0.0062</v>
      </c>
      <c r="AD10" s="834">
        <v>0.001</v>
      </c>
      <c r="AE10" s="836">
        <f t="array" ref="AE10">IF(AD$3="",INDEX('Simple CEA'!$H$7:$Z$39,MATCH($E10,'Simple CEA'!$E$7:$E$39,0),MATCH(AD$2,'Simple CEA'!$H$2:$Z$2,0)),INDEX('Simple CEA'!$H$7:$Z$39,MATCH($E10,'Simple CEA'!$E$7:$E$39,0),MATCH(AD$3,'Simple CEA'!$H$3:$Z$3,0)))</f>
        <v>0.002874568801</v>
      </c>
      <c r="AF10" s="837">
        <v>0.0042</v>
      </c>
      <c r="AG10" s="834">
        <v>0.0011</v>
      </c>
      <c r="AH10" s="836">
        <f t="array" ref="AH10">IF(AG$3="",INDEX('Simple CEA'!$H$7:$Z$39,MATCH($E10,'Simple CEA'!$E$7:$E$39,0),MATCH(AG$2,'Simple CEA'!$H$2:$Z$2,0)),INDEX('Simple CEA'!$H$7:$Z$39,MATCH($E10,'Simple CEA'!$E$7:$E$39,0),MATCH(AG$3,'Simple CEA'!$H$3:$Z$3,0)))</f>
        <v>0.003042403195</v>
      </c>
      <c r="AI10" s="837">
        <v>0.0044</v>
      </c>
      <c r="AJ10" s="834">
        <v>0.0023</v>
      </c>
      <c r="AK10" s="836">
        <f t="array" ref="AK10">IF(AJ$3="",INDEX('Simple CEA'!$H$7:$Z$39,MATCH($E10,'Simple CEA'!$E$7:$E$39,0),MATCH(AJ$2,'Simple CEA'!$H$2:$Z$2,0)),INDEX('Simple CEA'!$H$7:$Z$39,MATCH($E10,'Simple CEA'!$E$7:$E$39,0),MATCH(AJ$3,'Simple CEA'!$H$3:$Z$3,0)))</f>
        <v>0.005477765772</v>
      </c>
      <c r="AL10" s="837">
        <v>0.0076</v>
      </c>
      <c r="AM10" s="834">
        <v>0.0016</v>
      </c>
      <c r="AN10" s="836">
        <f t="array" ref="AN10">IF(AM$3="",INDEX('Simple CEA'!$H$7:$Z$39,MATCH($E10,'Simple CEA'!$E$7:$E$39,0),MATCH(AM$2,'Simple CEA'!$H$2:$Z$2,0)),INDEX('Simple CEA'!$H$7:$Z$39,MATCH($E10,'Simple CEA'!$E$7:$E$39,0),MATCH(AM$3,'Simple CEA'!$H$3:$Z$3,0)))</f>
        <v>0.003703092873</v>
      </c>
      <c r="AO10" s="837">
        <v>0.0056</v>
      </c>
      <c r="AP10" s="834">
        <v>0.0019</v>
      </c>
      <c r="AQ10" s="836">
        <f t="array" ref="AQ10">IF(AP$3="",INDEX('Simple CEA'!$H$7:$Z$39,MATCH($E10,'Simple CEA'!$E$7:$E$39,0),MATCH(AP$2,'Simple CEA'!$H$2:$Z$2,0)),INDEX('Simple CEA'!$H$7:$Z$39,MATCH($E10,'Simple CEA'!$E$7:$E$39,0),MATCH(AP$3,'Simple CEA'!$H$3:$Z$3,0)))</f>
        <v>0.004754051306</v>
      </c>
      <c r="AR10" s="837">
        <v>0.0073</v>
      </c>
      <c r="AS10" s="834">
        <v>0.0015</v>
      </c>
      <c r="AT10" s="836">
        <f t="array" ref="AT10">IF(AS$3="",INDEX('Simple CEA'!$H$7:$Z$39,MATCH($E10,'Simple CEA'!$E$7:$E$39,0),MATCH(AS$2,'Simple CEA'!$H$2:$Z$2,0)),INDEX('Simple CEA'!$H$7:$Z$39,MATCH($E10,'Simple CEA'!$E$7:$E$39,0),MATCH(AS$3,'Simple CEA'!$H$3:$Z$3,0)))</f>
        <v>0.00390283285</v>
      </c>
      <c r="AU10" s="837">
        <v>0.0059</v>
      </c>
      <c r="AV10" s="834">
        <v>0.0012</v>
      </c>
      <c r="AW10" s="836">
        <f t="array" ref="AW10">IF(AV$3="",INDEX('Simple CEA'!$H$7:$Z$39,MATCH($E10,'Simple CEA'!$E$7:$E$39,0),MATCH(AV$2,'Simple CEA'!$H$2:$Z$2,0)),INDEX('Simple CEA'!$H$7:$Z$39,MATCH($E10,'Simple CEA'!$E$7:$E$39,0),MATCH(AV$3,'Simple CEA'!$H$3:$Z$3,0)))</f>
        <v>0.003299604583</v>
      </c>
      <c r="AX10" s="837">
        <v>0.005</v>
      </c>
      <c r="AY10" s="834">
        <v>0.0028</v>
      </c>
      <c r="AZ10" s="836">
        <f t="array" ref="AZ10">IF(AY$3="",INDEX('Simple CEA'!$H$7:$Z$39,MATCH($E10,'Simple CEA'!$E$7:$E$39,0),MATCH(AY$2,'Simple CEA'!$H$2:$Z$2,0)),INDEX('Simple CEA'!$H$7:$Z$39,MATCH($E10,'Simple CEA'!$E$7:$E$39,0),MATCH(AY$3,'Simple CEA'!$H$3:$Z$3,0)))</f>
        <v>0.006010187767</v>
      </c>
      <c r="BA10" s="837">
        <v>0.0086</v>
      </c>
      <c r="BB10" s="834">
        <v>0.001</v>
      </c>
      <c r="BC10" s="836">
        <f t="array" ref="BC10">IF(BB$3="",INDEX('Simple CEA'!$H$7:$Z$39,MATCH($E10,'Simple CEA'!$E$7:$E$39,0),MATCH(BB$2,'Simple CEA'!$H$2:$Z$2,0)),INDEX('Simple CEA'!$H$7:$Z$39,MATCH($E10,'Simple CEA'!$E$7:$E$39,0),MATCH(BB$3,'Simple CEA'!$H$3:$Z$3,0)))</f>
        <v>0.002798551529</v>
      </c>
      <c r="BD10" s="837">
        <v>0.0044</v>
      </c>
      <c r="BE10" s="838" t="s">
        <v>124</v>
      </c>
      <c r="BF10" s="839" t="s">
        <v>124</v>
      </c>
      <c r="BG10" s="840" t="s">
        <v>124</v>
      </c>
      <c r="BH10" s="703"/>
    </row>
    <row r="11">
      <c r="A11" s="71"/>
      <c r="B11" s="72"/>
      <c r="C11" s="107"/>
      <c r="D11" s="72"/>
      <c r="E11" s="508" t="s">
        <v>527</v>
      </c>
      <c r="F11" s="844">
        <v>0.62</v>
      </c>
      <c r="G11" s="845">
        <f t="array" ref="G11">IF(F$3="",INDEX('Simple CEA'!$H$7:$Z$39,MATCH($E11,'Simple CEA'!$E$7:$E$39,0),MATCH(F$2,'Simple CEA'!$H$2:$Z$2,0)),INDEX('Simple CEA'!$H$7:$Z$39,MATCH($E11,'Simple CEA'!$E$7:$E$39,0),MATCH(F$3,'Simple CEA'!$H$3:$Z$3,0)))</f>
        <v>0.7</v>
      </c>
      <c r="H11" s="846">
        <v>0.79</v>
      </c>
      <c r="I11" s="844">
        <v>0.62</v>
      </c>
      <c r="J11" s="845">
        <f t="array" ref="J11">IF(I$3="",INDEX('Simple CEA'!$H$7:$Z$39,MATCH($E11,'Simple CEA'!$E$7:$E$39,0),MATCH(I$2,'Simple CEA'!$H$2:$Z$2,0)),INDEX('Simple CEA'!$H$7:$Z$39,MATCH($E11,'Simple CEA'!$E$7:$E$39,0),MATCH(I$3,'Simple CEA'!$H$3:$Z$3,0)))</f>
        <v>0.7</v>
      </c>
      <c r="K11" s="846">
        <v>0.79</v>
      </c>
      <c r="L11" s="838" t="s">
        <v>124</v>
      </c>
      <c r="M11" s="839" t="s">
        <v>124</v>
      </c>
      <c r="N11" s="840" t="s">
        <v>124</v>
      </c>
      <c r="O11" s="838" t="s">
        <v>124</v>
      </c>
      <c r="P11" s="839" t="s">
        <v>124</v>
      </c>
      <c r="Q11" s="840" t="s">
        <v>124</v>
      </c>
      <c r="R11" s="838" t="s">
        <v>124</v>
      </c>
      <c r="S11" s="839" t="s">
        <v>124</v>
      </c>
      <c r="T11" s="840" t="s">
        <v>124</v>
      </c>
      <c r="U11" s="838" t="s">
        <v>124</v>
      </c>
      <c r="V11" s="839" t="s">
        <v>124</v>
      </c>
      <c r="W11" s="840" t="s">
        <v>124</v>
      </c>
      <c r="X11" s="838" t="s">
        <v>124</v>
      </c>
      <c r="Y11" s="839" t="s">
        <v>124</v>
      </c>
      <c r="Z11" s="840" t="s">
        <v>124</v>
      </c>
      <c r="AA11" s="844">
        <v>0.62</v>
      </c>
      <c r="AB11" s="845">
        <f t="array" ref="AB11">IF(AA$3="",INDEX('Simple CEA'!$H$7:$Z$39,MATCH($E11,'Simple CEA'!$E$7:$E$39,0),MATCH(AA$2,'Simple CEA'!$H$2:$Z$2,0)),INDEX('Simple CEA'!$H$7:$Z$39,MATCH($E11,'Simple CEA'!$E$7:$E$39,0),MATCH(AA$3,'Simple CEA'!$H$3:$Z$3,0)))</f>
        <v>0.7</v>
      </c>
      <c r="AC11" s="846">
        <v>0.79</v>
      </c>
      <c r="AD11" s="844">
        <v>0.62</v>
      </c>
      <c r="AE11" s="845">
        <f t="array" ref="AE11">IF(AD$3="",INDEX('Simple CEA'!$H$7:$Z$39,MATCH($E11,'Simple CEA'!$E$7:$E$39,0),MATCH(AD$2,'Simple CEA'!$H$2:$Z$2,0)),INDEX('Simple CEA'!$H$7:$Z$39,MATCH($E11,'Simple CEA'!$E$7:$E$39,0),MATCH(AD$3,'Simple CEA'!$H$3:$Z$3,0)))</f>
        <v>0.7</v>
      </c>
      <c r="AF11" s="846">
        <v>0.79</v>
      </c>
      <c r="AG11" s="844">
        <v>0.62</v>
      </c>
      <c r="AH11" s="845">
        <f t="array" ref="AH11">IF(AG$3="",INDEX('Simple CEA'!$H$7:$Z$39,MATCH($E11,'Simple CEA'!$E$7:$E$39,0),MATCH(AG$2,'Simple CEA'!$H$2:$Z$2,0)),INDEX('Simple CEA'!$H$7:$Z$39,MATCH($E11,'Simple CEA'!$E$7:$E$39,0),MATCH(AG$3,'Simple CEA'!$H$3:$Z$3,0)))</f>
        <v>0.7</v>
      </c>
      <c r="AI11" s="846">
        <v>0.79</v>
      </c>
      <c r="AJ11" s="844">
        <v>0.62</v>
      </c>
      <c r="AK11" s="845">
        <f t="array" ref="AK11">IF(AJ$3="",INDEX('Simple CEA'!$H$7:$Z$39,MATCH($E11,'Simple CEA'!$E$7:$E$39,0),MATCH(AJ$2,'Simple CEA'!$H$2:$Z$2,0)),INDEX('Simple CEA'!$H$7:$Z$39,MATCH($E11,'Simple CEA'!$E$7:$E$39,0),MATCH(AJ$3,'Simple CEA'!$H$3:$Z$3,0)))</f>
        <v>0.7</v>
      </c>
      <c r="AL11" s="846">
        <v>0.79</v>
      </c>
      <c r="AM11" s="844">
        <v>0.62</v>
      </c>
      <c r="AN11" s="845">
        <f t="array" ref="AN11">IF(AM$3="",INDEX('Simple CEA'!$H$7:$Z$39,MATCH($E11,'Simple CEA'!$E$7:$E$39,0),MATCH(AM$2,'Simple CEA'!$H$2:$Z$2,0)),INDEX('Simple CEA'!$H$7:$Z$39,MATCH($E11,'Simple CEA'!$E$7:$E$39,0),MATCH(AM$3,'Simple CEA'!$H$3:$Z$3,0)))</f>
        <v>0.7</v>
      </c>
      <c r="AO11" s="846">
        <v>0.79</v>
      </c>
      <c r="AP11" s="844">
        <v>0.62</v>
      </c>
      <c r="AQ11" s="845">
        <f t="array" ref="AQ11">IF(AP$3="",INDEX('Simple CEA'!$H$7:$Z$39,MATCH($E11,'Simple CEA'!$E$7:$E$39,0),MATCH(AP$2,'Simple CEA'!$H$2:$Z$2,0)),INDEX('Simple CEA'!$H$7:$Z$39,MATCH($E11,'Simple CEA'!$E$7:$E$39,0),MATCH(AP$3,'Simple CEA'!$H$3:$Z$3,0)))</f>
        <v>0.7</v>
      </c>
      <c r="AR11" s="846">
        <v>0.79</v>
      </c>
      <c r="AS11" s="844">
        <v>0.62</v>
      </c>
      <c r="AT11" s="845">
        <f t="array" ref="AT11">IF(AS$3="",INDEX('Simple CEA'!$H$7:$Z$39,MATCH($E11,'Simple CEA'!$E$7:$E$39,0),MATCH(AS$2,'Simple CEA'!$H$2:$Z$2,0)),INDEX('Simple CEA'!$H$7:$Z$39,MATCH($E11,'Simple CEA'!$E$7:$E$39,0),MATCH(AS$3,'Simple CEA'!$H$3:$Z$3,0)))</f>
        <v>0.7</v>
      </c>
      <c r="AU11" s="846">
        <v>0.79</v>
      </c>
      <c r="AV11" s="844">
        <v>0.62</v>
      </c>
      <c r="AW11" s="845">
        <f t="array" ref="AW11">IF(AV$3="",INDEX('Simple CEA'!$H$7:$Z$39,MATCH($E11,'Simple CEA'!$E$7:$E$39,0),MATCH(AV$2,'Simple CEA'!$H$2:$Z$2,0)),INDEX('Simple CEA'!$H$7:$Z$39,MATCH($E11,'Simple CEA'!$E$7:$E$39,0),MATCH(AV$3,'Simple CEA'!$H$3:$Z$3,0)))</f>
        <v>0.7</v>
      </c>
      <c r="AX11" s="846">
        <v>0.79</v>
      </c>
      <c r="AY11" s="844">
        <v>0.62</v>
      </c>
      <c r="AZ11" s="845">
        <f t="array" ref="AZ11">IF(AY$3="",INDEX('Simple CEA'!$H$7:$Z$39,MATCH($E11,'Simple CEA'!$E$7:$E$39,0),MATCH(AY$2,'Simple CEA'!$H$2:$Z$2,0)),INDEX('Simple CEA'!$H$7:$Z$39,MATCH($E11,'Simple CEA'!$E$7:$E$39,0),MATCH(AY$3,'Simple CEA'!$H$3:$Z$3,0)))</f>
        <v>0.7</v>
      </c>
      <c r="BA11" s="846">
        <v>0.79</v>
      </c>
      <c r="BB11" s="844">
        <v>0.62</v>
      </c>
      <c r="BC11" s="845">
        <f t="array" ref="BC11">IF(BB$3="",INDEX('Simple CEA'!$H$7:$Z$39,MATCH($E11,'Simple CEA'!$E$7:$E$39,0),MATCH(BB$2,'Simple CEA'!$H$2:$Z$2,0)),INDEX('Simple CEA'!$H$7:$Z$39,MATCH($E11,'Simple CEA'!$E$7:$E$39,0),MATCH(BB$3,'Simple CEA'!$H$3:$Z$3,0)))</f>
        <v>0.7</v>
      </c>
      <c r="BD11" s="846">
        <v>0.79</v>
      </c>
      <c r="BE11" s="838" t="s">
        <v>124</v>
      </c>
      <c r="BF11" s="839" t="s">
        <v>124</v>
      </c>
      <c r="BG11" s="840" t="s">
        <v>124</v>
      </c>
      <c r="BH11" s="703"/>
    </row>
    <row r="12">
      <c r="A12" s="71"/>
      <c r="B12" s="72"/>
      <c r="C12" s="107"/>
      <c r="D12" s="72"/>
      <c r="E12" s="429" t="s">
        <v>530</v>
      </c>
      <c r="F12" s="860">
        <v>0.67</v>
      </c>
      <c r="G12" s="862">
        <f t="array" ref="G12">IF(F$3="",INDEX('Simple CEA'!$H$7:$Z$39,MATCH($E12,'Simple CEA'!$E$7:$E$39,0),MATCH(F$2,'Simple CEA'!$H$2:$Z$2,0)),INDEX('Simple CEA'!$H$7:$Z$39,MATCH($E12,'Simple CEA'!$E$7:$E$39,0),MATCH(F$3,'Simple CEA'!$H$3:$Z$3,0)))</f>
        <v>0.7936949983</v>
      </c>
      <c r="H12" s="863">
        <v>0.85</v>
      </c>
      <c r="I12" s="865">
        <v>0.67</v>
      </c>
      <c r="J12" s="862">
        <f t="array" ref="J12">IF(I$3="",INDEX('Simple CEA'!$H$7:$Z$39,MATCH($E12,'Simple CEA'!$E$7:$E$39,0),MATCH(I$2,'Simple CEA'!$H$2:$Z$2,0)),INDEX('Simple CEA'!$H$7:$Z$39,MATCH($E12,'Simple CEA'!$E$7:$E$39,0),MATCH(I$3,'Simple CEA'!$H$3:$Z$3,0)))</f>
        <v>0.7936949983</v>
      </c>
      <c r="K12" s="866">
        <v>0.85</v>
      </c>
      <c r="L12" s="867" t="s">
        <v>124</v>
      </c>
      <c r="M12" s="868" t="s">
        <v>124</v>
      </c>
      <c r="N12" s="869" t="s">
        <v>124</v>
      </c>
      <c r="O12" s="867" t="s">
        <v>124</v>
      </c>
      <c r="P12" s="868" t="s">
        <v>124</v>
      </c>
      <c r="Q12" s="869" t="s">
        <v>124</v>
      </c>
      <c r="R12" s="867" t="s">
        <v>124</v>
      </c>
      <c r="S12" s="868" t="s">
        <v>124</v>
      </c>
      <c r="T12" s="869" t="s">
        <v>124</v>
      </c>
      <c r="U12" s="867" t="s">
        <v>124</v>
      </c>
      <c r="V12" s="868" t="s">
        <v>124</v>
      </c>
      <c r="W12" s="869" t="s">
        <v>124</v>
      </c>
      <c r="X12" s="867" t="s">
        <v>124</v>
      </c>
      <c r="Y12" s="868" t="s">
        <v>124</v>
      </c>
      <c r="Z12" s="869" t="s">
        <v>124</v>
      </c>
      <c r="AA12" s="865">
        <v>0.67</v>
      </c>
      <c r="AB12" s="862">
        <f t="array" ref="AB12">IF(AA$3="",INDEX('Simple CEA'!$H$7:$Z$39,MATCH($E12,'Simple CEA'!$E$7:$E$39,0),MATCH(AA$2,'Simple CEA'!$H$2:$Z$2,0)),INDEX('Simple CEA'!$H$7:$Z$39,MATCH($E12,'Simple CEA'!$E$7:$E$39,0),MATCH(AA$3,'Simple CEA'!$H$3:$Z$3,0)))</f>
        <v>0.7936949983</v>
      </c>
      <c r="AC12" s="866">
        <v>0.85</v>
      </c>
      <c r="AD12" s="865">
        <v>0.67</v>
      </c>
      <c r="AE12" s="862">
        <f t="array" ref="AE12">IF(AD$3="",INDEX('Simple CEA'!$H$7:$Z$39,MATCH($E12,'Simple CEA'!$E$7:$E$39,0),MATCH(AD$2,'Simple CEA'!$H$2:$Z$2,0)),INDEX('Simple CEA'!$H$7:$Z$39,MATCH($E12,'Simple CEA'!$E$7:$E$39,0),MATCH(AD$3,'Simple CEA'!$H$3:$Z$3,0)))</f>
        <v>0.7936949983</v>
      </c>
      <c r="AF12" s="866">
        <v>0.85</v>
      </c>
      <c r="AG12" s="865">
        <v>0.67</v>
      </c>
      <c r="AH12" s="862">
        <f t="array" ref="AH12">IF(AG$3="",INDEX('Simple CEA'!$H$7:$Z$39,MATCH($E12,'Simple CEA'!$E$7:$E$39,0),MATCH(AG$2,'Simple CEA'!$H$2:$Z$2,0)),INDEX('Simple CEA'!$H$7:$Z$39,MATCH($E12,'Simple CEA'!$E$7:$E$39,0),MATCH(AG$3,'Simple CEA'!$H$3:$Z$3,0)))</f>
        <v>0.7936949983</v>
      </c>
      <c r="AI12" s="866">
        <v>0.85</v>
      </c>
      <c r="AJ12" s="865">
        <v>0.67</v>
      </c>
      <c r="AK12" s="862">
        <f t="array" ref="AK12">IF(AJ$3="",INDEX('Simple CEA'!$H$7:$Z$39,MATCH($E12,'Simple CEA'!$E$7:$E$39,0),MATCH(AJ$2,'Simple CEA'!$H$2:$Z$2,0)),INDEX('Simple CEA'!$H$7:$Z$39,MATCH($E12,'Simple CEA'!$E$7:$E$39,0),MATCH(AJ$3,'Simple CEA'!$H$3:$Z$3,0)))</f>
        <v>0.7936949983</v>
      </c>
      <c r="AL12" s="866">
        <v>0.85</v>
      </c>
      <c r="AM12" s="865">
        <v>0.67</v>
      </c>
      <c r="AN12" s="862">
        <f t="array" ref="AN12">IF(AM$3="",INDEX('Simple CEA'!$H$7:$Z$39,MATCH($E12,'Simple CEA'!$E$7:$E$39,0),MATCH(AM$2,'Simple CEA'!$H$2:$Z$2,0)),INDEX('Simple CEA'!$H$7:$Z$39,MATCH($E12,'Simple CEA'!$E$7:$E$39,0),MATCH(AM$3,'Simple CEA'!$H$3:$Z$3,0)))</f>
        <v>0.7936949983</v>
      </c>
      <c r="AO12" s="866">
        <v>0.85</v>
      </c>
      <c r="AP12" s="865">
        <v>0.67</v>
      </c>
      <c r="AQ12" s="862">
        <f t="array" ref="AQ12">IF(AP$3="",INDEX('Simple CEA'!$H$7:$Z$39,MATCH($E12,'Simple CEA'!$E$7:$E$39,0),MATCH(AP$2,'Simple CEA'!$H$2:$Z$2,0)),INDEX('Simple CEA'!$H$7:$Z$39,MATCH($E12,'Simple CEA'!$E$7:$E$39,0),MATCH(AP$3,'Simple CEA'!$H$3:$Z$3,0)))</f>
        <v>0.7936949983</v>
      </c>
      <c r="AR12" s="866">
        <v>0.85</v>
      </c>
      <c r="AS12" s="865">
        <v>0.67</v>
      </c>
      <c r="AT12" s="862">
        <f t="array" ref="AT12">IF(AS$3="",INDEX('Simple CEA'!$H$7:$Z$39,MATCH($E12,'Simple CEA'!$E$7:$E$39,0),MATCH(AS$2,'Simple CEA'!$H$2:$Z$2,0)),INDEX('Simple CEA'!$H$7:$Z$39,MATCH($E12,'Simple CEA'!$E$7:$E$39,0),MATCH(AS$3,'Simple CEA'!$H$3:$Z$3,0)))</f>
        <v>0.7936949983</v>
      </c>
      <c r="AU12" s="866">
        <v>0.85</v>
      </c>
      <c r="AV12" s="865">
        <v>0.67</v>
      </c>
      <c r="AW12" s="862">
        <f t="array" ref="AW12">IF(AV$3="",INDEX('Simple CEA'!$H$7:$Z$39,MATCH($E12,'Simple CEA'!$E$7:$E$39,0),MATCH(AV$2,'Simple CEA'!$H$2:$Z$2,0)),INDEX('Simple CEA'!$H$7:$Z$39,MATCH($E12,'Simple CEA'!$E$7:$E$39,0),MATCH(AV$3,'Simple CEA'!$H$3:$Z$3,0)))</f>
        <v>0.7936949983</v>
      </c>
      <c r="AX12" s="866">
        <v>0.85</v>
      </c>
      <c r="AY12" s="865">
        <v>0.67</v>
      </c>
      <c r="AZ12" s="862">
        <f t="array" ref="AZ12">IF(AY$3="",INDEX('Simple CEA'!$H$7:$Z$39,MATCH($E12,'Simple CEA'!$E$7:$E$39,0),MATCH(AY$2,'Simple CEA'!$H$2:$Z$2,0)),INDEX('Simple CEA'!$H$7:$Z$39,MATCH($E12,'Simple CEA'!$E$7:$E$39,0),MATCH(AY$3,'Simple CEA'!$H$3:$Z$3,0)))</f>
        <v>0.7936949983</v>
      </c>
      <c r="BA12" s="866">
        <v>0.85</v>
      </c>
      <c r="BB12" s="865">
        <v>0.67</v>
      </c>
      <c r="BC12" s="862">
        <f t="array" ref="BC12">IF(BB$3="",INDEX('Simple CEA'!$H$7:$Z$39,MATCH($E12,'Simple CEA'!$E$7:$E$39,0),MATCH(BB$2,'Simple CEA'!$H$2:$Z$2,0)),INDEX('Simple CEA'!$H$7:$Z$39,MATCH($E12,'Simple CEA'!$E$7:$E$39,0),MATCH(BB$3,'Simple CEA'!$H$3:$Z$3,0)))</f>
        <v>0.7936949983</v>
      </c>
      <c r="BD12" s="866">
        <v>0.85</v>
      </c>
      <c r="BE12" s="867" t="s">
        <v>124</v>
      </c>
      <c r="BF12" s="868" t="s">
        <v>124</v>
      </c>
      <c r="BG12" s="869" t="s">
        <v>124</v>
      </c>
      <c r="BH12" s="712"/>
    </row>
    <row r="13">
      <c r="A13" s="71"/>
      <c r="B13" s="72"/>
      <c r="C13" s="107"/>
      <c r="D13" s="72"/>
      <c r="E13" s="599"/>
      <c r="F13" s="783"/>
      <c r="G13" s="871"/>
      <c r="H13" s="787"/>
      <c r="I13" s="783"/>
      <c r="J13" s="871"/>
      <c r="K13" s="787"/>
      <c r="L13" s="783"/>
      <c r="M13" s="872"/>
      <c r="N13" s="787"/>
      <c r="O13" s="783"/>
      <c r="P13" s="872"/>
      <c r="Q13" s="787"/>
      <c r="R13" s="783"/>
      <c r="S13" s="872"/>
      <c r="T13" s="787"/>
      <c r="U13" s="783"/>
      <c r="V13" s="872"/>
      <c r="W13" s="787"/>
      <c r="X13" s="783"/>
      <c r="Y13" s="872"/>
      <c r="Z13" s="787"/>
      <c r="AA13" s="783"/>
      <c r="AB13" s="871"/>
      <c r="AC13" s="787"/>
      <c r="AD13" s="783"/>
      <c r="AE13" s="871"/>
      <c r="AF13" s="787"/>
      <c r="AG13" s="783"/>
      <c r="AH13" s="871"/>
      <c r="AI13" s="787"/>
      <c r="AJ13" s="783"/>
      <c r="AK13" s="871"/>
      <c r="AL13" s="787"/>
      <c r="AM13" s="783"/>
      <c r="AN13" s="871"/>
      <c r="AO13" s="787"/>
      <c r="AP13" s="783"/>
      <c r="AQ13" s="871"/>
      <c r="AR13" s="787"/>
      <c r="AS13" s="783"/>
      <c r="AT13" s="871"/>
      <c r="AU13" s="787"/>
      <c r="AV13" s="783"/>
      <c r="AW13" s="871"/>
      <c r="AX13" s="787"/>
      <c r="AY13" s="783"/>
      <c r="AZ13" s="871"/>
      <c r="BA13" s="787"/>
      <c r="BB13" s="783"/>
      <c r="BC13" s="871"/>
      <c r="BD13" s="787"/>
      <c r="BE13" s="783"/>
      <c r="BF13" s="872"/>
      <c r="BG13" s="787"/>
      <c r="BH13" s="690"/>
    </row>
    <row r="14">
      <c r="A14" s="71"/>
      <c r="B14" s="72"/>
      <c r="C14" s="107" t="s">
        <v>542</v>
      </c>
      <c r="F14" s="873"/>
      <c r="G14" s="874"/>
      <c r="H14" s="875"/>
      <c r="I14" s="873"/>
      <c r="J14" s="874"/>
      <c r="K14" s="875"/>
      <c r="L14" s="873"/>
      <c r="M14" s="876"/>
      <c r="N14" s="875"/>
      <c r="O14" s="873"/>
      <c r="P14" s="876"/>
      <c r="Q14" s="875"/>
      <c r="R14" s="873"/>
      <c r="S14" s="876"/>
      <c r="T14" s="875"/>
      <c r="U14" s="873"/>
      <c r="V14" s="876"/>
      <c r="W14" s="875"/>
      <c r="X14" s="873"/>
      <c r="Y14" s="876"/>
      <c r="Z14" s="875"/>
      <c r="AA14" s="873"/>
      <c r="AB14" s="874"/>
      <c r="AC14" s="875"/>
      <c r="AD14" s="873"/>
      <c r="AE14" s="874"/>
      <c r="AF14" s="875"/>
      <c r="AG14" s="873"/>
      <c r="AH14" s="874"/>
      <c r="AI14" s="875"/>
      <c r="AJ14" s="873"/>
      <c r="AK14" s="874"/>
      <c r="AL14" s="875"/>
      <c r="AM14" s="873"/>
      <c r="AN14" s="874"/>
      <c r="AO14" s="875"/>
      <c r="AP14" s="873"/>
      <c r="AQ14" s="874"/>
      <c r="AR14" s="875"/>
      <c r="AS14" s="873"/>
      <c r="AT14" s="874"/>
      <c r="AU14" s="875"/>
      <c r="AV14" s="873"/>
      <c r="AW14" s="874"/>
      <c r="AX14" s="875"/>
      <c r="AY14" s="873"/>
      <c r="AZ14" s="874"/>
      <c r="BA14" s="875"/>
      <c r="BB14" s="873"/>
      <c r="BC14" s="874"/>
      <c r="BD14" s="875"/>
      <c r="BE14" s="873"/>
      <c r="BF14" s="876"/>
      <c r="BG14" s="875"/>
      <c r="BH14" s="690"/>
    </row>
    <row r="15">
      <c r="A15" s="71"/>
      <c r="B15" s="72"/>
      <c r="C15" s="107"/>
      <c r="D15" s="72"/>
      <c r="E15" s="334" t="s">
        <v>543</v>
      </c>
      <c r="F15" s="877">
        <v>0.03</v>
      </c>
      <c r="G15" s="878">
        <f t="array" ref="G15">IF(F$3="",INDEX('Simple CEA'!$H$7:$Z$39,MATCH($E15,'Simple CEA'!$E$7:$E$39,0),MATCH(F$2,'Simple CEA'!$H$2:$Z$2,0)),INDEX('Simple CEA'!$H$7:$Z$39,MATCH($E15,'Simple CEA'!$E$7:$E$39,0),MATCH(F$3,'Simple CEA'!$H$3:$Z$3,0)))</f>
        <v>0.05647913709</v>
      </c>
      <c r="H15" s="879">
        <v>0.11</v>
      </c>
      <c r="I15" s="877">
        <v>0.03</v>
      </c>
      <c r="J15" s="878">
        <f t="array" ref="J15">IF(I$3="",INDEX('Simple CEA'!$H$7:$Z$39,MATCH($E15,'Simple CEA'!$E$7:$E$39,0),MATCH(I$2,'Simple CEA'!$H$2:$Z$2,0)),INDEX('Simple CEA'!$H$7:$Z$39,MATCH($E15,'Simple CEA'!$E$7:$E$39,0),MATCH(I$3,'Simple CEA'!$H$3:$Z$3,0)))</f>
        <v>0.05532441274</v>
      </c>
      <c r="K15" s="879">
        <v>0.11</v>
      </c>
      <c r="L15" s="797" t="s">
        <v>124</v>
      </c>
      <c r="M15" s="805" t="s">
        <v>124</v>
      </c>
      <c r="N15" s="801" t="s">
        <v>124</v>
      </c>
      <c r="O15" s="797" t="s">
        <v>124</v>
      </c>
      <c r="P15" s="805" t="s">
        <v>124</v>
      </c>
      <c r="Q15" s="801" t="s">
        <v>124</v>
      </c>
      <c r="R15" s="797" t="s">
        <v>124</v>
      </c>
      <c r="S15" s="805" t="s">
        <v>124</v>
      </c>
      <c r="T15" s="801" t="s">
        <v>124</v>
      </c>
      <c r="U15" s="797" t="s">
        <v>124</v>
      </c>
      <c r="V15" s="805" t="s">
        <v>124</v>
      </c>
      <c r="W15" s="801" t="s">
        <v>124</v>
      </c>
      <c r="X15" s="797" t="s">
        <v>124</v>
      </c>
      <c r="Y15" s="805" t="s">
        <v>124</v>
      </c>
      <c r="Z15" s="801" t="s">
        <v>124</v>
      </c>
      <c r="AA15" s="877">
        <v>0.01</v>
      </c>
      <c r="AB15" s="878">
        <f t="array" ref="AB15">IF(AA$3="",INDEX('Simple CEA'!$H$7:$Z$39,MATCH($E15,'Simple CEA'!$E$7:$E$39,0),MATCH(AA$2,'Simple CEA'!$H$2:$Z$2,0)),INDEX('Simple CEA'!$H$7:$Z$39,MATCH($E15,'Simple CEA'!$E$7:$E$39,0),MATCH(AA$3,'Simple CEA'!$H$3:$Z$3,0)))</f>
        <v>0.02341801524</v>
      </c>
      <c r="AC15" s="879">
        <v>0.04</v>
      </c>
      <c r="AD15" s="877">
        <v>0.03</v>
      </c>
      <c r="AE15" s="878">
        <f t="array" ref="AE15">IF(AD$3="",INDEX('Simple CEA'!$H$7:$Z$39,MATCH($E15,'Simple CEA'!$E$7:$E$39,0),MATCH(AD$2,'Simple CEA'!$H$2:$Z$2,0)),INDEX('Simple CEA'!$H$7:$Z$39,MATCH($E15,'Simple CEA'!$E$7:$E$39,0),MATCH(AD$3,'Simple CEA'!$H$3:$Z$3,0)))</f>
        <v>0.07413378817</v>
      </c>
      <c r="AF15" s="879">
        <v>0.12</v>
      </c>
      <c r="AG15" s="877">
        <v>0.07</v>
      </c>
      <c r="AH15" s="878">
        <f t="array" ref="AH15">IF(AG$3="",INDEX('Simple CEA'!$H$7:$Z$39,MATCH($E15,'Simple CEA'!$E$7:$E$39,0),MATCH(AG$2,'Simple CEA'!$H$2:$Z$2,0)),INDEX('Simple CEA'!$H$7:$Z$39,MATCH($E15,'Simple CEA'!$E$7:$E$39,0),MATCH(AG$3,'Simple CEA'!$H$3:$Z$3,0)))</f>
        <v>0.1285258975</v>
      </c>
      <c r="AI15" s="879">
        <v>0.21</v>
      </c>
      <c r="AJ15" s="877">
        <v>0.02</v>
      </c>
      <c r="AK15" s="878">
        <f t="array" ref="AK15">IF(AJ$3="",INDEX('Simple CEA'!$H$7:$Z$39,MATCH($E15,'Simple CEA'!$E$7:$E$39,0),MATCH(AJ$2,'Simple CEA'!$H$2:$Z$2,0)),INDEX('Simple CEA'!$H$7:$Z$39,MATCH($E15,'Simple CEA'!$E$7:$E$39,0),MATCH(AJ$3,'Simple CEA'!$H$3:$Z$3,0)))</f>
        <v>0.04165347302</v>
      </c>
      <c r="AL15" s="879">
        <v>0.07</v>
      </c>
      <c r="AM15" s="877">
        <v>0.12</v>
      </c>
      <c r="AN15" s="878">
        <f t="array" ref="AN15">IF(AM$3="",INDEX('Simple CEA'!$H$7:$Z$39,MATCH($E15,'Simple CEA'!$E$7:$E$39,0),MATCH(AM$2,'Simple CEA'!$H$2:$Z$2,0)),INDEX('Simple CEA'!$H$7:$Z$39,MATCH($E15,'Simple CEA'!$E$7:$E$39,0),MATCH(AM$3,'Simple CEA'!$H$3:$Z$3,0)))</f>
        <v>0.1992293824</v>
      </c>
      <c r="AO15" s="879">
        <v>0.31</v>
      </c>
      <c r="AP15" s="877">
        <v>0.05</v>
      </c>
      <c r="AQ15" s="878">
        <f t="array" ref="AQ15">IF(AP$3="",INDEX('Simple CEA'!$H$7:$Z$39,MATCH($E15,'Simple CEA'!$E$7:$E$39,0),MATCH(AP$2,'Simple CEA'!$H$2:$Z$2,0)),INDEX('Simple CEA'!$H$7:$Z$39,MATCH($E15,'Simple CEA'!$E$7:$E$39,0),MATCH(AP$3,'Simple CEA'!$H$3:$Z$3,0)))</f>
        <v>0.08985842305</v>
      </c>
      <c r="AR15" s="879">
        <v>0.15</v>
      </c>
      <c r="AS15" s="877">
        <v>0.19</v>
      </c>
      <c r="AT15" s="878">
        <f t="array" ref="AT15">IF(AS$3="",INDEX('Simple CEA'!$H$7:$Z$39,MATCH($E15,'Simple CEA'!$E$7:$E$39,0),MATCH(AS$2,'Simple CEA'!$H$2:$Z$2,0)),INDEX('Simple CEA'!$H$7:$Z$39,MATCH($E15,'Simple CEA'!$E$7:$E$39,0),MATCH(AS$3,'Simple CEA'!$H$3:$Z$3,0)))</f>
        <v>0.2752772144</v>
      </c>
      <c r="AU15" s="879">
        <v>0.41</v>
      </c>
      <c r="AV15" s="877">
        <v>0.06</v>
      </c>
      <c r="AW15" s="878">
        <f t="array" ref="AW15">IF(AV$3="",INDEX('Simple CEA'!$H$7:$Z$39,MATCH($E15,'Simple CEA'!$E$7:$E$39,0),MATCH(AV$2,'Simple CEA'!$H$2:$Z$2,0)),INDEX('Simple CEA'!$H$7:$Z$39,MATCH($E15,'Simple CEA'!$E$7:$E$39,0),MATCH(AV$3,'Simple CEA'!$H$3:$Z$3,0)))</f>
        <v>0.1095401963</v>
      </c>
      <c r="AX15" s="879">
        <v>0.18</v>
      </c>
      <c r="AY15" s="877">
        <v>0.01</v>
      </c>
      <c r="AZ15" s="878">
        <f t="array" ref="AZ15">IF(AY$3="",INDEX('Simple CEA'!$H$7:$Z$39,MATCH($E15,'Simple CEA'!$E$7:$E$39,0),MATCH(AY$2,'Simple CEA'!$H$2:$Z$2,0)),INDEX('Simple CEA'!$H$7:$Z$39,MATCH($E15,'Simple CEA'!$E$7:$E$39,0),MATCH(AY$3,'Simple CEA'!$H$3:$Z$3,0)))</f>
        <v>0.02391752554</v>
      </c>
      <c r="BA15" s="879">
        <v>0.04</v>
      </c>
      <c r="BB15" s="877">
        <v>0.11</v>
      </c>
      <c r="BC15" s="878">
        <f t="array" ref="BC15">IF(BB$3="",INDEX('Simple CEA'!$H$7:$Z$39,MATCH($E15,'Simple CEA'!$E$7:$E$39,0),MATCH(BB$2,'Simple CEA'!$H$2:$Z$2,0)),INDEX('Simple CEA'!$H$7:$Z$39,MATCH($E15,'Simple CEA'!$E$7:$E$39,0),MATCH(BB$3,'Simple CEA'!$H$3:$Z$3,0)))</f>
        <v>0.1768368614</v>
      </c>
      <c r="BD15" s="879">
        <v>0.28</v>
      </c>
      <c r="BE15" s="797" t="s">
        <v>124</v>
      </c>
      <c r="BF15" s="805" t="s">
        <v>124</v>
      </c>
      <c r="BG15" s="801" t="s">
        <v>124</v>
      </c>
      <c r="BH15" s="697"/>
    </row>
    <row r="16">
      <c r="A16" s="71"/>
      <c r="B16" s="72"/>
      <c r="C16" s="107"/>
      <c r="D16" s="72"/>
      <c r="E16" s="429" t="s">
        <v>545</v>
      </c>
      <c r="F16" s="860">
        <v>0.1</v>
      </c>
      <c r="G16" s="862">
        <f t="array" ref="G16">IF(F$3="",INDEX('Simple CEA'!$H$7:$Z$39,MATCH($E16,'Simple CEA'!$E$7:$E$39,0),MATCH(F$2,'Simple CEA'!$H$2:$Z$2,0)),INDEX('Simple CEA'!$H$7:$Z$39,MATCH($E16,'Simple CEA'!$E$7:$E$39,0),MATCH(F$3,'Simple CEA'!$H$3:$Z$3,0)))</f>
        <v>0.1888416074</v>
      </c>
      <c r="H16" s="863">
        <v>0.28</v>
      </c>
      <c r="I16" s="860">
        <v>0.21</v>
      </c>
      <c r="J16" s="862">
        <f t="array" ref="J16">IF(I$3="",INDEX('Simple CEA'!$H$7:$Z$39,MATCH($E16,'Simple CEA'!$E$7:$E$39,0),MATCH(I$2,'Simple CEA'!$H$2:$Z$2,0)),INDEX('Simple CEA'!$H$7:$Z$39,MATCH($E16,'Simple CEA'!$E$7:$E$39,0),MATCH(I$3,'Simple CEA'!$H$3:$Z$3,0)))</f>
        <v>0.3532796077</v>
      </c>
      <c r="K16" s="863">
        <v>0.49</v>
      </c>
      <c r="L16" s="892" t="s">
        <v>124</v>
      </c>
      <c r="M16" s="868" t="s">
        <v>124</v>
      </c>
      <c r="N16" s="894" t="s">
        <v>124</v>
      </c>
      <c r="O16" s="892" t="s">
        <v>124</v>
      </c>
      <c r="P16" s="868" t="s">
        <v>124</v>
      </c>
      <c r="Q16" s="894" t="s">
        <v>124</v>
      </c>
      <c r="R16" s="892" t="s">
        <v>124</v>
      </c>
      <c r="S16" s="868" t="s">
        <v>124</v>
      </c>
      <c r="T16" s="894" t="s">
        <v>124</v>
      </c>
      <c r="U16" s="892" t="s">
        <v>124</v>
      </c>
      <c r="V16" s="868" t="s">
        <v>124</v>
      </c>
      <c r="W16" s="894" t="s">
        <v>124</v>
      </c>
      <c r="X16" s="892" t="s">
        <v>124</v>
      </c>
      <c r="Y16" s="868" t="s">
        <v>124</v>
      </c>
      <c r="Z16" s="894" t="s">
        <v>124</v>
      </c>
      <c r="AA16" s="860">
        <v>0.13</v>
      </c>
      <c r="AB16" s="862">
        <f t="array" ref="AB16">IF(AA$3="",INDEX('Simple CEA'!$H$7:$Z$39,MATCH($E16,'Simple CEA'!$E$7:$E$39,0),MATCH(AA$2,'Simple CEA'!$H$2:$Z$2,0)),INDEX('Simple CEA'!$H$7:$Z$39,MATCH($E16,'Simple CEA'!$E$7:$E$39,0),MATCH(AA$3,'Simple CEA'!$H$3:$Z$3,0)))</f>
        <v>0.235253093</v>
      </c>
      <c r="AC16" s="863">
        <v>0.35</v>
      </c>
      <c r="AD16" s="860">
        <v>0.2</v>
      </c>
      <c r="AE16" s="862">
        <f t="array" ref="AE16">IF(AD$3="",INDEX('Simple CEA'!$H$7:$Z$39,MATCH($E16,'Simple CEA'!$E$7:$E$39,0),MATCH(AD$2,'Simple CEA'!$H$2:$Z$2,0)),INDEX('Simple CEA'!$H$7:$Z$39,MATCH($E16,'Simple CEA'!$E$7:$E$39,0),MATCH(AD$3,'Simple CEA'!$H$3:$Z$3,0)))</f>
        <v>0.3440714016</v>
      </c>
      <c r="AF16" s="863">
        <v>0.48</v>
      </c>
      <c r="AG16" s="860">
        <v>0.21</v>
      </c>
      <c r="AH16" s="862">
        <f t="array" ref="AH16">IF(AG$3="",INDEX('Simple CEA'!$H$7:$Z$39,MATCH($E16,'Simple CEA'!$E$7:$E$39,0),MATCH(AG$2,'Simple CEA'!$H$2:$Z$2,0)),INDEX('Simple CEA'!$H$7:$Z$39,MATCH($E16,'Simple CEA'!$E$7:$E$39,0),MATCH(AG$3,'Simple CEA'!$H$3:$Z$3,0)))</f>
        <v>0.3463852551</v>
      </c>
      <c r="AI16" s="863">
        <v>0.49</v>
      </c>
      <c r="AJ16" s="860">
        <v>0.19</v>
      </c>
      <c r="AK16" s="862">
        <f t="array" ref="AK16">IF(AJ$3="",INDEX('Simple CEA'!$H$7:$Z$39,MATCH($E16,'Simple CEA'!$E$7:$E$39,0),MATCH(AJ$2,'Simple CEA'!$H$2:$Z$2,0)),INDEX('Simple CEA'!$H$7:$Z$39,MATCH($E16,'Simple CEA'!$E$7:$E$39,0),MATCH(AJ$3,'Simple CEA'!$H$3:$Z$3,0)))</f>
        <v>0.3223840552</v>
      </c>
      <c r="AL16" s="863">
        <v>0.45</v>
      </c>
      <c r="AM16" s="860">
        <v>0.23</v>
      </c>
      <c r="AN16" s="862">
        <f t="array" ref="AN16">IF(AM$3="",INDEX('Simple CEA'!$H$7:$Z$39,MATCH($E16,'Simple CEA'!$E$7:$E$39,0),MATCH(AM$2,'Simple CEA'!$H$2:$Z$2,0)),INDEX('Simple CEA'!$H$7:$Z$39,MATCH($E16,'Simple CEA'!$E$7:$E$39,0),MATCH(AM$3,'Simple CEA'!$H$3:$Z$3,0)))</f>
        <v>0.3672724892</v>
      </c>
      <c r="AO16" s="863">
        <v>0.51</v>
      </c>
      <c r="AP16" s="860">
        <v>0.23</v>
      </c>
      <c r="AQ16" s="862">
        <f t="array" ref="AQ16">IF(AP$3="",INDEX('Simple CEA'!$H$7:$Z$39,MATCH($E16,'Simple CEA'!$E$7:$E$39,0),MATCH(AP$2,'Simple CEA'!$H$2:$Z$2,0)),INDEX('Simple CEA'!$H$7:$Z$39,MATCH($E16,'Simple CEA'!$E$7:$E$39,0),MATCH(AP$3,'Simple CEA'!$H$3:$Z$3,0)))</f>
        <v>0.3692348349</v>
      </c>
      <c r="AR16" s="863">
        <v>0.51</v>
      </c>
      <c r="AS16" s="860">
        <v>0.37</v>
      </c>
      <c r="AT16" s="862">
        <f t="array" ref="AT16">IF(AS$3="",INDEX('Simple CEA'!$H$7:$Z$39,MATCH($E16,'Simple CEA'!$E$7:$E$39,0),MATCH(AS$2,'Simple CEA'!$H$2:$Z$2,0)),INDEX('Simple CEA'!$H$7:$Z$39,MATCH($E16,'Simple CEA'!$E$7:$E$39,0),MATCH(AS$3,'Simple CEA'!$H$3:$Z$3,0)))</f>
        <v>0.5577321908</v>
      </c>
      <c r="AU16" s="863">
        <v>0.75</v>
      </c>
      <c r="AV16" s="860">
        <v>0.23</v>
      </c>
      <c r="AW16" s="862">
        <f t="array" ref="AW16">IF(AV$3="",INDEX('Simple CEA'!$H$7:$Z$39,MATCH($E16,'Simple CEA'!$E$7:$E$39,0),MATCH(AV$2,'Simple CEA'!$H$2:$Z$2,0)),INDEX('Simple CEA'!$H$7:$Z$39,MATCH($E16,'Simple CEA'!$E$7:$E$39,0),MATCH(AV$3,'Simple CEA'!$H$3:$Z$3,0)))</f>
        <v>0.3726536057</v>
      </c>
      <c r="AX16" s="863">
        <v>0.51</v>
      </c>
      <c r="AY16" s="860">
        <v>0.13</v>
      </c>
      <c r="AZ16" s="862">
        <f t="array" ref="AZ16">IF(AY$3="",INDEX('Simple CEA'!$H$7:$Z$39,MATCH($E16,'Simple CEA'!$E$7:$E$39,0),MATCH(AY$2,'Simple CEA'!$H$2:$Z$2,0)),INDEX('Simple CEA'!$H$7:$Z$39,MATCH($E16,'Simple CEA'!$E$7:$E$39,0),MATCH(AY$3,'Simple CEA'!$H$3:$Z$3,0)))</f>
        <v>0.2434428711</v>
      </c>
      <c r="BA16" s="863">
        <v>0.35</v>
      </c>
      <c r="BB16" s="860">
        <v>0.35</v>
      </c>
      <c r="BC16" s="862">
        <f t="array" ref="BC16">IF(BB$3="",INDEX('Simple CEA'!$H$7:$Z$39,MATCH($E16,'Simple CEA'!$E$7:$E$39,0),MATCH(BB$2,'Simple CEA'!$H$2:$Z$2,0)),INDEX('Simple CEA'!$H$7:$Z$39,MATCH($E16,'Simple CEA'!$E$7:$E$39,0),MATCH(BB$3,'Simple CEA'!$H$3:$Z$3,0)))</f>
        <v>0.541345499</v>
      </c>
      <c r="BD16" s="863">
        <v>0.73</v>
      </c>
      <c r="BE16" s="892" t="s">
        <v>124</v>
      </c>
      <c r="BF16" s="868" t="s">
        <v>124</v>
      </c>
      <c r="BG16" s="894" t="s">
        <v>124</v>
      </c>
      <c r="BH16" s="712"/>
    </row>
    <row r="17">
      <c r="A17" s="71"/>
      <c r="B17" s="72"/>
      <c r="C17" s="107"/>
      <c r="D17" s="72"/>
      <c r="E17" s="599"/>
      <c r="F17" s="783"/>
      <c r="G17" s="871"/>
      <c r="H17" s="787"/>
      <c r="I17" s="783"/>
      <c r="J17" s="871"/>
      <c r="K17" s="787"/>
      <c r="L17" s="783"/>
      <c r="M17" s="872"/>
      <c r="N17" s="787"/>
      <c r="O17" s="783"/>
      <c r="P17" s="872"/>
      <c r="Q17" s="787"/>
      <c r="R17" s="783"/>
      <c r="S17" s="872"/>
      <c r="T17" s="787"/>
      <c r="U17" s="783"/>
      <c r="V17" s="872"/>
      <c r="W17" s="787"/>
      <c r="X17" s="783"/>
      <c r="Y17" s="872"/>
      <c r="Z17" s="787"/>
      <c r="AA17" s="783"/>
      <c r="AB17" s="871"/>
      <c r="AC17" s="787"/>
      <c r="AD17" s="783"/>
      <c r="AE17" s="871"/>
      <c r="AF17" s="787"/>
      <c r="AG17" s="783"/>
      <c r="AH17" s="871"/>
      <c r="AI17" s="787"/>
      <c r="AJ17" s="783"/>
      <c r="AK17" s="871"/>
      <c r="AL17" s="787"/>
      <c r="AM17" s="783"/>
      <c r="AN17" s="871"/>
      <c r="AO17" s="787"/>
      <c r="AP17" s="783"/>
      <c r="AQ17" s="871"/>
      <c r="AR17" s="787"/>
      <c r="AS17" s="783"/>
      <c r="AT17" s="871"/>
      <c r="AU17" s="787"/>
      <c r="AV17" s="783"/>
      <c r="AW17" s="871"/>
      <c r="AX17" s="787"/>
      <c r="AY17" s="783"/>
      <c r="AZ17" s="871"/>
      <c r="BA17" s="787"/>
      <c r="BB17" s="783"/>
      <c r="BC17" s="871"/>
      <c r="BD17" s="787"/>
      <c r="BE17" s="783"/>
      <c r="BF17" s="872"/>
      <c r="BG17" s="787"/>
      <c r="BH17" s="690"/>
    </row>
    <row r="18">
      <c r="A18" s="71"/>
      <c r="B18" s="72"/>
      <c r="C18" s="107" t="s">
        <v>587</v>
      </c>
      <c r="F18" s="783"/>
      <c r="G18" s="871"/>
      <c r="H18" s="787"/>
      <c r="I18" s="788"/>
      <c r="J18" s="871"/>
      <c r="K18" s="790"/>
      <c r="L18" s="788"/>
      <c r="M18" s="872"/>
      <c r="N18" s="790"/>
      <c r="O18" s="788"/>
      <c r="P18" s="872"/>
      <c r="Q18" s="790"/>
      <c r="R18" s="788"/>
      <c r="S18" s="872"/>
      <c r="T18" s="790"/>
      <c r="U18" s="788"/>
      <c r="V18" s="872"/>
      <c r="W18" s="790"/>
      <c r="X18" s="788"/>
      <c r="Y18" s="872"/>
      <c r="Z18" s="790"/>
      <c r="AA18" s="788"/>
      <c r="AB18" s="871"/>
      <c r="AC18" s="790"/>
      <c r="AD18" s="788"/>
      <c r="AE18" s="871"/>
      <c r="AF18" s="790"/>
      <c r="AG18" s="788"/>
      <c r="AH18" s="871"/>
      <c r="AI18" s="790"/>
      <c r="AJ18" s="788"/>
      <c r="AK18" s="871"/>
      <c r="AL18" s="790"/>
      <c r="AM18" s="788"/>
      <c r="AN18" s="871"/>
      <c r="AO18" s="790"/>
      <c r="AP18" s="788"/>
      <c r="AQ18" s="871"/>
      <c r="AR18" s="790"/>
      <c r="AS18" s="788"/>
      <c r="AT18" s="871"/>
      <c r="AU18" s="790"/>
      <c r="AV18" s="788"/>
      <c r="AW18" s="871"/>
      <c r="AX18" s="790"/>
      <c r="AY18" s="788"/>
      <c r="AZ18" s="871"/>
      <c r="BA18" s="790"/>
      <c r="BB18" s="788"/>
      <c r="BC18" s="871"/>
      <c r="BD18" s="790"/>
      <c r="BE18" s="788"/>
      <c r="BF18" s="872"/>
      <c r="BG18" s="790"/>
      <c r="BH18" s="690"/>
    </row>
    <row r="19">
      <c r="A19" s="71"/>
      <c r="B19" s="72"/>
      <c r="C19" s="107"/>
      <c r="D19" s="72"/>
      <c r="E19" s="334" t="s">
        <v>551</v>
      </c>
      <c r="F19" s="877">
        <v>0.05</v>
      </c>
      <c r="G19" s="878">
        <f t="array" ref="G19">IF(F$3="",INDEX('Simple CEA'!$H$7:$Z$39,MATCH($E19,'Simple CEA'!$E$7:$E$39,0),MATCH(F$2,'Simple CEA'!$H$2:$Z$2,0)),INDEX('Simple CEA'!$H$7:$Z$39,MATCH($E19,'Simple CEA'!$E$7:$E$39,0),MATCH(F$3,'Simple CEA'!$H$3:$Z$3,0)))</f>
        <v>0.191</v>
      </c>
      <c r="H19" s="879">
        <v>0.34</v>
      </c>
      <c r="I19" s="877">
        <v>0.12</v>
      </c>
      <c r="J19" s="878">
        <f t="array" ref="J19">IF(I$3="",INDEX('Simple CEA'!$H$7:$Z$39,MATCH($E19,'Simple CEA'!$E$7:$E$39,0),MATCH(I$2,'Simple CEA'!$H$2:$Z$2,0)),INDEX('Simple CEA'!$H$7:$Z$39,MATCH($E19,'Simple CEA'!$E$7:$E$39,0),MATCH(I$3,'Simple CEA'!$H$3:$Z$3,0)))</f>
        <v>0.241</v>
      </c>
      <c r="K19" s="879">
        <v>0.38</v>
      </c>
      <c r="L19" s="797" t="s">
        <v>124</v>
      </c>
      <c r="M19" s="805" t="s">
        <v>124</v>
      </c>
      <c r="N19" s="801" t="s">
        <v>124</v>
      </c>
      <c r="O19" s="797" t="s">
        <v>124</v>
      </c>
      <c r="P19" s="805" t="s">
        <v>124</v>
      </c>
      <c r="Q19" s="801" t="s">
        <v>124</v>
      </c>
      <c r="R19" s="797" t="s">
        <v>124</v>
      </c>
      <c r="S19" s="805" t="s">
        <v>124</v>
      </c>
      <c r="T19" s="801" t="s">
        <v>124</v>
      </c>
      <c r="U19" s="797" t="s">
        <v>124</v>
      </c>
      <c r="V19" s="805" t="s">
        <v>124</v>
      </c>
      <c r="W19" s="801" t="s">
        <v>124</v>
      </c>
      <c r="X19" s="797" t="s">
        <v>124</v>
      </c>
      <c r="Y19" s="805" t="s">
        <v>124</v>
      </c>
      <c r="Z19" s="801" t="s">
        <v>124</v>
      </c>
      <c r="AA19" s="877">
        <v>0.22</v>
      </c>
      <c r="AB19" s="878">
        <f t="array" ref="AB19">IF(AA$3="",INDEX('Simple CEA'!$H$7:$Z$39,MATCH($E19,'Simple CEA'!$E$7:$E$39,0),MATCH(AA$2,'Simple CEA'!$H$2:$Z$2,0)),INDEX('Simple CEA'!$H$7:$Z$39,MATCH($E19,'Simple CEA'!$E$7:$E$39,0),MATCH(AA$3,'Simple CEA'!$H$3:$Z$3,0)))</f>
        <v>0.341</v>
      </c>
      <c r="AC19" s="879">
        <v>0.46</v>
      </c>
      <c r="AD19" s="877">
        <v>0.23</v>
      </c>
      <c r="AE19" s="878">
        <f t="array" ref="AE19">IF(AD$3="",INDEX('Simple CEA'!$H$7:$Z$39,MATCH($E19,'Simple CEA'!$E$7:$E$39,0),MATCH(AD$2,'Simple CEA'!$H$2:$Z$2,0)),INDEX('Simple CEA'!$H$7:$Z$39,MATCH($E19,'Simple CEA'!$E$7:$E$39,0),MATCH(AD$3,'Simple CEA'!$H$3:$Z$3,0)))</f>
        <v>0.341</v>
      </c>
      <c r="AF19" s="879">
        <v>0.46</v>
      </c>
      <c r="AG19" s="877">
        <v>0.22</v>
      </c>
      <c r="AH19" s="878">
        <f t="array" ref="AH19">IF(AG$3="",INDEX('Simple CEA'!$H$7:$Z$39,MATCH($E19,'Simple CEA'!$E$7:$E$39,0),MATCH(AG$2,'Simple CEA'!$H$2:$Z$2,0)),INDEX('Simple CEA'!$H$7:$Z$39,MATCH($E19,'Simple CEA'!$E$7:$E$39,0),MATCH(AG$3,'Simple CEA'!$H$3:$Z$3,0)))</f>
        <v>0.341</v>
      </c>
      <c r="AI19" s="879">
        <v>0.46</v>
      </c>
      <c r="AJ19" s="877">
        <v>0.23</v>
      </c>
      <c r="AK19" s="878">
        <f t="array" ref="AK19">IF(AJ$3="",INDEX('Simple CEA'!$H$7:$Z$39,MATCH($E19,'Simple CEA'!$E$7:$E$39,0),MATCH(AJ$2,'Simple CEA'!$H$2:$Z$2,0)),INDEX('Simple CEA'!$H$7:$Z$39,MATCH($E19,'Simple CEA'!$E$7:$E$39,0),MATCH(AJ$3,'Simple CEA'!$H$3:$Z$3,0)))</f>
        <v>0.341</v>
      </c>
      <c r="AL19" s="879">
        <v>0.47</v>
      </c>
      <c r="AM19" s="877">
        <v>0.22</v>
      </c>
      <c r="AN19" s="878">
        <f t="array" ref="AN19">IF(AM$3="",INDEX('Simple CEA'!$H$7:$Z$39,MATCH($E19,'Simple CEA'!$E$7:$E$39,0),MATCH(AM$2,'Simple CEA'!$H$2:$Z$2,0)),INDEX('Simple CEA'!$H$7:$Z$39,MATCH($E19,'Simple CEA'!$E$7:$E$39,0),MATCH(AM$3,'Simple CEA'!$H$3:$Z$3,0)))</f>
        <v>0.341</v>
      </c>
      <c r="AO19" s="879">
        <v>0.45</v>
      </c>
      <c r="AP19" s="877">
        <v>0.23</v>
      </c>
      <c r="AQ19" s="878">
        <f t="array" ref="AQ19">IF(AP$3="",INDEX('Simple CEA'!$H$7:$Z$39,MATCH($E19,'Simple CEA'!$E$7:$E$39,0),MATCH(AP$2,'Simple CEA'!$H$2:$Z$2,0)),INDEX('Simple CEA'!$H$7:$Z$39,MATCH($E19,'Simple CEA'!$E$7:$E$39,0),MATCH(AP$3,'Simple CEA'!$H$3:$Z$3,0)))</f>
        <v>0.341</v>
      </c>
      <c r="AR19" s="879">
        <v>0.45</v>
      </c>
      <c r="AS19" s="877">
        <v>0.23</v>
      </c>
      <c r="AT19" s="878">
        <f t="array" ref="AT19">IF(AS$3="",INDEX('Simple CEA'!$H$7:$Z$39,MATCH($E19,'Simple CEA'!$E$7:$E$39,0),MATCH(AS$2,'Simple CEA'!$H$2:$Z$2,0)),INDEX('Simple CEA'!$H$7:$Z$39,MATCH($E19,'Simple CEA'!$E$7:$E$39,0),MATCH(AS$3,'Simple CEA'!$H$3:$Z$3,0)))</f>
        <v>0.341</v>
      </c>
      <c r="AU19" s="879">
        <v>0.46</v>
      </c>
      <c r="AV19" s="877">
        <v>0.22</v>
      </c>
      <c r="AW19" s="878">
        <f t="array" ref="AW19">IF(AV$3="",INDEX('Simple CEA'!$H$7:$Z$39,MATCH($E19,'Simple CEA'!$E$7:$E$39,0),MATCH(AV$2,'Simple CEA'!$H$2:$Z$2,0)),INDEX('Simple CEA'!$H$7:$Z$39,MATCH($E19,'Simple CEA'!$E$7:$E$39,0),MATCH(AV$3,'Simple CEA'!$H$3:$Z$3,0)))</f>
        <v>0.341</v>
      </c>
      <c r="AX19" s="879">
        <v>0.45</v>
      </c>
      <c r="AY19" s="877">
        <v>0.22</v>
      </c>
      <c r="AZ19" s="878">
        <f t="array" ref="AZ19">IF(AY$3="",INDEX('Simple CEA'!$H$7:$Z$39,MATCH($E19,'Simple CEA'!$E$7:$E$39,0),MATCH(AY$2,'Simple CEA'!$H$2:$Z$2,0)),INDEX('Simple CEA'!$H$7:$Z$39,MATCH($E19,'Simple CEA'!$E$7:$E$39,0),MATCH(AY$3,'Simple CEA'!$H$3:$Z$3,0)))</f>
        <v>0.341</v>
      </c>
      <c r="BA19" s="879">
        <v>0.46</v>
      </c>
      <c r="BB19" s="877">
        <v>0.17</v>
      </c>
      <c r="BC19" s="878">
        <f t="array" ref="BC19">IF(BB$3="",INDEX('Simple CEA'!$H$7:$Z$39,MATCH($E19,'Simple CEA'!$E$7:$E$39,0),MATCH(BB$2,'Simple CEA'!$H$2:$Z$2,0)),INDEX('Simple CEA'!$H$7:$Z$39,MATCH($E19,'Simple CEA'!$E$7:$E$39,0),MATCH(BB$3,'Simple CEA'!$H$3:$Z$3,0)))</f>
        <v>0.291</v>
      </c>
      <c r="BD19" s="879">
        <v>0.42</v>
      </c>
      <c r="BE19" s="797" t="s">
        <v>124</v>
      </c>
      <c r="BF19" s="805" t="s">
        <v>124</v>
      </c>
      <c r="BG19" s="801" t="s">
        <v>124</v>
      </c>
      <c r="BH19" s="697"/>
    </row>
    <row r="20">
      <c r="A20" s="71"/>
      <c r="B20" s="72"/>
      <c r="C20" s="107"/>
      <c r="D20" s="72"/>
      <c r="E20" s="508" t="s">
        <v>553</v>
      </c>
      <c r="F20" s="844">
        <v>-0.17</v>
      </c>
      <c r="G20" s="845" t="str">
        <f t="array" ref="G20">IF(F$3="",INDEX('Simple CEA'!$H$7:$Z$39,MATCH($E20,'Simple CEA'!$E$7:$E$39,0),MATCH(F$2,'Simple CEA'!$H$2:$Z$2,0)),INDEX('Simple CEA'!$H$7:$Z$39,MATCH($E20,'Simple CEA'!$E$7:$E$39,0),MATCH(F$3,'Simple CEA'!$H$3:$Z$3,0)))</f>
        <v>-</v>
      </c>
      <c r="H20" s="846">
        <v>-0.04</v>
      </c>
      <c r="I20" s="844">
        <v>-0.17</v>
      </c>
      <c r="J20" s="845" t="str">
        <f t="array" ref="J20">IF(I$3="",INDEX('Simple CEA'!$H$7:$Z$39,MATCH($E20,'Simple CEA'!$E$7:$E$39,0),MATCH(I$2,'Simple CEA'!$H$2:$Z$2,0)),INDEX('Simple CEA'!$H$7:$Z$39,MATCH($E20,'Simple CEA'!$E$7:$E$39,0),MATCH(I$3,'Simple CEA'!$H$3:$Z$3,0)))</f>
        <v>-</v>
      </c>
      <c r="K20" s="846">
        <v>-0.04</v>
      </c>
      <c r="L20" s="838" t="s">
        <v>124</v>
      </c>
      <c r="M20" s="839" t="s">
        <v>124</v>
      </c>
      <c r="N20" s="840" t="s">
        <v>124</v>
      </c>
      <c r="O20" s="838" t="s">
        <v>124</v>
      </c>
      <c r="P20" s="839" t="s">
        <v>124</v>
      </c>
      <c r="Q20" s="840" t="s">
        <v>124</v>
      </c>
      <c r="R20" s="838" t="s">
        <v>124</v>
      </c>
      <c r="S20" s="839" t="s">
        <v>124</v>
      </c>
      <c r="T20" s="840" t="s">
        <v>124</v>
      </c>
      <c r="U20" s="838" t="s">
        <v>124</v>
      </c>
      <c r="V20" s="839" t="s">
        <v>124</v>
      </c>
      <c r="W20" s="840" t="s">
        <v>124</v>
      </c>
      <c r="X20" s="838" t="s">
        <v>124</v>
      </c>
      <c r="Y20" s="839" t="s">
        <v>124</v>
      </c>
      <c r="Z20" s="840" t="s">
        <v>124</v>
      </c>
      <c r="AA20" s="844">
        <v>-0.17</v>
      </c>
      <c r="AB20" s="845" t="str">
        <f t="array" ref="AB20">IF(AA$3="",INDEX('Simple CEA'!$H$7:$Z$39,MATCH($E20,'Simple CEA'!$E$7:$E$39,0),MATCH(AA$2,'Simple CEA'!$H$2:$Z$2,0)),INDEX('Simple CEA'!$H$7:$Z$39,MATCH($E20,'Simple CEA'!$E$7:$E$39,0),MATCH(AA$3,'Simple CEA'!$H$3:$Z$3,0)))</f>
        <v>-</v>
      </c>
      <c r="AC20" s="846">
        <v>-0.04</v>
      </c>
      <c r="AD20" s="844">
        <v>-0.17</v>
      </c>
      <c r="AE20" s="845" t="str">
        <f t="array" ref="AE20">IF(AD$3="",INDEX('Simple CEA'!$H$7:$Z$39,MATCH($E20,'Simple CEA'!$E$7:$E$39,0),MATCH(AD$2,'Simple CEA'!$H$2:$Z$2,0)),INDEX('Simple CEA'!$H$7:$Z$39,MATCH($E20,'Simple CEA'!$E$7:$E$39,0),MATCH(AD$3,'Simple CEA'!$H$3:$Z$3,0)))</f>
        <v>-</v>
      </c>
      <c r="AF20" s="846">
        <v>-0.04</v>
      </c>
      <c r="AG20" s="844">
        <v>-0.17</v>
      </c>
      <c r="AH20" s="845" t="str">
        <f t="array" ref="AH20">IF(AG$3="",INDEX('Simple CEA'!$H$7:$Z$39,MATCH($E20,'Simple CEA'!$E$7:$E$39,0),MATCH(AG$2,'Simple CEA'!$H$2:$Z$2,0)),INDEX('Simple CEA'!$H$7:$Z$39,MATCH($E20,'Simple CEA'!$E$7:$E$39,0),MATCH(AG$3,'Simple CEA'!$H$3:$Z$3,0)))</f>
        <v>-</v>
      </c>
      <c r="AI20" s="846">
        <v>-0.04</v>
      </c>
      <c r="AJ20" s="844">
        <v>-0.17</v>
      </c>
      <c r="AK20" s="845" t="str">
        <f t="array" ref="AK20">IF(AJ$3="",INDEX('Simple CEA'!$H$7:$Z$39,MATCH($E20,'Simple CEA'!$E$7:$E$39,0),MATCH(AJ$2,'Simple CEA'!$H$2:$Z$2,0)),INDEX('Simple CEA'!$H$7:$Z$39,MATCH($E20,'Simple CEA'!$E$7:$E$39,0),MATCH(AJ$3,'Simple CEA'!$H$3:$Z$3,0)))</f>
        <v>-</v>
      </c>
      <c r="AL20" s="846">
        <v>-0.04</v>
      </c>
      <c r="AM20" s="844">
        <v>-0.17</v>
      </c>
      <c r="AN20" s="845" t="str">
        <f t="array" ref="AN20">IF(AM$3="",INDEX('Simple CEA'!$H$7:$Z$39,MATCH($E20,'Simple CEA'!$E$7:$E$39,0),MATCH(AM$2,'Simple CEA'!$H$2:$Z$2,0)),INDEX('Simple CEA'!$H$7:$Z$39,MATCH($E20,'Simple CEA'!$E$7:$E$39,0),MATCH(AM$3,'Simple CEA'!$H$3:$Z$3,0)))</f>
        <v>-</v>
      </c>
      <c r="AO20" s="846">
        <v>-0.04</v>
      </c>
      <c r="AP20" s="844">
        <v>-0.17</v>
      </c>
      <c r="AQ20" s="845" t="str">
        <f t="array" ref="AQ20">IF(AP$3="",INDEX('Simple CEA'!$H$7:$Z$39,MATCH($E20,'Simple CEA'!$E$7:$E$39,0),MATCH(AP$2,'Simple CEA'!$H$2:$Z$2,0)),INDEX('Simple CEA'!$H$7:$Z$39,MATCH($E20,'Simple CEA'!$E$7:$E$39,0),MATCH(AP$3,'Simple CEA'!$H$3:$Z$3,0)))</f>
        <v>-</v>
      </c>
      <c r="AR20" s="846">
        <v>-0.04</v>
      </c>
      <c r="AS20" s="844">
        <v>-0.17</v>
      </c>
      <c r="AT20" s="845" t="str">
        <f t="array" ref="AT20">IF(AS$3="",INDEX('Simple CEA'!$H$7:$Z$39,MATCH($E20,'Simple CEA'!$E$7:$E$39,0),MATCH(AS$2,'Simple CEA'!$H$2:$Z$2,0)),INDEX('Simple CEA'!$H$7:$Z$39,MATCH($E20,'Simple CEA'!$E$7:$E$39,0),MATCH(AS$3,'Simple CEA'!$H$3:$Z$3,0)))</f>
        <v>-</v>
      </c>
      <c r="AU20" s="846">
        <v>-0.04</v>
      </c>
      <c r="AV20" s="844">
        <v>-0.17</v>
      </c>
      <c r="AW20" s="845" t="str">
        <f t="array" ref="AW20">IF(AV$3="",INDEX('Simple CEA'!$H$7:$Z$39,MATCH($E20,'Simple CEA'!$E$7:$E$39,0),MATCH(AV$2,'Simple CEA'!$H$2:$Z$2,0)),INDEX('Simple CEA'!$H$7:$Z$39,MATCH($E20,'Simple CEA'!$E$7:$E$39,0),MATCH(AV$3,'Simple CEA'!$H$3:$Z$3,0)))</f>
        <v>-</v>
      </c>
      <c r="AX20" s="846">
        <v>-0.04</v>
      </c>
      <c r="AY20" s="844">
        <v>-0.17</v>
      </c>
      <c r="AZ20" s="845" t="str">
        <f t="array" ref="AZ20">IF(AY$3="",INDEX('Simple CEA'!$H$7:$Z$39,MATCH($E20,'Simple CEA'!$E$7:$E$39,0),MATCH(AY$2,'Simple CEA'!$H$2:$Z$2,0)),INDEX('Simple CEA'!$H$7:$Z$39,MATCH($E20,'Simple CEA'!$E$7:$E$39,0),MATCH(AY$3,'Simple CEA'!$H$3:$Z$3,0)))</f>
        <v>-</v>
      </c>
      <c r="BA20" s="846">
        <v>-0.04</v>
      </c>
      <c r="BB20" s="844">
        <v>-0.17</v>
      </c>
      <c r="BC20" s="845" t="str">
        <f t="array" ref="BC20">IF(BB$3="",INDEX('Simple CEA'!$H$7:$Z$39,MATCH($E20,'Simple CEA'!$E$7:$E$39,0),MATCH(BB$2,'Simple CEA'!$H$2:$Z$2,0)),INDEX('Simple CEA'!$H$7:$Z$39,MATCH($E20,'Simple CEA'!$E$7:$E$39,0),MATCH(BB$3,'Simple CEA'!$H$3:$Z$3,0)))</f>
        <v>-</v>
      </c>
      <c r="BD20" s="846">
        <v>-0.04</v>
      </c>
      <c r="BE20" s="838" t="s">
        <v>124</v>
      </c>
      <c r="BF20" s="839" t="s">
        <v>124</v>
      </c>
      <c r="BG20" s="840" t="s">
        <v>124</v>
      </c>
      <c r="BH20" s="703"/>
    </row>
    <row r="21">
      <c r="A21" s="71"/>
      <c r="B21" s="72"/>
      <c r="C21" s="107"/>
      <c r="D21" s="72"/>
      <c r="E21" s="429" t="s">
        <v>559</v>
      </c>
      <c r="F21" s="860">
        <v>-0.64</v>
      </c>
      <c r="G21" s="862">
        <f t="array" ref="G21">IF(F$3="",INDEX('Simple CEA'!$H$7:$Z$39,MATCH($E21,'Simple CEA'!$E$7:$E$39,0),MATCH(F$2,'Simple CEA'!$H$2:$Z$2,0)),INDEX('Simple CEA'!$H$7:$Z$39,MATCH($E21,'Simple CEA'!$E$7:$E$39,0),MATCH(F$3,'Simple CEA'!$H$3:$Z$3,0)))</f>
        <v>-0.426621249</v>
      </c>
      <c r="H21" s="863">
        <v>-0.23</v>
      </c>
      <c r="I21" s="865">
        <v>-0.43</v>
      </c>
      <c r="J21" s="862">
        <f t="array" ref="J21">IF(I$3="",INDEX('Simple CEA'!$H$7:$Z$39,MATCH($E21,'Simple CEA'!$E$7:$E$39,0),MATCH(I$2,'Simple CEA'!$H$2:$Z$2,0)),INDEX('Simple CEA'!$H$7:$Z$39,MATCH($E21,'Simple CEA'!$E$7:$E$39,0),MATCH(I$3,'Simple CEA'!$H$3:$Z$3,0)))</f>
        <v>-0.2598473716</v>
      </c>
      <c r="K21" s="866">
        <v>-0.13</v>
      </c>
      <c r="L21" s="867" t="s">
        <v>124</v>
      </c>
      <c r="M21" s="868" t="s">
        <v>124</v>
      </c>
      <c r="N21" s="869" t="s">
        <v>124</v>
      </c>
      <c r="O21" s="867" t="s">
        <v>124</v>
      </c>
      <c r="P21" s="868" t="s">
        <v>124</v>
      </c>
      <c r="Q21" s="869" t="s">
        <v>124</v>
      </c>
      <c r="R21" s="867" t="s">
        <v>124</v>
      </c>
      <c r="S21" s="868" t="s">
        <v>124</v>
      </c>
      <c r="T21" s="869" t="s">
        <v>124</v>
      </c>
      <c r="U21" s="867" t="s">
        <v>124</v>
      </c>
      <c r="V21" s="868" t="s">
        <v>124</v>
      </c>
      <c r="W21" s="869" t="s">
        <v>124</v>
      </c>
      <c r="X21" s="867" t="s">
        <v>124</v>
      </c>
      <c r="Y21" s="868" t="s">
        <v>124</v>
      </c>
      <c r="Z21" s="869" t="s">
        <v>124</v>
      </c>
      <c r="AA21" s="865">
        <v>-0.33</v>
      </c>
      <c r="AB21" s="862">
        <f t="array" ref="AB21">IF(AA$3="",INDEX('Simple CEA'!$H$7:$Z$39,MATCH($E21,'Simple CEA'!$E$7:$E$39,0),MATCH(AA$2,'Simple CEA'!$H$2:$Z$2,0)),INDEX('Simple CEA'!$H$7:$Z$39,MATCH($E21,'Simple CEA'!$E$7:$E$39,0),MATCH(AA$3,'Simple CEA'!$H$3:$Z$3,0)))</f>
        <v>-0.1637379572</v>
      </c>
      <c r="AC21" s="866">
        <v>-0.09</v>
      </c>
      <c r="AD21" s="865">
        <v>-0.21</v>
      </c>
      <c r="AE21" s="862">
        <f t="array" ref="AE21">IF(AD$3="",INDEX('Simple CEA'!$H$7:$Z$39,MATCH($E21,'Simple CEA'!$E$7:$E$39,0),MATCH(AD$2,'Simple CEA'!$H$2:$Z$2,0)),INDEX('Simple CEA'!$H$7:$Z$39,MATCH($E21,'Simple CEA'!$E$7:$E$39,0),MATCH(AD$3,'Simple CEA'!$H$3:$Z$3,0)))</f>
        <v>-0.07646619323</v>
      </c>
      <c r="AF21" s="866">
        <v>-0.05</v>
      </c>
      <c r="AG21" s="865">
        <v>-0.14</v>
      </c>
      <c r="AH21" s="862">
        <f t="array" ref="AH21">IF(AG$3="",INDEX('Simple CEA'!$H$7:$Z$39,MATCH($E21,'Simple CEA'!$E$7:$E$39,0),MATCH(AG$2,'Simple CEA'!$H$2:$Z$2,0)),INDEX('Simple CEA'!$H$7:$Z$39,MATCH($E21,'Simple CEA'!$E$7:$E$39,0),MATCH(AG$3,'Simple CEA'!$H$3:$Z$3,0)))</f>
        <v>-0.07359063388</v>
      </c>
      <c r="AI21" s="866">
        <v>-0.03</v>
      </c>
      <c r="AJ21" s="865">
        <v>-0.36</v>
      </c>
      <c r="AK21" s="862">
        <f t="array" ref="AK21">IF(AJ$3="",INDEX('Simple CEA'!$H$7:$Z$39,MATCH($E21,'Simple CEA'!$E$7:$E$39,0),MATCH(AJ$2,'Simple CEA'!$H$2:$Z$2,0)),INDEX('Simple CEA'!$H$7:$Z$39,MATCH($E21,'Simple CEA'!$E$7:$E$39,0),MATCH(AJ$3,'Simple CEA'!$H$3:$Z$3,0)))</f>
        <v>-0.1741124306</v>
      </c>
      <c r="AL21" s="866">
        <v>-0.1</v>
      </c>
      <c r="AM21" s="865">
        <v>-0.21</v>
      </c>
      <c r="AN21" s="862">
        <f t="array" ref="AN21">IF(AM$3="",INDEX('Simple CEA'!$H$7:$Z$39,MATCH($E21,'Simple CEA'!$E$7:$E$39,0),MATCH(AM$2,'Simple CEA'!$H$2:$Z$2,0)),INDEX('Simple CEA'!$H$7:$Z$39,MATCH($E21,'Simple CEA'!$E$7:$E$39,0),MATCH(AM$3,'Simple CEA'!$H$3:$Z$3,0)))</f>
        <v>-0.07989362945</v>
      </c>
      <c r="AO21" s="866">
        <v>-0.05</v>
      </c>
      <c r="AP21" s="865">
        <v>-0.35</v>
      </c>
      <c r="AQ21" s="862">
        <f t="array" ref="AQ21">IF(AP$3="",INDEX('Simple CEA'!$H$7:$Z$39,MATCH($E21,'Simple CEA'!$E$7:$E$39,0),MATCH(AP$2,'Simple CEA'!$H$2:$Z$2,0)),INDEX('Simple CEA'!$H$7:$Z$39,MATCH($E21,'Simple CEA'!$E$7:$E$39,0),MATCH(AP$3,'Simple CEA'!$H$3:$Z$3,0)))</f>
        <v>-0.1655829432</v>
      </c>
      <c r="AR21" s="866">
        <v>-0.1</v>
      </c>
      <c r="AS21" s="865">
        <v>-0.27</v>
      </c>
      <c r="AT21" s="862">
        <f t="array" ref="AT21">IF(AS$3="",INDEX('Simple CEA'!$H$7:$Z$39,MATCH($E21,'Simple CEA'!$E$7:$E$39,0),MATCH(AS$2,'Simple CEA'!$H$2:$Z$2,0)),INDEX('Simple CEA'!$H$7:$Z$39,MATCH($E21,'Simple CEA'!$E$7:$E$39,0),MATCH(AS$3,'Simple CEA'!$H$3:$Z$3,0)))</f>
        <v>-0.1685074178</v>
      </c>
      <c r="AU21" s="866">
        <v>-0.07</v>
      </c>
      <c r="AV21" s="865">
        <v>-0.32</v>
      </c>
      <c r="AW21" s="862">
        <f t="array" ref="AW21">IF(AV$3="",INDEX('Simple CEA'!$H$7:$Z$39,MATCH($E21,'Simple CEA'!$E$7:$E$39,0),MATCH(AV$2,'Simple CEA'!$H$2:$Z$2,0)),INDEX('Simple CEA'!$H$7:$Z$39,MATCH($E21,'Simple CEA'!$E$7:$E$39,0),MATCH(AV$3,'Simple CEA'!$H$3:$Z$3,0)))</f>
        <v>-0.1514130403</v>
      </c>
      <c r="AX21" s="866">
        <v>-0.09</v>
      </c>
      <c r="AY21" s="865">
        <v>-0.35</v>
      </c>
      <c r="AZ21" s="862">
        <f t="array" ref="AZ21">IF(AY$3="",INDEX('Simple CEA'!$H$7:$Z$39,MATCH($E21,'Simple CEA'!$E$7:$E$39,0),MATCH(AY$2,'Simple CEA'!$H$2:$Z$2,0)),INDEX('Simple CEA'!$H$7:$Z$39,MATCH($E21,'Simple CEA'!$E$7:$E$39,0),MATCH(AY$3,'Simple CEA'!$H$3:$Z$3,0)))</f>
        <v>-0.1744731779</v>
      </c>
      <c r="BA21" s="866">
        <v>-0.1</v>
      </c>
      <c r="BB21" s="865">
        <v>-0.78</v>
      </c>
      <c r="BC21" s="862">
        <f t="array" ref="BC21">IF(BB$3="",INDEX('Simple CEA'!$H$7:$Z$39,MATCH($E21,'Simple CEA'!$E$7:$E$39,0),MATCH(BB$2,'Simple CEA'!$H$2:$Z$2,0)),INDEX('Simple CEA'!$H$7:$Z$39,MATCH($E21,'Simple CEA'!$E$7:$E$39,0),MATCH(BB$3,'Simple CEA'!$H$3:$Z$3,0)))</f>
        <v>-0.5115769106</v>
      </c>
      <c r="BD21" s="866">
        <v>-0.29</v>
      </c>
      <c r="BE21" s="867" t="s">
        <v>124</v>
      </c>
      <c r="BF21" s="868" t="s">
        <v>124</v>
      </c>
      <c r="BG21" s="869" t="s">
        <v>124</v>
      </c>
      <c r="BH21" s="712"/>
    </row>
    <row r="22">
      <c r="A22" s="355"/>
      <c r="B22" s="358"/>
      <c r="C22" s="358"/>
      <c r="D22" s="358"/>
      <c r="E22" s="358"/>
      <c r="F22" s="896"/>
      <c r="G22" s="897"/>
      <c r="H22" s="898"/>
      <c r="I22" s="896"/>
      <c r="J22" s="897"/>
      <c r="K22" s="898"/>
      <c r="L22" s="896"/>
      <c r="M22" s="897"/>
      <c r="N22" s="898"/>
      <c r="O22" s="896"/>
      <c r="P22" s="897"/>
      <c r="Q22" s="898"/>
      <c r="R22" s="896"/>
      <c r="S22" s="897"/>
      <c r="T22" s="898"/>
      <c r="U22" s="896"/>
      <c r="V22" s="897"/>
      <c r="W22" s="898"/>
      <c r="X22" s="896"/>
      <c r="Y22" s="897"/>
      <c r="Z22" s="898"/>
      <c r="AA22" s="896"/>
      <c r="AB22" s="897"/>
      <c r="AC22" s="898"/>
      <c r="AD22" s="896"/>
      <c r="AE22" s="897"/>
      <c r="AF22" s="898"/>
      <c r="AG22" s="896"/>
      <c r="AH22" s="897"/>
      <c r="AI22" s="898"/>
      <c r="AJ22" s="896"/>
      <c r="AK22" s="897"/>
      <c r="AL22" s="898"/>
      <c r="AM22" s="896"/>
      <c r="AN22" s="897"/>
      <c r="AO22" s="898"/>
      <c r="AP22" s="896"/>
      <c r="AQ22" s="897"/>
      <c r="AR22" s="898"/>
      <c r="AS22" s="896"/>
      <c r="AT22" s="897"/>
      <c r="AU22" s="898"/>
      <c r="AV22" s="896"/>
      <c r="AW22" s="897"/>
      <c r="AX22" s="898"/>
      <c r="AY22" s="896"/>
      <c r="AZ22" s="897"/>
      <c r="BA22" s="898"/>
      <c r="BB22" s="896"/>
      <c r="BC22" s="897"/>
      <c r="BD22" s="898"/>
      <c r="BE22" s="896"/>
      <c r="BF22" s="897"/>
      <c r="BG22" s="898"/>
      <c r="BH22" s="899"/>
    </row>
  </sheetData>
  <mergeCells count="61">
    <mergeCell ref="X3:Z3"/>
    <mergeCell ref="AA3:AC3"/>
    <mergeCell ref="X2:Z2"/>
    <mergeCell ref="AA2:AC2"/>
    <mergeCell ref="A3:E3"/>
    <mergeCell ref="F3:H3"/>
    <mergeCell ref="I3:K3"/>
    <mergeCell ref="L3:N3"/>
    <mergeCell ref="O3:Q3"/>
    <mergeCell ref="AS5:AU5"/>
    <mergeCell ref="AV5:AX5"/>
    <mergeCell ref="AY5:BA5"/>
    <mergeCell ref="BB5:BD5"/>
    <mergeCell ref="BE5:BG5"/>
    <mergeCell ref="X5:Z5"/>
    <mergeCell ref="AA5:AC5"/>
    <mergeCell ref="AD5:AF5"/>
    <mergeCell ref="AG5:AI5"/>
    <mergeCell ref="AJ5:AL5"/>
    <mergeCell ref="AM5:AO5"/>
    <mergeCell ref="AP5:AR5"/>
    <mergeCell ref="A6:E6"/>
    <mergeCell ref="C8:E8"/>
    <mergeCell ref="C14:E14"/>
    <mergeCell ref="C18:E18"/>
    <mergeCell ref="A5:E5"/>
    <mergeCell ref="F5:H5"/>
    <mergeCell ref="I5:K5"/>
    <mergeCell ref="L5:N5"/>
    <mergeCell ref="O5:Q5"/>
    <mergeCell ref="R5:T5"/>
    <mergeCell ref="U5:W5"/>
    <mergeCell ref="AD2:AF2"/>
    <mergeCell ref="AG2:AI2"/>
    <mergeCell ref="AD3:AF3"/>
    <mergeCell ref="AG3:AI3"/>
    <mergeCell ref="AJ2:AL2"/>
    <mergeCell ref="AM2:AO2"/>
    <mergeCell ref="AJ3:AL3"/>
    <mergeCell ref="AM3:AO3"/>
    <mergeCell ref="AP2:AR2"/>
    <mergeCell ref="AS2:AU2"/>
    <mergeCell ref="AP3:AR3"/>
    <mergeCell ref="AS3:AU3"/>
    <mergeCell ref="AV2:AX2"/>
    <mergeCell ref="AY2:BA2"/>
    <mergeCell ref="AV3:AX3"/>
    <mergeCell ref="AY3:BA3"/>
    <mergeCell ref="BB2:BD2"/>
    <mergeCell ref="BE2:BG2"/>
    <mergeCell ref="BB3:BD3"/>
    <mergeCell ref="BE3:BG3"/>
    <mergeCell ref="F1:BG1"/>
    <mergeCell ref="F2:H2"/>
    <mergeCell ref="I2:K2"/>
    <mergeCell ref="L2:N2"/>
    <mergeCell ref="O2:Q2"/>
    <mergeCell ref="R2:T2"/>
    <mergeCell ref="U2:W2"/>
    <mergeCell ref="R3:T3"/>
    <mergeCell ref="U3:W3"/>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4" width="1.88"/>
    <col customWidth="1" min="5" max="5" width="50.0"/>
    <col customWidth="1" min="6" max="6" width="7.63"/>
    <col customWidth="1" min="7" max="7" width="9.38"/>
    <col customWidth="1" min="8" max="9" width="7.63"/>
    <col customWidth="1" min="10" max="10" width="9.38"/>
    <col customWidth="1" min="11" max="24" width="7.63"/>
    <col customWidth="1" min="25" max="25" width="9.38"/>
    <col customWidth="1" min="26" max="27" width="7.63"/>
    <col customWidth="1" min="28" max="28" width="9.38"/>
    <col customWidth="1" min="29" max="30" width="7.63"/>
    <col customWidth="1" min="31" max="31" width="9.38"/>
    <col customWidth="1" min="32" max="33" width="7.63"/>
    <col customWidth="1" min="34" max="34" width="9.38"/>
    <col customWidth="1" min="35" max="36" width="7.63"/>
    <col customWidth="1" min="37" max="37" width="9.38"/>
    <col customWidth="1" min="38" max="39" width="7.63"/>
    <col customWidth="1" min="40" max="40" width="9.38"/>
    <col customWidth="1" min="41" max="42" width="7.63"/>
    <col customWidth="1" min="43" max="43" width="9.38"/>
    <col customWidth="1" min="44" max="45" width="7.63"/>
    <col customWidth="1" min="46" max="46" width="9.38"/>
    <col customWidth="1" min="47" max="48" width="7.63"/>
    <col customWidth="1" min="49" max="49" width="9.38"/>
    <col customWidth="1" min="50" max="51" width="7.63"/>
    <col customWidth="1" min="52" max="52" width="9.38"/>
    <col customWidth="1" min="53" max="54" width="7.63"/>
    <col customWidth="1" min="55" max="55" width="9.38"/>
    <col customWidth="1" min="56" max="57" width="7.63"/>
    <col customWidth="1" min="58" max="58" width="9.38"/>
    <col customWidth="1" min="59" max="59" width="7.63"/>
    <col customWidth="1" min="60" max="60" width="3.63"/>
  </cols>
  <sheetData>
    <row r="1">
      <c r="A1" s="798"/>
      <c r="B1" s="800"/>
      <c r="C1" s="800"/>
      <c r="D1" s="800"/>
      <c r="E1" s="800"/>
      <c r="F1" s="742" t="s">
        <v>1</v>
      </c>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87"/>
      <c r="BH1" s="802"/>
    </row>
    <row r="2">
      <c r="A2" s="803"/>
      <c r="B2" s="804"/>
      <c r="C2" s="804"/>
      <c r="D2" s="804"/>
      <c r="E2" s="804"/>
      <c r="F2" s="744" t="s">
        <v>3</v>
      </c>
      <c r="H2" s="745"/>
      <c r="I2" s="746" t="s">
        <v>4</v>
      </c>
      <c r="K2" s="745"/>
      <c r="L2" s="747" t="s">
        <v>5</v>
      </c>
      <c r="N2" s="745"/>
      <c r="O2" s="747" t="s">
        <v>5</v>
      </c>
      <c r="Q2" s="745"/>
      <c r="R2" s="747" t="s">
        <v>5</v>
      </c>
      <c r="T2" s="745"/>
      <c r="U2" s="747" t="s">
        <v>5</v>
      </c>
      <c r="W2" s="745"/>
      <c r="X2" s="747" t="s">
        <v>6</v>
      </c>
      <c r="Z2" s="745"/>
      <c r="AA2" s="747" t="s">
        <v>7</v>
      </c>
      <c r="AC2" s="745"/>
      <c r="AD2" s="747" t="s">
        <v>7</v>
      </c>
      <c r="AF2" s="745"/>
      <c r="AG2" s="747" t="s">
        <v>7</v>
      </c>
      <c r="AI2" s="745"/>
      <c r="AJ2" s="747" t="s">
        <v>7</v>
      </c>
      <c r="AL2" s="745"/>
      <c r="AM2" s="747" t="s">
        <v>7</v>
      </c>
      <c r="AO2" s="745"/>
      <c r="AP2" s="747" t="s">
        <v>7</v>
      </c>
      <c r="AR2" s="745"/>
      <c r="AS2" s="747" t="s">
        <v>7</v>
      </c>
      <c r="AU2" s="745"/>
      <c r="AV2" s="747" t="s">
        <v>7</v>
      </c>
      <c r="AX2" s="745"/>
      <c r="AY2" s="747" t="s">
        <v>7</v>
      </c>
      <c r="BA2" s="745"/>
      <c r="BB2" s="747" t="s">
        <v>8</v>
      </c>
      <c r="BD2" s="745"/>
      <c r="BE2" s="747" t="s">
        <v>9</v>
      </c>
      <c r="BG2" s="745"/>
      <c r="BH2" s="806"/>
    </row>
    <row r="3">
      <c r="A3" s="807" t="s">
        <v>45</v>
      </c>
      <c r="F3" s="803"/>
      <c r="H3" s="745"/>
      <c r="I3" s="803"/>
      <c r="K3" s="745"/>
      <c r="L3" s="751" t="s">
        <v>17</v>
      </c>
      <c r="N3" s="745"/>
      <c r="O3" s="751" t="s">
        <v>18</v>
      </c>
      <c r="Q3" s="745"/>
      <c r="R3" s="751" t="s">
        <v>19</v>
      </c>
      <c r="T3" s="745"/>
      <c r="U3" s="751" t="s">
        <v>20</v>
      </c>
      <c r="W3" s="745"/>
      <c r="X3" s="751" t="s">
        <v>21</v>
      </c>
      <c r="Z3" s="745"/>
      <c r="AA3" s="751" t="s">
        <v>22</v>
      </c>
      <c r="AC3" s="745"/>
      <c r="AD3" s="751" t="s">
        <v>23</v>
      </c>
      <c r="AF3" s="745"/>
      <c r="AG3" s="751" t="s">
        <v>24</v>
      </c>
      <c r="AI3" s="745"/>
      <c r="AJ3" s="751" t="s">
        <v>25</v>
      </c>
      <c r="AL3" s="745"/>
      <c r="AM3" s="751" t="s">
        <v>26</v>
      </c>
      <c r="AO3" s="745"/>
      <c r="AP3" s="751" t="s">
        <v>27</v>
      </c>
      <c r="AR3" s="745"/>
      <c r="AS3" s="751" t="s">
        <v>28</v>
      </c>
      <c r="AU3" s="745"/>
      <c r="AV3" s="751" t="s">
        <v>29</v>
      </c>
      <c r="AX3" s="745"/>
      <c r="AY3" s="751" t="s">
        <v>30</v>
      </c>
      <c r="BA3" s="745"/>
      <c r="BB3" s="803"/>
      <c r="BD3" s="745"/>
      <c r="BE3" s="744" t="s">
        <v>32</v>
      </c>
      <c r="BG3" s="745"/>
      <c r="BH3" s="806"/>
    </row>
    <row r="4">
      <c r="A4" s="803"/>
      <c r="B4" s="808"/>
      <c r="C4" s="808"/>
      <c r="D4" s="808"/>
      <c r="E4" s="808"/>
      <c r="F4" s="754" t="s">
        <v>555</v>
      </c>
      <c r="G4" s="758" t="s">
        <v>556</v>
      </c>
      <c r="H4" s="756" t="s">
        <v>557</v>
      </c>
      <c r="I4" s="757" t="s">
        <v>555</v>
      </c>
      <c r="J4" s="758" t="s">
        <v>556</v>
      </c>
      <c r="K4" s="756" t="s">
        <v>557</v>
      </c>
      <c r="L4" s="758" t="s">
        <v>555</v>
      </c>
      <c r="M4" s="758" t="s">
        <v>556</v>
      </c>
      <c r="N4" s="759" t="s">
        <v>557</v>
      </c>
      <c r="O4" s="758" t="s">
        <v>555</v>
      </c>
      <c r="P4" s="758" t="s">
        <v>556</v>
      </c>
      <c r="Q4" s="759" t="s">
        <v>557</v>
      </c>
      <c r="R4" s="758" t="s">
        <v>555</v>
      </c>
      <c r="S4" s="758" t="s">
        <v>556</v>
      </c>
      <c r="T4" s="759" t="s">
        <v>557</v>
      </c>
      <c r="U4" s="758" t="s">
        <v>555</v>
      </c>
      <c r="V4" s="758" t="s">
        <v>556</v>
      </c>
      <c r="W4" s="759" t="s">
        <v>557</v>
      </c>
      <c r="X4" s="758" t="s">
        <v>555</v>
      </c>
      <c r="Y4" s="758" t="s">
        <v>556</v>
      </c>
      <c r="Z4" s="759" t="s">
        <v>557</v>
      </c>
      <c r="AA4" s="758" t="s">
        <v>555</v>
      </c>
      <c r="AB4" s="758" t="s">
        <v>556</v>
      </c>
      <c r="AC4" s="759" t="s">
        <v>557</v>
      </c>
      <c r="AD4" s="758" t="s">
        <v>555</v>
      </c>
      <c r="AE4" s="758" t="s">
        <v>556</v>
      </c>
      <c r="AF4" s="759" t="s">
        <v>557</v>
      </c>
      <c r="AG4" s="758" t="s">
        <v>555</v>
      </c>
      <c r="AH4" s="758" t="s">
        <v>556</v>
      </c>
      <c r="AI4" s="759" t="s">
        <v>557</v>
      </c>
      <c r="AJ4" s="758" t="s">
        <v>555</v>
      </c>
      <c r="AK4" s="758" t="s">
        <v>556</v>
      </c>
      <c r="AL4" s="759" t="s">
        <v>557</v>
      </c>
      <c r="AM4" s="758" t="s">
        <v>555</v>
      </c>
      <c r="AN4" s="758" t="s">
        <v>556</v>
      </c>
      <c r="AO4" s="759" t="s">
        <v>557</v>
      </c>
      <c r="AP4" s="758" t="s">
        <v>555</v>
      </c>
      <c r="AQ4" s="758" t="s">
        <v>556</v>
      </c>
      <c r="AR4" s="759" t="s">
        <v>557</v>
      </c>
      <c r="AS4" s="758" t="s">
        <v>555</v>
      </c>
      <c r="AT4" s="758" t="s">
        <v>556</v>
      </c>
      <c r="AU4" s="759" t="s">
        <v>557</v>
      </c>
      <c r="AV4" s="758" t="s">
        <v>555</v>
      </c>
      <c r="AW4" s="758" t="s">
        <v>556</v>
      </c>
      <c r="AX4" s="759" t="s">
        <v>557</v>
      </c>
      <c r="AY4" s="758" t="s">
        <v>555</v>
      </c>
      <c r="AZ4" s="758" t="s">
        <v>556</v>
      </c>
      <c r="BA4" s="759" t="s">
        <v>557</v>
      </c>
      <c r="BB4" s="758" t="s">
        <v>555</v>
      </c>
      <c r="BC4" s="758" t="s">
        <v>556</v>
      </c>
      <c r="BD4" s="759" t="s">
        <v>557</v>
      </c>
      <c r="BE4" s="758" t="s">
        <v>555</v>
      </c>
      <c r="BF4" s="758" t="s">
        <v>556</v>
      </c>
      <c r="BG4" s="759" t="s">
        <v>557</v>
      </c>
      <c r="BH4" s="809"/>
    </row>
    <row r="5">
      <c r="A5" s="761" t="s">
        <v>558</v>
      </c>
      <c r="B5" s="4"/>
      <c r="C5" s="4"/>
      <c r="D5" s="4"/>
      <c r="E5" s="4"/>
      <c r="F5" s="762">
        <f>'Main CEA'!I191</f>
        <v>18.0174674</v>
      </c>
      <c r="G5" s="15"/>
      <c r="H5" s="763"/>
      <c r="I5" s="762">
        <f>'Main CEA'!J191</f>
        <v>8.019128417</v>
      </c>
      <c r="J5" s="15"/>
      <c r="K5" s="763"/>
      <c r="L5" s="762">
        <f>'Main CEA'!K191</f>
        <v>7.852125556</v>
      </c>
      <c r="M5" s="15"/>
      <c r="N5" s="763"/>
      <c r="O5" s="762">
        <f>'Main CEA'!L191</f>
        <v>9.246029712</v>
      </c>
      <c r="P5" s="15"/>
      <c r="Q5" s="763"/>
      <c r="R5" s="762">
        <f>'Main CEA'!M191</f>
        <v>9.101271824</v>
      </c>
      <c r="S5" s="15"/>
      <c r="T5" s="763"/>
      <c r="U5" s="762">
        <f>'Main CEA'!N191</f>
        <v>12.5733096</v>
      </c>
      <c r="V5" s="15"/>
      <c r="W5" s="763"/>
      <c r="X5" s="762">
        <f>'Main CEA'!O191</f>
        <v>11.49583583</v>
      </c>
      <c r="Y5" s="15"/>
      <c r="Z5" s="763"/>
      <c r="AA5" s="762">
        <f>'Main CEA'!P191</f>
        <v>21.23317512</v>
      </c>
      <c r="AB5" s="15"/>
      <c r="AC5" s="763"/>
      <c r="AD5" s="762">
        <f>'Main CEA'!Q191</f>
        <v>18.02657078</v>
      </c>
      <c r="AE5" s="15"/>
      <c r="AF5" s="763"/>
      <c r="AG5" s="762">
        <f>'Main CEA'!R191</f>
        <v>16.09673298</v>
      </c>
      <c r="AH5" s="15"/>
      <c r="AI5" s="763"/>
      <c r="AJ5" s="762">
        <f>'Main CEA'!S191</f>
        <v>29.42816881</v>
      </c>
      <c r="AK5" s="15"/>
      <c r="AL5" s="763"/>
      <c r="AM5" s="762">
        <f>'Main CEA'!T191</f>
        <v>21.04785894</v>
      </c>
      <c r="AN5" s="15"/>
      <c r="AO5" s="763"/>
      <c r="AP5" s="762">
        <f>'Main CEA'!U191</f>
        <v>22.32938367</v>
      </c>
      <c r="AQ5" s="15"/>
      <c r="AR5" s="763"/>
      <c r="AS5" s="762">
        <f>'Main CEA'!V191</f>
        <v>24.33012971</v>
      </c>
      <c r="AT5" s="15"/>
      <c r="AU5" s="763"/>
      <c r="AV5" s="762">
        <f>'Main CEA'!W191</f>
        <v>16.04591397</v>
      </c>
      <c r="AW5" s="15"/>
      <c r="AX5" s="763"/>
      <c r="AY5" s="762">
        <f>'Main CEA'!X191</f>
        <v>29.83296948</v>
      </c>
      <c r="AZ5" s="15"/>
      <c r="BA5" s="763"/>
      <c r="BB5" s="762">
        <f>'Main CEA'!Y191</f>
        <v>10.567669</v>
      </c>
      <c r="BC5" s="15"/>
      <c r="BD5" s="763"/>
      <c r="BE5" s="762">
        <f>'Main CEA'!Z191</f>
        <v>10.36078258</v>
      </c>
      <c r="BF5" s="15"/>
      <c r="BG5" s="763"/>
      <c r="BH5" s="772"/>
    </row>
    <row r="6">
      <c r="A6" s="810" t="s">
        <v>565</v>
      </c>
      <c r="B6" s="17"/>
      <c r="C6" s="17"/>
      <c r="D6" s="17"/>
      <c r="E6" s="17"/>
      <c r="F6" s="811"/>
      <c r="G6" s="812"/>
      <c r="H6" s="813"/>
      <c r="I6" s="811"/>
      <c r="J6" s="812"/>
      <c r="K6" s="813"/>
      <c r="L6" s="814"/>
      <c r="M6" s="815"/>
      <c r="N6" s="816"/>
      <c r="O6" s="814"/>
      <c r="P6" s="815"/>
      <c r="Q6" s="816"/>
      <c r="R6" s="814"/>
      <c r="S6" s="815"/>
      <c r="T6" s="816"/>
      <c r="U6" s="814"/>
      <c r="V6" s="815"/>
      <c r="W6" s="816"/>
      <c r="X6" s="811"/>
      <c r="Y6" s="812"/>
      <c r="Z6" s="813"/>
      <c r="AA6" s="811"/>
      <c r="AB6" s="812"/>
      <c r="AC6" s="813"/>
      <c r="AD6" s="811"/>
      <c r="AE6" s="812"/>
      <c r="AF6" s="813"/>
      <c r="AG6" s="811"/>
      <c r="AH6" s="812"/>
      <c r="AI6" s="813"/>
      <c r="AJ6" s="811"/>
      <c r="AK6" s="812"/>
      <c r="AL6" s="813"/>
      <c r="AM6" s="811"/>
      <c r="AN6" s="812"/>
      <c r="AO6" s="813"/>
      <c r="AP6" s="811"/>
      <c r="AQ6" s="812"/>
      <c r="AR6" s="813"/>
      <c r="AS6" s="811"/>
      <c r="AT6" s="812"/>
      <c r="AU6" s="813"/>
      <c r="AV6" s="811"/>
      <c r="AW6" s="812"/>
      <c r="AX6" s="813"/>
      <c r="AY6" s="811"/>
      <c r="AZ6" s="812"/>
      <c r="BA6" s="813"/>
      <c r="BB6" s="811"/>
      <c r="BC6" s="812"/>
      <c r="BD6" s="813"/>
      <c r="BE6" s="811"/>
      <c r="BF6" s="812"/>
      <c r="BG6" s="813"/>
      <c r="BH6" s="817"/>
    </row>
    <row r="7">
      <c r="A7" s="810" t="s">
        <v>566</v>
      </c>
      <c r="B7" s="17"/>
      <c r="C7" s="17"/>
      <c r="D7" s="17"/>
      <c r="E7" s="17"/>
      <c r="F7" s="818"/>
      <c r="G7" s="819"/>
      <c r="H7" s="820"/>
      <c r="I7" s="818"/>
      <c r="J7" s="819"/>
      <c r="K7" s="820"/>
      <c r="L7" s="821"/>
      <c r="M7" s="815"/>
      <c r="N7" s="817"/>
      <c r="O7" s="821"/>
      <c r="P7" s="815"/>
      <c r="Q7" s="817"/>
      <c r="R7" s="821"/>
      <c r="S7" s="815"/>
      <c r="T7" s="817"/>
      <c r="U7" s="821"/>
      <c r="V7" s="815"/>
      <c r="W7" s="817"/>
      <c r="X7" s="821"/>
      <c r="Y7" s="822"/>
      <c r="Z7" s="817"/>
      <c r="AA7" s="821"/>
      <c r="AB7" s="822"/>
      <c r="AC7" s="817"/>
      <c r="AD7" s="821"/>
      <c r="AE7" s="822"/>
      <c r="AF7" s="817"/>
      <c r="AG7" s="821"/>
      <c r="AH7" s="822"/>
      <c r="AI7" s="817"/>
      <c r="AJ7" s="821"/>
      <c r="AK7" s="822"/>
      <c r="AL7" s="817"/>
      <c r="AM7" s="821"/>
      <c r="AN7" s="822"/>
      <c r="AO7" s="817"/>
      <c r="AP7" s="821"/>
      <c r="AQ7" s="822"/>
      <c r="AR7" s="817"/>
      <c r="AS7" s="821"/>
      <c r="AT7" s="822"/>
      <c r="AU7" s="817"/>
      <c r="AV7" s="821"/>
      <c r="AW7" s="822"/>
      <c r="AX7" s="817"/>
      <c r="AY7" s="821"/>
      <c r="AZ7" s="822"/>
      <c r="BA7" s="817"/>
      <c r="BB7" s="821"/>
      <c r="BC7" s="822"/>
      <c r="BD7" s="817"/>
      <c r="BE7" s="821"/>
      <c r="BF7" s="822"/>
      <c r="BG7" s="817"/>
      <c r="BH7" s="817"/>
    </row>
    <row r="8" hidden="1">
      <c r="A8" s="220"/>
      <c r="B8" s="220"/>
      <c r="C8" s="400"/>
      <c r="D8" s="400"/>
      <c r="E8" s="641" t="s">
        <v>567</v>
      </c>
      <c r="F8" s="823" t="s">
        <v>568</v>
      </c>
      <c r="G8" s="824"/>
      <c r="H8" s="824"/>
      <c r="I8" s="825"/>
      <c r="J8" s="824"/>
      <c r="K8" s="824"/>
      <c r="L8" s="826"/>
      <c r="M8" s="827"/>
      <c r="N8" s="826"/>
      <c r="O8" s="826"/>
      <c r="P8" s="827"/>
      <c r="Q8" s="826"/>
      <c r="R8" s="826"/>
      <c r="S8" s="827"/>
      <c r="T8" s="826"/>
      <c r="U8" s="826"/>
      <c r="V8" s="827"/>
      <c r="W8" s="826"/>
      <c r="X8" s="828"/>
      <c r="Y8" s="827"/>
      <c r="Z8" s="826"/>
      <c r="AA8" s="828"/>
      <c r="AB8" s="827"/>
      <c r="AC8" s="826"/>
      <c r="AD8" s="828"/>
      <c r="AE8" s="827"/>
      <c r="AF8" s="826"/>
      <c r="AG8" s="828"/>
      <c r="AH8" s="827"/>
      <c r="AI8" s="826"/>
      <c r="AJ8" s="828"/>
      <c r="AK8" s="827"/>
      <c r="AL8" s="826"/>
      <c r="AM8" s="828"/>
      <c r="AN8" s="827"/>
      <c r="AO8" s="826"/>
      <c r="AP8" s="828"/>
      <c r="AQ8" s="827"/>
      <c r="AR8" s="826"/>
      <c r="AS8" s="828"/>
      <c r="AT8" s="827"/>
      <c r="AU8" s="826"/>
      <c r="AV8" s="828"/>
      <c r="AW8" s="827"/>
      <c r="AX8" s="826"/>
      <c r="AY8" s="828"/>
      <c r="AZ8" s="827"/>
      <c r="BA8" s="826"/>
      <c r="BB8" s="828"/>
      <c r="BC8" s="827"/>
      <c r="BD8" s="826"/>
      <c r="BE8" s="828"/>
      <c r="BF8" s="827"/>
      <c r="BG8" s="826"/>
      <c r="BH8" s="220"/>
    </row>
    <row r="9">
      <c r="A9" s="219"/>
      <c r="B9" s="220"/>
      <c r="C9" s="400"/>
      <c r="D9" s="220"/>
      <c r="E9" s="829" t="str">
        <f t="shared" ref="E9:E21" si="1">E28</f>
        <v>Grant size</v>
      </c>
      <c r="F9" s="830" t="str">
        <f>IFERROR(__xludf.DUMMYFUNCTION("Iferror(IF(
  IFNA(
    FILTER(
      IMPORTRANGE($F$8,""'Sensitivity [""&amp;IF(F$3="""",F$2,F$2&amp;"", ""&amp;F$3)&amp;""]'!D1:D20""),
      IMPORTRANGE($F$8,""'Sensitivity [""&amp;IF(F$3="""",F$2,F$2&amp;"", ""&amp;F$3)&amp;""]'!A1:A20"")=$E9
    ),
    """"
  ) = """",
  ""-"",
  F"&amp;"$5 * ( 1 +
    IFNA(
      FILTER(
        IMPORTRANGE($F$8,""'Sensitivity [""&amp;IF(F$3="""",F$2,F$2&amp;"", ""&amp;F$3)&amp;""]'!D1:D20""),
        IMPORTRANGE($F$8,""'Sensitivity [""&amp;IF(F$3="""",F$2,F$2&amp;"", ""&amp;F$3)&amp;""]'!A1:A20"")=$E9
      ),
      """"
    )
  )
), "&amp;"""-"")
"),"-")</f>
        <v>-</v>
      </c>
      <c r="G9" s="825" t="s">
        <v>124</v>
      </c>
      <c r="H9" s="831" t="str">
        <f>IFERROR(__xludf.DUMMYFUNCTION("iferror(IF(
  IFNA(
    FILTER(
      IMPORTRANGE($F$8,""'Sensitivity [""&amp;IF(F$3="""",F$2,F$2&amp;"", ""&amp;F$3)&amp;""]'!E1:E20""),
      IMPORTRANGE($F$8,""'Sensitivity [""&amp;IF(F$3="""",F$2,F$2&amp;"", ""&amp;F$3)&amp;""]'!A1:A20"")=$E9
    ),
    """"
  ) = """",
  ""-"",
  F"&amp;"$5 * ( 1 +
    IFNA(
      FILTER(
        IMPORTRANGE($F$8,""'Sensitivity [""&amp;IF(F$3="""",F$2,F$2&amp;"", ""&amp;F$3)&amp;""]'!E1:E20""),
        IMPORTRANGE($F$8,""'Sensitivity [""&amp;IF(F$3="""",F$2,F$2&amp;"", ""&amp;F$3)&amp;""]'!A1:A20"")=$E9
      ),
      """"
    )
  )
), "&amp;"""-"")
"),"-")</f>
        <v>-</v>
      </c>
      <c r="I9" s="830" t="str">
        <f>IFERROR(__xludf.DUMMYFUNCTION("Iferror(IF(
  IFNA(
    FILTER(
      IMPORTRANGE($F$8,""'Sensitivity [""&amp;IF(I$3="""",I$2,I$2&amp;"", ""&amp;I$3)&amp;""]'!D1:D20""),
      IMPORTRANGE($F$8,""'Sensitivity [""&amp;IF(I$3="""",I$2,I$2&amp;"", ""&amp;I$3)&amp;""]'!A1:A20"")=$E9
    ),
    """"
  ) = """",
  ""-"",
  I"&amp;"$5 * ( 1 +
    IFNA(
      FILTER(
        IMPORTRANGE($F$8,""'Sensitivity [""&amp;IF(I$3="""",I$2,I$2&amp;"", ""&amp;I$3)&amp;""]'!D1:D20""),
        IMPORTRANGE($F$8,""'Sensitivity [""&amp;IF(I$3="""",I$2,I$2&amp;"", ""&amp;I$3)&amp;""]'!A1:A20"")=$E9
      ),
      """"
    )
  )
), "&amp;"""-"")
"),"-")</f>
        <v>-</v>
      </c>
      <c r="J9" s="825" t="s">
        <v>124</v>
      </c>
      <c r="K9" s="831" t="str">
        <f>IFERROR(__xludf.DUMMYFUNCTION("iferror(IF(
  IFNA(
    FILTER(
      IMPORTRANGE($F$8,""'Sensitivity [""&amp;IF(I$3="""",I$2,I$2&amp;"", ""&amp;I$3)&amp;""]'!E1:E20""),
      IMPORTRANGE($F$8,""'Sensitivity [""&amp;IF(I$3="""",I$2,I$2&amp;"", ""&amp;I$3)&amp;""]'!A1:A20"")=$E9
    ),
    """"
  ) = """",
  ""-"",
  I"&amp;"$5 * ( 1 +
    IFNA(
      FILTER(
        IMPORTRANGE($F$8,""'Sensitivity [""&amp;IF(I$3="""",I$2,I$2&amp;"", ""&amp;I$3)&amp;""]'!E1:E20""),
        IMPORTRANGE($F$8,""'Sensitivity [""&amp;IF(I$3="""",I$2,I$2&amp;"", ""&amp;I$3)&amp;""]'!A1:A20"")=$E9
      ),
      """"
    )
  )
), "&amp;"""-"")
"),"-")</f>
        <v>-</v>
      </c>
      <c r="L9" s="832" t="str">
        <f>IFERROR(__xludf.DUMMYFUNCTION("Iferror(IF(
  IFNA(
    FILTER(
      IMPORTRANGE($F$8,""'Sensitivity [""&amp;IF(L$3="""",L$2,L$2&amp;"", ""&amp;L$3)&amp;""]'!D1:D20""),
      IMPORTRANGE($F$8,""'Sensitivity [""&amp;IF(L$3="""",L$2,L$2&amp;"", ""&amp;L$3)&amp;""]'!A1:A20"")=$E9
    ),
    """"
  ) = """",
  ""-"",
  L"&amp;"$5 * ( 1 +
    IFNA(
      FILTER(
        IMPORTRANGE($F$8,""'Sensitivity [""&amp;IF(L$3="""",L$2,L$2&amp;"", ""&amp;L$3)&amp;""]'!D1:D20""),
        IMPORTRANGE($F$8,""'Sensitivity [""&amp;IF(L$3="""",L$2,L$2&amp;"", ""&amp;L$3)&amp;""]'!A1:A20"")=$E9
      ),
      """"
    )
  )
), "&amp;"""-"")
"),"-")</f>
        <v>-</v>
      </c>
      <c r="M9" s="833" t="s">
        <v>124</v>
      </c>
      <c r="N9" s="835" t="str">
        <f>IFERROR(__xludf.DUMMYFUNCTION("iferror(IF(
  IFNA(
    FILTER(
      IMPORTRANGE($F$8,""'Sensitivity [""&amp;IF(L$3="""",L$2,L$2&amp;"", ""&amp;L$3)&amp;""]'!E1:E20""),
      IMPORTRANGE($F$8,""'Sensitivity [""&amp;IF(L$3="""",L$2,L$2&amp;"", ""&amp;L$3)&amp;""]'!A1:A20"")=$E9
    ),
    """"
  ) = """",
  ""-"",
  L"&amp;"$5 * ( 1 +
    IFNA(
      FILTER(
        IMPORTRANGE($F$8,""'Sensitivity [""&amp;IF(L$3="""",L$2,L$2&amp;"", ""&amp;L$3)&amp;""]'!E1:E20""),
        IMPORTRANGE($F$8,""'Sensitivity [""&amp;IF(L$3="""",L$2,L$2&amp;"", ""&amp;L$3)&amp;""]'!A1:A20"")=$E9
      ),
      """"
    )
  )
), "&amp;"""-"")
"),"-")</f>
        <v>-</v>
      </c>
      <c r="O9" s="832" t="str">
        <f>IFERROR(__xludf.DUMMYFUNCTION("Iferror(IF(
  IFNA(
    FILTER(
      IMPORTRANGE($F$8,""'Sensitivity [""&amp;IF(O$3="""",O$2,O$2&amp;"", ""&amp;O$3)&amp;""]'!D1:D20""),
      IMPORTRANGE($F$8,""'Sensitivity [""&amp;IF(O$3="""",O$2,O$2&amp;"", ""&amp;O$3)&amp;""]'!A1:A20"")=$E9
    ),
    """"
  ) = """",
  ""-"",
  O"&amp;"$5 * ( 1 +
    IFNA(
      FILTER(
        IMPORTRANGE($F$8,""'Sensitivity [""&amp;IF(O$3="""",O$2,O$2&amp;"", ""&amp;O$3)&amp;""]'!D1:D20""),
        IMPORTRANGE($F$8,""'Sensitivity [""&amp;IF(O$3="""",O$2,O$2&amp;"", ""&amp;O$3)&amp;""]'!A1:A20"")=$E9
      ),
      """"
    )
  )
), "&amp;"""-"")
"),"-")</f>
        <v>-</v>
      </c>
      <c r="P9" s="833" t="s">
        <v>124</v>
      </c>
      <c r="Q9" s="835" t="str">
        <f>IFERROR(__xludf.DUMMYFUNCTION("iferror(IF(
  IFNA(
    FILTER(
      IMPORTRANGE($F$8,""'Sensitivity [""&amp;IF(O$3="""",O$2,O$2&amp;"", ""&amp;O$3)&amp;""]'!E1:E20""),
      IMPORTRANGE($F$8,""'Sensitivity [""&amp;IF(O$3="""",O$2,O$2&amp;"", ""&amp;O$3)&amp;""]'!A1:A20"")=$E9
    ),
    """"
  ) = """",
  ""-"",
  O"&amp;"$5 * ( 1 +
    IFNA(
      FILTER(
        IMPORTRANGE($F$8,""'Sensitivity [""&amp;IF(O$3="""",O$2,O$2&amp;"", ""&amp;O$3)&amp;""]'!E1:E20""),
        IMPORTRANGE($F$8,""'Sensitivity [""&amp;IF(O$3="""",O$2,O$2&amp;"", ""&amp;O$3)&amp;""]'!A1:A20"")=$E9
      ),
      """"
    )
  )
), "&amp;"""-"")
"),"-")</f>
        <v>-</v>
      </c>
      <c r="R9" s="832" t="str">
        <f>IFERROR(__xludf.DUMMYFUNCTION("Iferror(IF(
  IFNA(
    FILTER(
      IMPORTRANGE($F$8,""'Sensitivity [""&amp;IF(R$3="""",R$2,R$2&amp;"", ""&amp;R$3)&amp;""]'!D1:D20""),
      IMPORTRANGE($F$8,""'Sensitivity [""&amp;IF(R$3="""",R$2,R$2&amp;"", ""&amp;R$3)&amp;""]'!A1:A20"")=$E9
    ),
    """"
  ) = """",
  ""-"",
  R"&amp;"$5 * ( 1 +
    IFNA(
      FILTER(
        IMPORTRANGE($F$8,""'Sensitivity [""&amp;IF(R$3="""",R$2,R$2&amp;"", ""&amp;R$3)&amp;""]'!D1:D20""),
        IMPORTRANGE($F$8,""'Sensitivity [""&amp;IF(R$3="""",R$2,R$2&amp;"", ""&amp;R$3)&amp;""]'!A1:A20"")=$E9
      ),
      """"
    )
  )
), "&amp;"""-"")
"),"-")</f>
        <v>-</v>
      </c>
      <c r="S9" s="833" t="s">
        <v>124</v>
      </c>
      <c r="T9" s="835" t="str">
        <f>IFERROR(__xludf.DUMMYFUNCTION("iferror(IF(
  IFNA(
    FILTER(
      IMPORTRANGE($F$8,""'Sensitivity [""&amp;IF(R$3="""",R$2,R$2&amp;"", ""&amp;R$3)&amp;""]'!E1:E20""),
      IMPORTRANGE($F$8,""'Sensitivity [""&amp;IF(R$3="""",R$2,R$2&amp;"", ""&amp;R$3)&amp;""]'!A1:A20"")=$E9
    ),
    """"
  ) = """",
  ""-"",
  R"&amp;"$5 * ( 1 +
    IFNA(
      FILTER(
        IMPORTRANGE($F$8,""'Sensitivity [""&amp;IF(R$3="""",R$2,R$2&amp;"", ""&amp;R$3)&amp;""]'!E1:E20""),
        IMPORTRANGE($F$8,""'Sensitivity [""&amp;IF(R$3="""",R$2,R$2&amp;"", ""&amp;R$3)&amp;""]'!A1:A20"")=$E9
      ),
      """"
    )
  )
), "&amp;"""-"")
"),"-")</f>
        <v>-</v>
      </c>
      <c r="U9" s="832" t="str">
        <f>IFERROR(__xludf.DUMMYFUNCTION("Iferror(IF(
  IFNA(
    FILTER(
      IMPORTRANGE($F$8,""'Sensitivity [""&amp;IF(U$3="""",U$2,U$2&amp;"", ""&amp;U$3)&amp;""]'!D1:D20""),
      IMPORTRANGE($F$8,""'Sensitivity [""&amp;IF(U$3="""",U$2,U$2&amp;"", ""&amp;U$3)&amp;""]'!A1:A20"")=$E9
    ),
    """"
  ) = """",
  ""-"",
  U"&amp;"$5 * ( 1 +
    IFNA(
      FILTER(
        IMPORTRANGE($F$8,""'Sensitivity [""&amp;IF(U$3="""",U$2,U$2&amp;"", ""&amp;U$3)&amp;""]'!D1:D20""),
        IMPORTRANGE($F$8,""'Sensitivity [""&amp;IF(U$3="""",U$2,U$2&amp;"", ""&amp;U$3)&amp;""]'!A1:A20"")=$E9
      ),
      """"
    )
  )
), "&amp;"""-"")
"),"-")</f>
        <v>-</v>
      </c>
      <c r="V9" s="833" t="s">
        <v>124</v>
      </c>
      <c r="W9" s="835" t="str">
        <f>IFERROR(__xludf.DUMMYFUNCTION("iferror(IF(
  IFNA(
    FILTER(
      IMPORTRANGE($F$8,""'Sensitivity [""&amp;IF(U$3="""",U$2,U$2&amp;"", ""&amp;U$3)&amp;""]'!E1:E20""),
      IMPORTRANGE($F$8,""'Sensitivity [""&amp;IF(U$3="""",U$2,U$2&amp;"", ""&amp;U$3)&amp;""]'!A1:A20"")=$E9
    ),
    """"
  ) = """",
  ""-"",
  U"&amp;"$5 * ( 1 +
    IFNA(
      FILTER(
        IMPORTRANGE($F$8,""'Sensitivity [""&amp;IF(U$3="""",U$2,U$2&amp;"", ""&amp;U$3)&amp;""]'!E1:E20""),
        IMPORTRANGE($F$8,""'Sensitivity [""&amp;IF(U$3="""",U$2,U$2&amp;"", ""&amp;U$3)&amp;""]'!A1:A20"")=$E9
      ),
      """"
    )
  )
), "&amp;"""-"")
"),"-")</f>
        <v>-</v>
      </c>
      <c r="X9" s="832" t="str">
        <f>IFERROR(__xludf.DUMMYFUNCTION("Iferror(IF(
  IFNA(
    FILTER(
      IMPORTRANGE($F$8,""'Sensitivity [""&amp;IF(X$3="""",X$2,X$2&amp;"", ""&amp;X$3)&amp;""]'!D1:D20""),
      IMPORTRANGE($F$8,""'Sensitivity [""&amp;IF(X$3="""",X$2,X$2&amp;"", ""&amp;X$3)&amp;""]'!A1:A20"")=$E9
    ),
    """"
  ) = """",
  ""-"",
  X"&amp;"$5 * ( 1 +
    IFNA(
      FILTER(
        IMPORTRANGE($F$8,""'Sensitivity [""&amp;IF(X$3="""",X$2,X$2&amp;"", ""&amp;X$3)&amp;""]'!D1:D20""),
        IMPORTRANGE($F$8,""'Sensitivity [""&amp;IF(X$3="""",X$2,X$2&amp;"", ""&amp;X$3)&amp;""]'!A1:A20"")=$E9
      ),
      """"
    )
  )
), "&amp;"""-"")
"),"-")</f>
        <v>-</v>
      </c>
      <c r="Y9" s="833" t="s">
        <v>124</v>
      </c>
      <c r="Z9" s="835" t="str">
        <f>IFERROR(__xludf.DUMMYFUNCTION("iferror(IF(
  IFNA(
    FILTER(
      IMPORTRANGE($F$8,""'Sensitivity [""&amp;IF(X$3="""",X$2,X$2&amp;"", ""&amp;X$3)&amp;""]'!E1:E20""),
      IMPORTRANGE($F$8,""'Sensitivity [""&amp;IF(X$3="""",X$2,X$2&amp;"", ""&amp;X$3)&amp;""]'!A1:A20"")=$E9
    ),
    """"
  ) = """",
  ""-"",
  X"&amp;"$5 * ( 1 +
    IFNA(
      FILTER(
        IMPORTRANGE($F$8,""'Sensitivity [""&amp;IF(X$3="""",X$2,X$2&amp;"", ""&amp;X$3)&amp;""]'!E1:E20""),
        IMPORTRANGE($F$8,""'Sensitivity [""&amp;IF(X$3="""",X$2,X$2&amp;"", ""&amp;X$3)&amp;""]'!A1:A20"")=$E9
      ),
      """"
    )
  )
), "&amp;"""-"")
"),"-")</f>
        <v>-</v>
      </c>
      <c r="AA9" s="832" t="str">
        <f>IFERROR(__xludf.DUMMYFUNCTION("Iferror(IF(
  IFNA(
    FILTER(
      IMPORTRANGE($F$8,""'Sensitivity [""&amp;IF(AA$3="""",AA$2,AA$2&amp;"", ""&amp;AA$3)&amp;""]'!D1:D20""),
      IMPORTRANGE($F$8,""'Sensitivity [""&amp;IF(AA$3="""",AA$2,AA$2&amp;"", ""&amp;AA$3)&amp;""]'!A1:A20"")=$E9
    ),
    """"
  ) = """",
  """&amp;"-"",
  AA$5 * ( 1 +
    IFNA(
      FILTER(
        IMPORTRANGE($F$8,""'Sensitivity [""&amp;IF(AA$3="""",AA$2,AA$2&amp;"", ""&amp;AA$3)&amp;""]'!D1:D20""),
        IMPORTRANGE($F$8,""'Sensitivity [""&amp;IF(AA$3="""",AA$2,AA$2&amp;"", ""&amp;AA$3)&amp;""]'!A1:A20"")=$E9
      ),
      "&amp;"""""
    )
  )
), ""-"")
"),"-")</f>
        <v>-</v>
      </c>
      <c r="AB9" s="833" t="s">
        <v>124</v>
      </c>
      <c r="AC9" s="835" t="str">
        <f>IFERROR(__xludf.DUMMYFUNCTION("iferror(IF(
  IFNA(
    FILTER(
      IMPORTRANGE($F$8,""'Sensitivity [""&amp;IF(AA$3="""",AA$2,AA$2&amp;"", ""&amp;AA$3)&amp;""]'!E1:E20""),
      IMPORTRANGE($F$8,""'Sensitivity [""&amp;IF(AA$3="""",AA$2,AA$2&amp;"", ""&amp;AA$3)&amp;""]'!A1:A20"")=$E9
    ),
    """"
  ) = """",
  """&amp;"-"",
  AA$5 * ( 1 +
    IFNA(
      FILTER(
        IMPORTRANGE($F$8,""'Sensitivity [""&amp;IF(AA$3="""",AA$2,AA$2&amp;"", ""&amp;AA$3)&amp;""]'!E1:E20""),
        IMPORTRANGE($F$8,""'Sensitivity [""&amp;IF(AA$3="""",AA$2,AA$2&amp;"", ""&amp;AA$3)&amp;""]'!A1:A20"")=$E9
      ),
      "&amp;"""""
    )
  )
), ""-"")
"),"-")</f>
        <v>-</v>
      </c>
      <c r="AD9" s="832" t="str">
        <f>IFERROR(__xludf.DUMMYFUNCTION("Iferror(IF(
  IFNA(
    FILTER(
      IMPORTRANGE($F$8,""'Sensitivity [""&amp;IF(AD$3="""",AD$2,AD$2&amp;"", ""&amp;AD$3)&amp;""]'!D1:D20""),
      IMPORTRANGE($F$8,""'Sensitivity [""&amp;IF(AD$3="""",AD$2,AD$2&amp;"", ""&amp;AD$3)&amp;""]'!A1:A20"")=$E9
    ),
    """"
  ) = """",
  """&amp;"-"",
  AD$5 * ( 1 +
    IFNA(
      FILTER(
        IMPORTRANGE($F$8,""'Sensitivity [""&amp;IF(AD$3="""",AD$2,AD$2&amp;"", ""&amp;AD$3)&amp;""]'!D1:D20""),
        IMPORTRANGE($F$8,""'Sensitivity [""&amp;IF(AD$3="""",AD$2,AD$2&amp;"", ""&amp;AD$3)&amp;""]'!A1:A20"")=$E9
      ),
      "&amp;"""""
    )
  )
), ""-"")
"),"-")</f>
        <v>-</v>
      </c>
      <c r="AE9" s="833" t="s">
        <v>124</v>
      </c>
      <c r="AF9" s="835" t="str">
        <f>IFERROR(__xludf.DUMMYFUNCTION("iferror(IF(
  IFNA(
    FILTER(
      IMPORTRANGE($F$8,""'Sensitivity [""&amp;IF(AD$3="""",AD$2,AD$2&amp;"", ""&amp;AD$3)&amp;""]'!E1:E20""),
      IMPORTRANGE($F$8,""'Sensitivity [""&amp;IF(AD$3="""",AD$2,AD$2&amp;"", ""&amp;AD$3)&amp;""]'!A1:A20"")=$E9
    ),
    """"
  ) = """",
  """&amp;"-"",
  AD$5 * ( 1 +
    IFNA(
      FILTER(
        IMPORTRANGE($F$8,""'Sensitivity [""&amp;IF(AD$3="""",AD$2,AD$2&amp;"", ""&amp;AD$3)&amp;""]'!E1:E20""),
        IMPORTRANGE($F$8,""'Sensitivity [""&amp;IF(AD$3="""",AD$2,AD$2&amp;"", ""&amp;AD$3)&amp;""]'!A1:A20"")=$E9
      ),
      "&amp;"""""
    )
  )
), ""-"")
"),"-")</f>
        <v>-</v>
      </c>
      <c r="AG9" s="832" t="str">
        <f>IFERROR(__xludf.DUMMYFUNCTION("Iferror(IF(
  IFNA(
    FILTER(
      IMPORTRANGE($F$8,""'Sensitivity [""&amp;IF(AG$3="""",AG$2,AG$2&amp;"", ""&amp;AG$3)&amp;""]'!D1:D20""),
      IMPORTRANGE($F$8,""'Sensitivity [""&amp;IF(AG$3="""",AG$2,AG$2&amp;"", ""&amp;AG$3)&amp;""]'!A1:A20"")=$E9
    ),
    """"
  ) = """",
  """&amp;"-"",
  AG$5 * ( 1 +
    IFNA(
      FILTER(
        IMPORTRANGE($F$8,""'Sensitivity [""&amp;IF(AG$3="""",AG$2,AG$2&amp;"", ""&amp;AG$3)&amp;""]'!D1:D20""),
        IMPORTRANGE($F$8,""'Sensitivity [""&amp;IF(AG$3="""",AG$2,AG$2&amp;"", ""&amp;AG$3)&amp;""]'!A1:A20"")=$E9
      ),
      "&amp;"""""
    )
  )
), ""-"")
"),"-")</f>
        <v>-</v>
      </c>
      <c r="AH9" s="833" t="s">
        <v>124</v>
      </c>
      <c r="AI9" s="835" t="str">
        <f>IFERROR(__xludf.DUMMYFUNCTION("iferror(IF(
  IFNA(
    FILTER(
      IMPORTRANGE($F$8,""'Sensitivity [""&amp;IF(AG$3="""",AG$2,AG$2&amp;"", ""&amp;AG$3)&amp;""]'!E1:E20""),
      IMPORTRANGE($F$8,""'Sensitivity [""&amp;IF(AG$3="""",AG$2,AG$2&amp;"", ""&amp;AG$3)&amp;""]'!A1:A20"")=$E9
    ),
    """"
  ) = """",
  """&amp;"-"",
  AG$5 * ( 1 +
    IFNA(
      FILTER(
        IMPORTRANGE($F$8,""'Sensitivity [""&amp;IF(AG$3="""",AG$2,AG$2&amp;"", ""&amp;AG$3)&amp;""]'!E1:E20""),
        IMPORTRANGE($F$8,""'Sensitivity [""&amp;IF(AG$3="""",AG$2,AG$2&amp;"", ""&amp;AG$3)&amp;""]'!A1:A20"")=$E9
      ),
      "&amp;"""""
    )
  )
), ""-"")
"),"-")</f>
        <v>-</v>
      </c>
      <c r="AJ9" s="832" t="str">
        <f>IFERROR(__xludf.DUMMYFUNCTION("Iferror(IF(
  IFNA(
    FILTER(
      IMPORTRANGE($F$8,""'Sensitivity [""&amp;IF(AJ$3="""",AJ$2,AJ$2&amp;"", ""&amp;AJ$3)&amp;""]'!D1:D20""),
      IMPORTRANGE($F$8,""'Sensitivity [""&amp;IF(AJ$3="""",AJ$2,AJ$2&amp;"", ""&amp;AJ$3)&amp;""]'!A1:A20"")=$E9
    ),
    """"
  ) = """",
  """&amp;"-"",
  AJ$5 * ( 1 +
    IFNA(
      FILTER(
        IMPORTRANGE($F$8,""'Sensitivity [""&amp;IF(AJ$3="""",AJ$2,AJ$2&amp;"", ""&amp;AJ$3)&amp;""]'!D1:D20""),
        IMPORTRANGE($F$8,""'Sensitivity [""&amp;IF(AJ$3="""",AJ$2,AJ$2&amp;"", ""&amp;AJ$3)&amp;""]'!A1:A20"")=$E9
      ),
      "&amp;"""""
    )
  )
), ""-"")
"),"-")</f>
        <v>-</v>
      </c>
      <c r="AK9" s="833" t="s">
        <v>124</v>
      </c>
      <c r="AL9" s="835" t="str">
        <f>IFERROR(__xludf.DUMMYFUNCTION("iferror(IF(
  IFNA(
    FILTER(
      IMPORTRANGE($F$8,""'Sensitivity [""&amp;IF(AJ$3="""",AJ$2,AJ$2&amp;"", ""&amp;AJ$3)&amp;""]'!E1:E20""),
      IMPORTRANGE($F$8,""'Sensitivity [""&amp;IF(AJ$3="""",AJ$2,AJ$2&amp;"", ""&amp;AJ$3)&amp;""]'!A1:A20"")=$E9
    ),
    """"
  ) = """",
  """&amp;"-"",
  AJ$5 * ( 1 +
    IFNA(
      FILTER(
        IMPORTRANGE($F$8,""'Sensitivity [""&amp;IF(AJ$3="""",AJ$2,AJ$2&amp;"", ""&amp;AJ$3)&amp;""]'!E1:E20""),
        IMPORTRANGE($F$8,""'Sensitivity [""&amp;IF(AJ$3="""",AJ$2,AJ$2&amp;"", ""&amp;AJ$3)&amp;""]'!A1:A20"")=$E9
      ),
      "&amp;"""""
    )
  )
), ""-"")
"),"-")</f>
        <v>-</v>
      </c>
      <c r="AM9" s="832" t="str">
        <f>IFERROR(__xludf.DUMMYFUNCTION("Iferror(IF(
  IFNA(
    FILTER(
      IMPORTRANGE($F$8,""'Sensitivity [""&amp;IF(AM$3="""",AM$2,AM$2&amp;"", ""&amp;AM$3)&amp;""]'!D1:D20""),
      IMPORTRANGE($F$8,""'Sensitivity [""&amp;IF(AM$3="""",AM$2,AM$2&amp;"", ""&amp;AM$3)&amp;""]'!A1:A20"")=$E9
    ),
    """"
  ) = """",
  """&amp;"-"",
  AM$5 * ( 1 +
    IFNA(
      FILTER(
        IMPORTRANGE($F$8,""'Sensitivity [""&amp;IF(AM$3="""",AM$2,AM$2&amp;"", ""&amp;AM$3)&amp;""]'!D1:D20""),
        IMPORTRANGE($F$8,""'Sensitivity [""&amp;IF(AM$3="""",AM$2,AM$2&amp;"", ""&amp;AM$3)&amp;""]'!A1:A20"")=$E9
      ),
      "&amp;"""""
    )
  )
), ""-"")
"),"-")</f>
        <v>-</v>
      </c>
      <c r="AN9" s="833" t="s">
        <v>124</v>
      </c>
      <c r="AO9" s="835" t="str">
        <f>IFERROR(__xludf.DUMMYFUNCTION("iferror(IF(
  IFNA(
    FILTER(
      IMPORTRANGE($F$8,""'Sensitivity [""&amp;IF(AM$3="""",AM$2,AM$2&amp;"", ""&amp;AM$3)&amp;""]'!E1:E20""),
      IMPORTRANGE($F$8,""'Sensitivity [""&amp;IF(AM$3="""",AM$2,AM$2&amp;"", ""&amp;AM$3)&amp;""]'!A1:A20"")=$E9
    ),
    """"
  ) = """",
  """&amp;"-"",
  AM$5 * ( 1 +
    IFNA(
      FILTER(
        IMPORTRANGE($F$8,""'Sensitivity [""&amp;IF(AM$3="""",AM$2,AM$2&amp;"", ""&amp;AM$3)&amp;""]'!E1:E20""),
        IMPORTRANGE($F$8,""'Sensitivity [""&amp;IF(AM$3="""",AM$2,AM$2&amp;"", ""&amp;AM$3)&amp;""]'!A1:A20"")=$E9
      ),
      "&amp;"""""
    )
  )
), ""-"")
"),"-")</f>
        <v>-</v>
      </c>
      <c r="AP9" s="832" t="str">
        <f>IFERROR(__xludf.DUMMYFUNCTION("Iferror(IF(
  IFNA(
    FILTER(
      IMPORTRANGE($F$8,""'Sensitivity [""&amp;IF(AP$3="""",AP$2,AP$2&amp;"", ""&amp;AP$3)&amp;""]'!D1:D20""),
      IMPORTRANGE($F$8,""'Sensitivity [""&amp;IF(AP$3="""",AP$2,AP$2&amp;"", ""&amp;AP$3)&amp;""]'!A1:A20"")=$E9
    ),
    """"
  ) = """",
  """&amp;"-"",
  AP$5 * ( 1 +
    IFNA(
      FILTER(
        IMPORTRANGE($F$8,""'Sensitivity [""&amp;IF(AP$3="""",AP$2,AP$2&amp;"", ""&amp;AP$3)&amp;""]'!D1:D20""),
        IMPORTRANGE($F$8,""'Sensitivity [""&amp;IF(AP$3="""",AP$2,AP$2&amp;"", ""&amp;AP$3)&amp;""]'!A1:A20"")=$E9
      ),
      "&amp;"""""
    )
  )
), ""-"")
"),"-")</f>
        <v>-</v>
      </c>
      <c r="AQ9" s="833" t="s">
        <v>124</v>
      </c>
      <c r="AR9" s="835" t="str">
        <f>IFERROR(__xludf.DUMMYFUNCTION("iferror(IF(
  IFNA(
    FILTER(
      IMPORTRANGE($F$8,""'Sensitivity [""&amp;IF(AP$3="""",AP$2,AP$2&amp;"", ""&amp;AP$3)&amp;""]'!E1:E20""),
      IMPORTRANGE($F$8,""'Sensitivity [""&amp;IF(AP$3="""",AP$2,AP$2&amp;"", ""&amp;AP$3)&amp;""]'!A1:A20"")=$E9
    ),
    """"
  ) = """",
  """&amp;"-"",
  AP$5 * ( 1 +
    IFNA(
      FILTER(
        IMPORTRANGE($F$8,""'Sensitivity [""&amp;IF(AP$3="""",AP$2,AP$2&amp;"", ""&amp;AP$3)&amp;""]'!E1:E20""),
        IMPORTRANGE($F$8,""'Sensitivity [""&amp;IF(AP$3="""",AP$2,AP$2&amp;"", ""&amp;AP$3)&amp;""]'!A1:A20"")=$E9
      ),
      "&amp;"""""
    )
  )
), ""-"")
"),"-")</f>
        <v>-</v>
      </c>
      <c r="AS9" s="832" t="str">
        <f>IFERROR(__xludf.DUMMYFUNCTION("Iferror(IF(
  IFNA(
    FILTER(
      IMPORTRANGE($F$8,""'Sensitivity [""&amp;IF(AS$3="""",AS$2,AS$2&amp;"", ""&amp;AS$3)&amp;""]'!D1:D20""),
      IMPORTRANGE($F$8,""'Sensitivity [""&amp;IF(AS$3="""",AS$2,AS$2&amp;"", ""&amp;AS$3)&amp;""]'!A1:A20"")=$E9
    ),
    """"
  ) = """",
  """&amp;"-"",
  AS$5 * ( 1 +
    IFNA(
      FILTER(
        IMPORTRANGE($F$8,""'Sensitivity [""&amp;IF(AS$3="""",AS$2,AS$2&amp;"", ""&amp;AS$3)&amp;""]'!D1:D20""),
        IMPORTRANGE($F$8,""'Sensitivity [""&amp;IF(AS$3="""",AS$2,AS$2&amp;"", ""&amp;AS$3)&amp;""]'!A1:A20"")=$E9
      ),
      "&amp;"""""
    )
  )
), ""-"")
"),"-")</f>
        <v>-</v>
      </c>
      <c r="AT9" s="833" t="s">
        <v>124</v>
      </c>
      <c r="AU9" s="835" t="str">
        <f>IFERROR(__xludf.DUMMYFUNCTION("iferror(IF(
  IFNA(
    FILTER(
      IMPORTRANGE($F$8,""'Sensitivity [""&amp;IF(AS$3="""",AS$2,AS$2&amp;"", ""&amp;AS$3)&amp;""]'!E1:E20""),
      IMPORTRANGE($F$8,""'Sensitivity [""&amp;IF(AS$3="""",AS$2,AS$2&amp;"", ""&amp;AS$3)&amp;""]'!A1:A20"")=$E9
    ),
    """"
  ) = """",
  """&amp;"-"",
  AS$5 * ( 1 +
    IFNA(
      FILTER(
        IMPORTRANGE($F$8,""'Sensitivity [""&amp;IF(AS$3="""",AS$2,AS$2&amp;"", ""&amp;AS$3)&amp;""]'!E1:E20""),
        IMPORTRANGE($F$8,""'Sensitivity [""&amp;IF(AS$3="""",AS$2,AS$2&amp;"", ""&amp;AS$3)&amp;""]'!A1:A20"")=$E9
      ),
      "&amp;"""""
    )
  )
), ""-"")
"),"-")</f>
        <v>-</v>
      </c>
      <c r="AV9" s="832" t="str">
        <f>IFERROR(__xludf.DUMMYFUNCTION("Iferror(IF(
  IFNA(
    FILTER(
      IMPORTRANGE($F$8,""'Sensitivity [""&amp;IF(AV$3="""",AV$2,AV$2&amp;"", ""&amp;AV$3)&amp;""]'!D1:D20""),
      IMPORTRANGE($F$8,""'Sensitivity [""&amp;IF(AV$3="""",AV$2,AV$2&amp;"", ""&amp;AV$3)&amp;""]'!A1:A20"")=$E9
    ),
    """"
  ) = """",
  """&amp;"-"",
  AV$5 * ( 1 +
    IFNA(
      FILTER(
        IMPORTRANGE($F$8,""'Sensitivity [""&amp;IF(AV$3="""",AV$2,AV$2&amp;"", ""&amp;AV$3)&amp;""]'!D1:D20""),
        IMPORTRANGE($F$8,""'Sensitivity [""&amp;IF(AV$3="""",AV$2,AV$2&amp;"", ""&amp;AV$3)&amp;""]'!A1:A20"")=$E9
      ),
      "&amp;"""""
    )
  )
), ""-"")
"),"-")</f>
        <v>-</v>
      </c>
      <c r="AW9" s="833" t="s">
        <v>124</v>
      </c>
      <c r="AX9" s="835" t="str">
        <f>IFERROR(__xludf.DUMMYFUNCTION("iferror(IF(
  IFNA(
    FILTER(
      IMPORTRANGE($F$8,""'Sensitivity [""&amp;IF(AV$3="""",AV$2,AV$2&amp;"", ""&amp;AV$3)&amp;""]'!E1:E20""),
      IMPORTRANGE($F$8,""'Sensitivity [""&amp;IF(AV$3="""",AV$2,AV$2&amp;"", ""&amp;AV$3)&amp;""]'!A1:A20"")=$E9
    ),
    """"
  ) = """",
  """&amp;"-"",
  AV$5 * ( 1 +
    IFNA(
      FILTER(
        IMPORTRANGE($F$8,""'Sensitivity [""&amp;IF(AV$3="""",AV$2,AV$2&amp;"", ""&amp;AV$3)&amp;""]'!E1:E20""),
        IMPORTRANGE($F$8,""'Sensitivity [""&amp;IF(AV$3="""",AV$2,AV$2&amp;"", ""&amp;AV$3)&amp;""]'!A1:A20"")=$E9
      ),
      "&amp;"""""
    )
  )
), ""-"")
"),"-")</f>
        <v>-</v>
      </c>
      <c r="AY9" s="832" t="str">
        <f>IFERROR(__xludf.DUMMYFUNCTION("Iferror(IF(
  IFNA(
    FILTER(
      IMPORTRANGE($F$8,""'Sensitivity [""&amp;IF(AY$3="""",AY$2,AY$2&amp;"", ""&amp;AY$3)&amp;""]'!D1:D20""),
      IMPORTRANGE($F$8,""'Sensitivity [""&amp;IF(AY$3="""",AY$2,AY$2&amp;"", ""&amp;AY$3)&amp;""]'!A1:A20"")=$E9
    ),
    """"
  ) = """",
  """&amp;"-"",
  AY$5 * ( 1 +
    IFNA(
      FILTER(
        IMPORTRANGE($F$8,""'Sensitivity [""&amp;IF(AY$3="""",AY$2,AY$2&amp;"", ""&amp;AY$3)&amp;""]'!D1:D20""),
        IMPORTRANGE($F$8,""'Sensitivity [""&amp;IF(AY$3="""",AY$2,AY$2&amp;"", ""&amp;AY$3)&amp;""]'!A1:A20"")=$E9
      ),
      "&amp;"""""
    )
  )
), ""-"")
"),"-")</f>
        <v>-</v>
      </c>
      <c r="AZ9" s="833" t="s">
        <v>124</v>
      </c>
      <c r="BA9" s="835" t="str">
        <f>IFERROR(__xludf.DUMMYFUNCTION("iferror(IF(
  IFNA(
    FILTER(
      IMPORTRANGE($F$8,""'Sensitivity [""&amp;IF(AY$3="""",AY$2,AY$2&amp;"", ""&amp;AY$3)&amp;""]'!E1:E20""),
      IMPORTRANGE($F$8,""'Sensitivity [""&amp;IF(AY$3="""",AY$2,AY$2&amp;"", ""&amp;AY$3)&amp;""]'!A1:A20"")=$E9
    ),
    """"
  ) = """",
  """&amp;"-"",
  AY$5 * ( 1 +
    IFNA(
      FILTER(
        IMPORTRANGE($F$8,""'Sensitivity [""&amp;IF(AY$3="""",AY$2,AY$2&amp;"", ""&amp;AY$3)&amp;""]'!E1:E20""),
        IMPORTRANGE($F$8,""'Sensitivity [""&amp;IF(AY$3="""",AY$2,AY$2&amp;"", ""&amp;AY$3)&amp;""]'!A1:A20"")=$E9
      ),
      "&amp;"""""
    )
  )
), ""-"")
"),"-")</f>
        <v>-</v>
      </c>
      <c r="BB9" s="832" t="str">
        <f>IFERROR(__xludf.DUMMYFUNCTION("Iferror(IF(
  IFNA(
    FILTER(
      IMPORTRANGE($F$8,""'Sensitivity [""&amp;IF(BB$3="""",BB$2,BB$2&amp;"", ""&amp;BB$3)&amp;""]'!D1:D20""),
      IMPORTRANGE($F$8,""'Sensitivity [""&amp;IF(BB$3="""",BB$2,BB$2&amp;"", ""&amp;BB$3)&amp;""]'!A1:A20"")=$E9
    ),
    """"
  ) = """",
  """&amp;"-"",
  BB$5 * ( 1 +
    IFNA(
      FILTER(
        IMPORTRANGE($F$8,""'Sensitivity [""&amp;IF(BB$3="""",BB$2,BB$2&amp;"", ""&amp;BB$3)&amp;""]'!D1:D20""),
        IMPORTRANGE($F$8,""'Sensitivity [""&amp;IF(BB$3="""",BB$2,BB$2&amp;"", ""&amp;BB$3)&amp;""]'!A1:A20"")=$E9
      ),
      "&amp;"""""
    )
  )
), ""-"")
"),"-")</f>
        <v>-</v>
      </c>
      <c r="BC9" s="833" t="s">
        <v>124</v>
      </c>
      <c r="BD9" s="835" t="str">
        <f>IFERROR(__xludf.DUMMYFUNCTION("iferror(IF(
  IFNA(
    FILTER(
      IMPORTRANGE($F$8,""'Sensitivity [""&amp;IF(BB$3="""",BB$2,BB$2&amp;"", ""&amp;BB$3)&amp;""]'!E1:E20""),
      IMPORTRANGE($F$8,""'Sensitivity [""&amp;IF(BB$3="""",BB$2,BB$2&amp;"", ""&amp;BB$3)&amp;""]'!A1:A20"")=$E9
    ),
    """"
  ) = """",
  """&amp;"-"",
  BB$5 * ( 1 +
    IFNA(
      FILTER(
        IMPORTRANGE($F$8,""'Sensitivity [""&amp;IF(BB$3="""",BB$2,BB$2&amp;"", ""&amp;BB$3)&amp;""]'!E1:E20""),
        IMPORTRANGE($F$8,""'Sensitivity [""&amp;IF(BB$3="""",BB$2,BB$2&amp;"", ""&amp;BB$3)&amp;""]'!A1:A20"")=$E9
      ),
      "&amp;"""""
    )
  )
), ""-"")
"),"-")</f>
        <v>-</v>
      </c>
      <c r="BE9" s="832" t="str">
        <f>IFERROR(__xludf.DUMMYFUNCTION("Iferror(IF(
  IFNA(
    FILTER(
      IMPORTRANGE($F$8,""'Sensitivity [""&amp;IF(BE$3="""",BE$2,BE$2&amp;"", ""&amp;BE$3)&amp;""]'!D1:D20""),
      IMPORTRANGE($F$8,""'Sensitivity [""&amp;IF(BE$3="""",BE$2,BE$2&amp;"", ""&amp;BE$3)&amp;""]'!A1:A20"")=$E9
    ),
    """"
  ) = """",
  """&amp;"-"",
  BE$5 * ( 1 +
    IFNA(
      FILTER(
        IMPORTRANGE($F$8,""'Sensitivity [""&amp;IF(BE$3="""",BE$2,BE$2&amp;"", ""&amp;BE$3)&amp;""]'!D1:D20""),
        IMPORTRANGE($F$8,""'Sensitivity [""&amp;IF(BE$3="""",BE$2,BE$2&amp;"", ""&amp;BE$3)&amp;""]'!A1:A20"")=$E9
      ),
      "&amp;"""""
    )
  )
), ""-"")
"),"-")</f>
        <v>-</v>
      </c>
      <c r="BF9" s="833" t="s">
        <v>124</v>
      </c>
      <c r="BG9" s="835" t="str">
        <f>IFERROR(__xludf.DUMMYFUNCTION("iferror(IF(
  IFNA(
    FILTER(
      IMPORTRANGE($F$8,""'Sensitivity [""&amp;IF(BE$3="""",BE$2,BE$2&amp;"", ""&amp;BE$3)&amp;""]'!E1:E20""),
      IMPORTRANGE($F$8,""'Sensitivity [""&amp;IF(BE$3="""",BE$2,BE$2&amp;"", ""&amp;BE$3)&amp;""]'!A1:A20"")=$E9
    ),
    """"
  ) = """",
  """&amp;"-"",
  BE$5 * ( 1 +
    IFNA(
      FILTER(
        IMPORTRANGE($F$8,""'Sensitivity [""&amp;IF(BE$3="""",BE$2,BE$2&amp;"", ""&amp;BE$3)&amp;""]'!E1:E20""),
        IMPORTRANGE($F$8,""'Sensitivity [""&amp;IF(BE$3="""",BE$2,BE$2&amp;"", ""&amp;BE$3)&amp;""]'!A1:A20"")=$E9
      ),
      "&amp;"""""
    )
  )
), ""-"")
"),"-")</f>
        <v>-</v>
      </c>
      <c r="BH9" s="223"/>
    </row>
    <row r="10">
      <c r="A10" s="219"/>
      <c r="B10" s="220"/>
      <c r="C10" s="400"/>
      <c r="D10" s="220"/>
      <c r="E10" s="616" t="str">
        <f t="shared" si="1"/>
        <v>Cost per person under age five reached</v>
      </c>
      <c r="F10" s="830">
        <f>IFERROR(__xludf.DUMMYFUNCTION("Iferror(IF(
  IFNA(
    FILTER(
      IMPORTRANGE($F$8,""'Sensitivity [""&amp;IF(F$3="""",F$2,F$2&amp;"", ""&amp;F$3)&amp;""]'!D1:D20""),
      IMPORTRANGE($F$8,""'Sensitivity [""&amp;IF(F$3="""",F$2,F$2&amp;"", ""&amp;F$3)&amp;""]'!A1:A20"")=$E10
    ),
    """"
  ) = """",
  ""-"",
  "&amp;"F$5 * ( 1 +
    IFNA(
      FILTER(
        IMPORTRANGE($F$8,""'Sensitivity [""&amp;IF(F$3="""",F$2,F$2&amp;"", ""&amp;F$3)&amp;""]'!D1:D20""),
        IMPORTRANGE($F$8,""'Sensitivity [""&amp;IF(F$3="""",F$2,F$2&amp;"", ""&amp;F$3)&amp;""]'!A1:A20"")=$E10
      ),
      """"
    )
  )
)"&amp;", ""-"")
"),19.133792780429825)</f>
        <v>19.13379278</v>
      </c>
      <c r="G10" s="842" t="s">
        <v>124</v>
      </c>
      <c r="H10" s="831">
        <f>IFERROR(__xludf.DUMMYFUNCTION("iferror(IF(
  IFNA(
    FILTER(
      IMPORTRANGE($F$8,""'Sensitivity [""&amp;IF(F$3="""",F$2,F$2&amp;"", ""&amp;F$3)&amp;""]'!E1:E20""),
      IMPORTRANGE($F$8,""'Sensitivity [""&amp;IF(F$3="""",F$2,F$2&amp;"", ""&amp;F$3)&amp;""]'!A1:A20"")=$E10
    ),
    """"
  ) = """",
  ""-"",
  "&amp;"F$5 * ( 1 +
    IFNA(
      FILTER(
        IMPORTRANGE($F$8,""'Sensitivity [""&amp;IF(F$3="""",F$2,F$2&amp;"", ""&amp;F$3)&amp;""]'!E1:E20""),
        IMPORTRANGE($F$8,""'Sensitivity [""&amp;IF(F$3="""",F$2,F$2&amp;"", ""&amp;F$3)&amp;""]'!A1:A20"")=$E10
      ),
      """"
    )
  )
)"&amp;", ""-"")
"),15.6014002671197)</f>
        <v>15.60140027</v>
      </c>
      <c r="I10" s="830">
        <f>IFERROR(__xludf.DUMMYFUNCTION("Iferror(IF(
  IFNA(
    FILTER(
      IMPORTRANGE($F$8,""'Sensitivity [""&amp;IF(I$3="""",I$2,I$2&amp;"", ""&amp;I$3)&amp;""]'!D1:D20""),
      IMPORTRANGE($F$8,""'Sensitivity [""&amp;IF(I$3="""",I$2,I$2&amp;"", ""&amp;I$3)&amp;""]'!A1:A20"")=$E10
    ),
    """"
  ) = """",
  ""-"",
  "&amp;"I$5 * ( 1 +
    IFNA(
      FILTER(
        IMPORTRANGE($F$8,""'Sensitivity [""&amp;IF(I$3="""",I$2,I$2&amp;"", ""&amp;I$3)&amp;""]'!D1:D20""),
        IMPORTRANGE($F$8,""'Sensitivity [""&amp;IF(I$3="""",I$2,I$2&amp;"", ""&amp;I$3)&amp;""]'!A1:A20"")=$E10
      ),
      """"
    )
  )
)"&amp;", ""-"")
"),8.494491403117674)</f>
        <v>8.494491403</v>
      </c>
      <c r="J10" s="842" t="s">
        <v>124</v>
      </c>
      <c r="K10" s="831">
        <f>IFERROR(__xludf.DUMMYFUNCTION("iferror(IF(
  IFNA(
    FILTER(
      IMPORTRANGE($F$8,""'Sensitivity [""&amp;IF(I$3="""",I$2,I$2&amp;"", ""&amp;I$3)&amp;""]'!E1:E20""),
      IMPORTRANGE($F$8,""'Sensitivity [""&amp;IF(I$3="""",I$2,I$2&amp;"", ""&amp;I$3)&amp;""]'!A1:A20"")=$E10
    ),
    """"
  ) = """",
  ""-"",
  "&amp;"I$5 * ( 1 +
    IFNA(
      FILTER(
        IMPORTRANGE($F$8,""'Sensitivity [""&amp;IF(I$3="""",I$2,I$2&amp;"", ""&amp;I$3)&amp;""]'!E1:E20""),
        IMPORTRANGE($F$8,""'Sensitivity [""&amp;IF(I$3="""",I$2,I$2&amp;"", ""&amp;I$3)&amp;""]'!A1:A20"")=$E10
      ),
      """"
    )
  )
)"&amp;", ""-"")
"),6.973089957783166)</f>
        <v>6.973089958</v>
      </c>
      <c r="L10" s="832" t="str">
        <f>IFERROR(__xludf.DUMMYFUNCTION("Iferror(IF(
  IFNA(
    FILTER(
      IMPORTRANGE($F$8,""'Sensitivity [""&amp;IF(L$3="""",L$2,L$2&amp;"", ""&amp;L$3)&amp;""]'!D1:D20""),
      IMPORTRANGE($F$8,""'Sensitivity [""&amp;IF(L$3="""",L$2,L$2&amp;"", ""&amp;L$3)&amp;""]'!A1:A20"")=$E10
    ),
    """"
  ) = """",
  ""-"",
  "&amp;"L$5 * ( 1 +
    IFNA(
      FILTER(
        IMPORTRANGE($F$8,""'Sensitivity [""&amp;IF(L$3="""",L$2,L$2&amp;"", ""&amp;L$3)&amp;""]'!D1:D20""),
        IMPORTRANGE($F$8,""'Sensitivity [""&amp;IF(L$3="""",L$2,L$2&amp;"", ""&amp;L$3)&amp;""]'!A1:A20"")=$E10
      ),
      """"
    )
  )
)"&amp;", ""-"")
"),"-")</f>
        <v>-</v>
      </c>
      <c r="M10" s="843" t="s">
        <v>124</v>
      </c>
      <c r="N10" s="835" t="str">
        <f>IFERROR(__xludf.DUMMYFUNCTION("iferror(IF(
  IFNA(
    FILTER(
      IMPORTRANGE($F$8,""'Sensitivity [""&amp;IF(L$3="""",L$2,L$2&amp;"", ""&amp;L$3)&amp;""]'!E1:E20""),
      IMPORTRANGE($F$8,""'Sensitivity [""&amp;IF(L$3="""",L$2,L$2&amp;"", ""&amp;L$3)&amp;""]'!A1:A20"")=$E10
    ),
    """"
  ) = """",
  ""-"",
  "&amp;"L$5 * ( 1 +
    IFNA(
      FILTER(
        IMPORTRANGE($F$8,""'Sensitivity [""&amp;IF(L$3="""",L$2,L$2&amp;"", ""&amp;L$3)&amp;""]'!E1:E20""),
        IMPORTRANGE($F$8,""'Sensitivity [""&amp;IF(L$3="""",L$2,L$2&amp;"", ""&amp;L$3)&amp;""]'!A1:A20"")=$E10
      ),
      """"
    )
  )
)"&amp;", ""-"")
"),"-")</f>
        <v>-</v>
      </c>
      <c r="O10" s="832" t="str">
        <f>IFERROR(__xludf.DUMMYFUNCTION("Iferror(IF(
  IFNA(
    FILTER(
      IMPORTRANGE($F$8,""'Sensitivity [""&amp;IF(O$3="""",O$2,O$2&amp;"", ""&amp;O$3)&amp;""]'!D1:D20""),
      IMPORTRANGE($F$8,""'Sensitivity [""&amp;IF(O$3="""",O$2,O$2&amp;"", ""&amp;O$3)&amp;""]'!A1:A20"")=$E10
    ),
    """"
  ) = """",
  ""-"",
  "&amp;"O$5 * ( 1 +
    IFNA(
      FILTER(
        IMPORTRANGE($F$8,""'Sensitivity [""&amp;IF(O$3="""",O$2,O$2&amp;"", ""&amp;O$3)&amp;""]'!D1:D20""),
        IMPORTRANGE($F$8,""'Sensitivity [""&amp;IF(O$3="""",O$2,O$2&amp;"", ""&amp;O$3)&amp;""]'!A1:A20"")=$E10
      ),
      """"
    )
  )
)"&amp;", ""-"")
"),"-")</f>
        <v>-</v>
      </c>
      <c r="P10" s="843" t="s">
        <v>124</v>
      </c>
      <c r="Q10" s="835" t="str">
        <f>IFERROR(__xludf.DUMMYFUNCTION("iferror(IF(
  IFNA(
    FILTER(
      IMPORTRANGE($F$8,""'Sensitivity [""&amp;IF(O$3="""",O$2,O$2&amp;"", ""&amp;O$3)&amp;""]'!E1:E20""),
      IMPORTRANGE($F$8,""'Sensitivity [""&amp;IF(O$3="""",O$2,O$2&amp;"", ""&amp;O$3)&amp;""]'!A1:A20"")=$E10
    ),
    """"
  ) = """",
  ""-"",
  "&amp;"O$5 * ( 1 +
    IFNA(
      FILTER(
        IMPORTRANGE($F$8,""'Sensitivity [""&amp;IF(O$3="""",O$2,O$2&amp;"", ""&amp;O$3)&amp;""]'!E1:E20""),
        IMPORTRANGE($F$8,""'Sensitivity [""&amp;IF(O$3="""",O$2,O$2&amp;"", ""&amp;O$3)&amp;""]'!A1:A20"")=$E10
      ),
      """"
    )
  )
)"&amp;", ""-"")
"),"-")</f>
        <v>-</v>
      </c>
      <c r="R10" s="832" t="str">
        <f>IFERROR(__xludf.DUMMYFUNCTION("Iferror(IF(
  IFNA(
    FILTER(
      IMPORTRANGE($F$8,""'Sensitivity [""&amp;IF(R$3="""",R$2,R$2&amp;"", ""&amp;R$3)&amp;""]'!D1:D20""),
      IMPORTRANGE($F$8,""'Sensitivity [""&amp;IF(R$3="""",R$2,R$2&amp;"", ""&amp;R$3)&amp;""]'!A1:A20"")=$E10
    ),
    """"
  ) = """",
  ""-"",
  "&amp;"R$5 * ( 1 +
    IFNA(
      FILTER(
        IMPORTRANGE($F$8,""'Sensitivity [""&amp;IF(R$3="""",R$2,R$2&amp;"", ""&amp;R$3)&amp;""]'!D1:D20""),
        IMPORTRANGE($F$8,""'Sensitivity [""&amp;IF(R$3="""",R$2,R$2&amp;"", ""&amp;R$3)&amp;""]'!A1:A20"")=$E10
      ),
      """"
    )
  )
)"&amp;", ""-"")
"),"-")</f>
        <v>-</v>
      </c>
      <c r="S10" s="843" t="s">
        <v>124</v>
      </c>
      <c r="T10" s="835" t="str">
        <f>IFERROR(__xludf.DUMMYFUNCTION("iferror(IF(
  IFNA(
    FILTER(
      IMPORTRANGE($F$8,""'Sensitivity [""&amp;IF(R$3="""",R$2,R$2&amp;"", ""&amp;R$3)&amp;""]'!E1:E20""),
      IMPORTRANGE($F$8,""'Sensitivity [""&amp;IF(R$3="""",R$2,R$2&amp;"", ""&amp;R$3)&amp;""]'!A1:A20"")=$E10
    ),
    """"
  ) = """",
  ""-"",
  "&amp;"R$5 * ( 1 +
    IFNA(
      FILTER(
        IMPORTRANGE($F$8,""'Sensitivity [""&amp;IF(R$3="""",R$2,R$2&amp;"", ""&amp;R$3)&amp;""]'!E1:E20""),
        IMPORTRANGE($F$8,""'Sensitivity [""&amp;IF(R$3="""",R$2,R$2&amp;"", ""&amp;R$3)&amp;""]'!A1:A20"")=$E10
      ),
      """"
    )
  )
)"&amp;", ""-"")
"),"-")</f>
        <v>-</v>
      </c>
      <c r="U10" s="832" t="str">
        <f>IFERROR(__xludf.DUMMYFUNCTION("Iferror(IF(
  IFNA(
    FILTER(
      IMPORTRANGE($F$8,""'Sensitivity [""&amp;IF(U$3="""",U$2,U$2&amp;"", ""&amp;U$3)&amp;""]'!D1:D20""),
      IMPORTRANGE($F$8,""'Sensitivity [""&amp;IF(U$3="""",U$2,U$2&amp;"", ""&amp;U$3)&amp;""]'!A1:A20"")=$E10
    ),
    """"
  ) = """",
  ""-"",
  "&amp;"U$5 * ( 1 +
    IFNA(
      FILTER(
        IMPORTRANGE($F$8,""'Sensitivity [""&amp;IF(U$3="""",U$2,U$2&amp;"", ""&amp;U$3)&amp;""]'!D1:D20""),
        IMPORTRANGE($F$8,""'Sensitivity [""&amp;IF(U$3="""",U$2,U$2&amp;"", ""&amp;U$3)&amp;""]'!A1:A20"")=$E10
      ),
      """"
    )
  )
)"&amp;", ""-"")
"),"-")</f>
        <v>-</v>
      </c>
      <c r="V10" s="843" t="s">
        <v>124</v>
      </c>
      <c r="W10" s="835" t="str">
        <f>IFERROR(__xludf.DUMMYFUNCTION("iferror(IF(
  IFNA(
    FILTER(
      IMPORTRANGE($F$8,""'Sensitivity [""&amp;IF(U$3="""",U$2,U$2&amp;"", ""&amp;U$3)&amp;""]'!E1:E20""),
      IMPORTRANGE($F$8,""'Sensitivity [""&amp;IF(U$3="""",U$2,U$2&amp;"", ""&amp;U$3)&amp;""]'!A1:A20"")=$E10
    ),
    """"
  ) = """",
  ""-"",
  "&amp;"U$5 * ( 1 +
    IFNA(
      FILTER(
        IMPORTRANGE($F$8,""'Sensitivity [""&amp;IF(U$3="""",U$2,U$2&amp;"", ""&amp;U$3)&amp;""]'!E1:E20""),
        IMPORTRANGE($F$8,""'Sensitivity [""&amp;IF(U$3="""",U$2,U$2&amp;"", ""&amp;U$3)&amp;""]'!A1:A20"")=$E10
      ),
      """"
    )
  )
)"&amp;", ""-"")
"),"-")</f>
        <v>-</v>
      </c>
      <c r="X10" s="832" t="str">
        <f>IFERROR(__xludf.DUMMYFUNCTION("Iferror(IF(
  IFNA(
    FILTER(
      IMPORTRANGE($F$8,""'Sensitivity [""&amp;IF(X$3="""",X$2,X$2&amp;"", ""&amp;X$3)&amp;""]'!D1:D20""),
      IMPORTRANGE($F$8,""'Sensitivity [""&amp;IF(X$3="""",X$2,X$2&amp;"", ""&amp;X$3)&amp;""]'!A1:A20"")=$E10
    ),
    """"
  ) = """",
  ""-"",
  "&amp;"X$5 * ( 1 +
    IFNA(
      FILTER(
        IMPORTRANGE($F$8,""'Sensitivity [""&amp;IF(X$3="""",X$2,X$2&amp;"", ""&amp;X$3)&amp;""]'!D1:D20""),
        IMPORTRANGE($F$8,""'Sensitivity [""&amp;IF(X$3="""",X$2,X$2&amp;"", ""&amp;X$3)&amp;""]'!A1:A20"")=$E10
      ),
      """"
    )
  )
)"&amp;", ""-"")
"),"-")</f>
        <v>-</v>
      </c>
      <c r="Y10" s="843" t="s">
        <v>124</v>
      </c>
      <c r="Z10" s="835" t="str">
        <f>IFERROR(__xludf.DUMMYFUNCTION("iferror(IF(
  IFNA(
    FILTER(
      IMPORTRANGE($F$8,""'Sensitivity [""&amp;IF(X$3="""",X$2,X$2&amp;"", ""&amp;X$3)&amp;""]'!E1:E20""),
      IMPORTRANGE($F$8,""'Sensitivity [""&amp;IF(X$3="""",X$2,X$2&amp;"", ""&amp;X$3)&amp;""]'!A1:A20"")=$E10
    ),
    """"
  ) = """",
  ""-"",
  "&amp;"X$5 * ( 1 +
    IFNA(
      FILTER(
        IMPORTRANGE($F$8,""'Sensitivity [""&amp;IF(X$3="""",X$2,X$2&amp;"", ""&amp;X$3)&amp;""]'!E1:E20""),
        IMPORTRANGE($F$8,""'Sensitivity [""&amp;IF(X$3="""",X$2,X$2&amp;"", ""&amp;X$3)&amp;""]'!A1:A20"")=$E10
      ),
      """"
    )
  )
)"&amp;", ""-"")
"),"-")</f>
        <v>-</v>
      </c>
      <c r="AA10" s="832">
        <f>IFERROR(__xludf.DUMMYFUNCTION("Iferror(IF(
  IFNA(
    FILTER(
      IMPORTRANGE($F$8,""'Sensitivity [""&amp;IF(AA$3="""",AA$2,AA$2&amp;"", ""&amp;AA$3)&amp;""]'!D1:D20""),
      IMPORTRANGE($F$8,""'Sensitivity [""&amp;IF(AA$3="""",AA$2,AA$2&amp;"", ""&amp;AA$3)&amp;""]'!A1:A20"")=$E10
    ),
    """"
  ) = """",
  "&amp;"""-"",
  AA$5 * ( 1 +
    IFNA(
      FILTER(
        IMPORTRANGE($F$8,""'Sensitivity [""&amp;IF(AA$3="""",AA$2,AA$2&amp;"", ""&amp;AA$3)&amp;""]'!D1:D20""),
        IMPORTRANGE($F$8,""'Sensitivity [""&amp;IF(AA$3="""",AA$2,AA$2&amp;"", ""&amp;AA$3)&amp;""]'!A1:A20"")=$E10
      ),
    "&amp;"  """"
    )
  )
), ""-"")
"),22.57027642965212)</f>
        <v>22.57027643</v>
      </c>
      <c r="AB10" s="843" t="s">
        <v>124</v>
      </c>
      <c r="AC10" s="835">
        <f>IFERROR(__xludf.DUMMYFUNCTION("iferror(IF(
  IFNA(
    FILTER(
      IMPORTRANGE($F$8,""'Sensitivity [""&amp;IF(AA$3="""",AA$2,AA$2&amp;"", ""&amp;AA$3)&amp;""]'!E1:E20""),
      IMPORTRANGE($F$8,""'Sensitivity [""&amp;IF(AA$3="""",AA$2,AA$2&amp;"", ""&amp;AA$3)&amp;""]'!A1:A20"")=$E10
    ),
    """"
  ) = """",
  "&amp;"""-"",
  AA$5 * ( 1 +
    IFNA(
      FILTER(
        IMPORTRANGE($F$8,""'Sensitivity [""&amp;IF(AA$3="""",AA$2,AA$2&amp;"", ""&amp;AA$3)&amp;""]'!E1:E20""),
        IMPORTRANGE($F$8,""'Sensitivity [""&amp;IF(AA$3="""",AA$2,AA$2&amp;"", ""&amp;AA$3)&amp;""]'!A1:A20"")=$E10
      ),
    "&amp;"  """"
    )
  )
), ""-"")
"),18.274895102209697)</f>
        <v>18.2748951</v>
      </c>
      <c r="AD10" s="832">
        <f>IFERROR(__xludf.DUMMYFUNCTION("Iferror(IF(
  IFNA(
    FILTER(
      IMPORTRANGE($F$8,""'Sensitivity [""&amp;IF(AD$3="""",AD$2,AD$2&amp;"", ""&amp;AD$3)&amp;""]'!D1:D20""),
      IMPORTRANGE($F$8,""'Sensitivity [""&amp;IF(AD$3="""",AD$2,AD$2&amp;"", ""&amp;AD$3)&amp;""]'!A1:A20"")=$E10
    ),
    """"
  ) = """",
  "&amp;"""-"",
  AD$5 * ( 1 +
    IFNA(
      FILTER(
        IMPORTRANGE($F$8,""'Sensitivity [""&amp;IF(AD$3="""",AD$2,AD$2&amp;"", ""&amp;AD$3)&amp;""]'!D1:D20""),
        IMPORTRANGE($F$8,""'Sensitivity [""&amp;IF(AD$3="""",AD$2,AD$2&amp;"", ""&amp;AD$3)&amp;""]'!A1:A20"")=$E10
      ),
    "&amp;"  """"
    )
  )
), ""-"")
"),19.220682328946133)</f>
        <v>19.22068233</v>
      </c>
      <c r="AE10" s="843" t="s">
        <v>124</v>
      </c>
      <c r="AF10" s="835">
        <f>IFERROR(__xludf.DUMMYFUNCTION("iferror(IF(
  IFNA(
    FILTER(
      IMPORTRANGE($F$8,""'Sensitivity [""&amp;IF(AD$3="""",AD$2,AD$2&amp;"", ""&amp;AD$3)&amp;""]'!E1:E20""),
      IMPORTRANGE($F$8,""'Sensitivity [""&amp;IF(AD$3="""",AD$2,AD$2&amp;"", ""&amp;AD$3)&amp;""]'!A1:A20"")=$E10
    ),
    """"
  ) = """",
  "&amp;"""-"",
  AD$5 * ( 1 +
    IFNA(
      FILTER(
        IMPORTRANGE($F$8,""'Sensitivity [""&amp;IF(AD$3="""",AD$2,AD$2&amp;"", ""&amp;AD$3)&amp;""]'!E1:E20""),
        IMPORTRANGE($F$8,""'Sensitivity [""&amp;IF(AD$3="""",AD$2,AD$2&amp;"", ""&amp;AD$3)&amp;""]'!A1:A20"")=$E10
      ),
    "&amp;"  """"
    )
  )
), ""-"")
"),15.562767006828325)</f>
        <v>15.56276701</v>
      </c>
      <c r="AG10" s="832">
        <f>IFERROR(__xludf.DUMMYFUNCTION("Iferror(IF(
  IFNA(
    FILTER(
      IMPORTRANGE($F$8,""'Sensitivity [""&amp;IF(AG$3="""",AG$2,AG$2&amp;"", ""&amp;AG$3)&amp;""]'!D1:D20""),
      IMPORTRANGE($F$8,""'Sensitivity [""&amp;IF(AG$3="""",AG$2,AG$2&amp;"", ""&amp;AG$3)&amp;""]'!A1:A20"")=$E10
    ),
    """"
  ) = """",
  "&amp;"""-"",
  AG$5 * ( 1 +
    IFNA(
      FILTER(
        IMPORTRANGE($F$8,""'Sensitivity [""&amp;IF(AG$3="""",AG$2,AG$2&amp;"", ""&amp;AG$3)&amp;""]'!D1:D20""),
        IMPORTRANGE($F$8,""'Sensitivity [""&amp;IF(AG$3="""",AG$2,AG$2&amp;"", ""&amp;AG$3)&amp;""]'!A1:A20"")=$E10
      ),
    "&amp;"  """"
    )
  )
), ""-"")
"),17.102078633503538)</f>
        <v>17.10207863</v>
      </c>
      <c r="AH10" s="843" t="s">
        <v>124</v>
      </c>
      <c r="AI10" s="835">
        <f>IFERROR(__xludf.DUMMYFUNCTION("iferror(IF(
  IFNA(
    FILTER(
      IMPORTRANGE($F$8,""'Sensitivity [""&amp;IF(AG$3="""",AG$2,AG$2&amp;"", ""&amp;AG$3)&amp;""]'!E1:E20""),
      IMPORTRANGE($F$8,""'Sensitivity [""&amp;IF(AG$3="""",AG$2,AG$2&amp;"", ""&amp;AG$3)&amp;""]'!A1:A20"")=$E10
    ),
    """"
  ) = """",
  "&amp;"""-"",
  AG$5 * ( 1 +
    IFNA(
      FILTER(
        IMPORTRANGE($F$8,""'Sensitivity [""&amp;IF(AG$3="""",AG$2,AG$2&amp;"", ""&amp;AG$3)&amp;""]'!E1:E20""),
        IMPORTRANGE($F$8,""'Sensitivity [""&amp;IF(AG$3="""",AG$2,AG$2&amp;"", ""&amp;AG$3)&amp;""]'!A1:A20"")=$E10
      ),
    "&amp;"  """"
    )
  )
), ""-"")
"),14.0251356157602)</f>
        <v>14.02513562</v>
      </c>
      <c r="AJ10" s="832">
        <f>IFERROR(__xludf.DUMMYFUNCTION("Iferror(IF(
  IFNA(
    FILTER(
      IMPORTRANGE($F$8,""'Sensitivity [""&amp;IF(AJ$3="""",AJ$2,AJ$2&amp;"", ""&amp;AJ$3)&amp;""]'!D1:D20""),
      IMPORTRANGE($F$8,""'Sensitivity [""&amp;IF(AJ$3="""",AJ$2,AJ$2&amp;"", ""&amp;AJ$3)&amp;""]'!A1:A20"")=$E10
    ),
    """"
  ) = """",
  "&amp;"""-"",
  AJ$5 * ( 1 +
    IFNA(
      FILTER(
        IMPORTRANGE($F$8,""'Sensitivity [""&amp;IF(AJ$3="""",AJ$2,AJ$2&amp;"", ""&amp;AJ$3)&amp;""]'!D1:D20""),
        IMPORTRANGE($F$8,""'Sensitivity [""&amp;IF(AJ$3="""",AJ$2,AJ$2&amp;"", ""&amp;AJ$3)&amp;""]'!A1:A20"")=$E10
      ),
    "&amp;"  """"
    )
  )
), ""-"")
"),31.31886276958094)</f>
        <v>31.31886277</v>
      </c>
      <c r="AK10" s="843" t="s">
        <v>124</v>
      </c>
      <c r="AL10" s="835">
        <f>IFERROR(__xludf.DUMMYFUNCTION("iferror(IF(
  IFNA(
    FILTER(
      IMPORTRANGE($F$8,""'Sensitivity [""&amp;IF(AJ$3="""",AJ$2,AJ$2&amp;"", ""&amp;AJ$3)&amp;""]'!E1:E20""),
      IMPORTRANGE($F$8,""'Sensitivity [""&amp;IF(AJ$3="""",AJ$2,AJ$2&amp;"", ""&amp;AJ$3)&amp;""]'!A1:A20"")=$E10
    ),
    """"
  ) = """",
  "&amp;"""-"",
  AJ$5 * ( 1 +
    IFNA(
      FILTER(
        IMPORTRANGE($F$8,""'Sensitivity [""&amp;IF(AJ$3="""",AJ$2,AJ$2&amp;"", ""&amp;AJ$3)&amp;""]'!E1:E20""),
        IMPORTRANGE($F$8,""'Sensitivity [""&amp;IF(AJ$3="""",AJ$2,AJ$2&amp;"", ""&amp;AJ$3)&amp;""]'!A1:A20"")=$E10
      ),
    "&amp;"  """"
    )
  )
), ""-"")
"),25.358525564297402)</f>
        <v>25.35852556</v>
      </c>
      <c r="AM10" s="832">
        <f>IFERROR(__xludf.DUMMYFUNCTION("Iferror(IF(
  IFNA(
    FILTER(
      IMPORTRANGE($F$8,""'Sensitivity [""&amp;IF(AM$3="""",AM$2,AM$2&amp;"", ""&amp;AM$3)&amp;""]'!D1:D20""),
      IMPORTRANGE($F$8,""'Sensitivity [""&amp;IF(AM$3="""",AM$2,AM$2&amp;"", ""&amp;AM$3)&amp;""]'!A1:A20"")=$E10
    ),
    """"
  ) = """",
  "&amp;"""-"",
  AM$5 * ( 1 +
    IFNA(
      FILTER(
        IMPORTRANGE($F$8,""'Sensitivity [""&amp;IF(AM$3="""",AM$2,AM$2&amp;"", ""&amp;AM$3)&amp;""]'!D1:D20""),
        IMPORTRANGE($F$8,""'Sensitivity [""&amp;IF(AM$3="""",AM$2,AM$2&amp;"", ""&amp;AM$3)&amp;""]'!A1:A20"")=$E10
      ),
    "&amp;"  """"
    )
  )
), ""-"")
"),22.3299595861511)</f>
        <v>22.32995959</v>
      </c>
      <c r="AN10" s="843" t="s">
        <v>124</v>
      </c>
      <c r="AO10" s="835">
        <f>IFERROR(__xludf.DUMMYFUNCTION("iferror(IF(
  IFNA(
    FILTER(
      IMPORTRANGE($F$8,""'Sensitivity [""&amp;IF(AM$3="""",AM$2,AM$2&amp;"", ""&amp;AM$3)&amp;""]'!E1:E20""),
      IMPORTRANGE($F$8,""'Sensitivity [""&amp;IF(AM$3="""",AM$2,AM$2&amp;"", ""&amp;AM$3)&amp;""]'!A1:A20"")=$E10
    ),
    """"
  ) = """",
  "&amp;"""-"",
  AM$5 * ( 1 +
    IFNA(
      FILTER(
        IMPORTRANGE($F$8,""'Sensitivity [""&amp;IF(AM$3="""",AM$2,AM$2&amp;"", ""&amp;AM$3)&amp;""]'!E1:E20""),
        IMPORTRANGE($F$8,""'Sensitivity [""&amp;IF(AM$3="""",AM$2,AM$2&amp;"", ""&amp;AM$3)&amp;""]'!A1:A20"")=$E10
      ),
    "&amp;"  """"
    )
  )
), ""-"")
"),18.31243547650892)</f>
        <v>18.31243548</v>
      </c>
      <c r="AP10" s="832">
        <f>IFERROR(__xludf.DUMMYFUNCTION("Iferror(IF(
  IFNA(
    FILTER(
      IMPORTRANGE($F$8,""'Sensitivity [""&amp;IF(AP$3="""",AP$2,AP$2&amp;"", ""&amp;AP$3)&amp;""]'!D1:D20""),
      IMPORTRANGE($F$8,""'Sensitivity [""&amp;IF(AP$3="""",AP$2,AP$2&amp;"", ""&amp;AP$3)&amp;""]'!A1:A20"")=$E10
    ),
    """"
  ) = """",
  "&amp;"""-"",
  AP$5 * ( 1 +
    IFNA(
      FILTER(
        IMPORTRANGE($F$8,""'Sensitivity [""&amp;IF(AP$3="""",AP$2,AP$2&amp;"", ""&amp;AP$3)&amp;""]'!D1:D20""),
        IMPORTRANGE($F$8,""'Sensitivity [""&amp;IF(AP$3="""",AP$2,AP$2&amp;"", ""&amp;AP$3)&amp;""]'!A1:A20"")=$E10
      ),
    "&amp;"  """"
    )
  )
), ""-"")
"),23.684489714351773)</f>
        <v>23.68448971</v>
      </c>
      <c r="AQ10" s="843" t="s">
        <v>124</v>
      </c>
      <c r="AR10" s="835">
        <f>IFERROR(__xludf.DUMMYFUNCTION("iferror(IF(
  IFNA(
    FILTER(
      IMPORTRANGE($F$8,""'Sensitivity [""&amp;IF(AP$3="""",AP$2,AP$2&amp;"", ""&amp;AP$3)&amp;""]'!E1:E20""),
      IMPORTRANGE($F$8,""'Sensitivity [""&amp;IF(AP$3="""",AP$2,AP$2&amp;"", ""&amp;AP$3)&amp;""]'!A1:A20"")=$E10
    ),
    """"
  ) = """",
  "&amp;"""-"",
  AP$5 * ( 1 +
    IFNA(
      FILTER(
        IMPORTRANGE($F$8,""'Sensitivity [""&amp;IF(AP$3="""",AP$2,AP$2&amp;"", ""&amp;AP$3)&amp;""]'!E1:E20""),
        IMPORTRANGE($F$8,""'Sensitivity [""&amp;IF(AP$3="""",AP$2,AP$2&amp;"", ""&amp;AP$3)&amp;""]'!A1:A20"")=$E10
      ),
    "&amp;"  """"
    )
  )
), ""-"")
"),19.42326353143485)</f>
        <v>19.42326353</v>
      </c>
      <c r="AS10" s="832">
        <f>IFERROR(__xludf.DUMMYFUNCTION("Iferror(IF(
  IFNA(
    FILTER(
      IMPORTRANGE($F$8,""'Sensitivity [""&amp;IF(AS$3="""",AS$2,AS$2&amp;"", ""&amp;AS$3)&amp;""]'!D1:D20""),
      IMPORTRANGE($F$8,""'Sensitivity [""&amp;IF(AS$3="""",AS$2,AS$2&amp;"", ""&amp;AS$3)&amp;""]'!A1:A20"")=$E10
    ),
    """"
  ) = """",
  "&amp;"""-"",
  AS$5 * ( 1 +
    IFNA(
      FILTER(
        IMPORTRANGE($F$8,""'Sensitivity [""&amp;IF(AS$3="""",AS$2,AS$2&amp;"", ""&amp;AS$3)&amp;""]'!D1:D20""),
        IMPORTRANGE($F$8,""'Sensitivity [""&amp;IF(AS$3="""",AS$2,AS$2&amp;"", ""&amp;AS$3)&amp;""]'!A1:A20"")=$E10
      ),
    "&amp;"  """"
    )
  )
), ""-"")
"),25.851583261196946)</f>
        <v>25.85158326</v>
      </c>
      <c r="AT10" s="843" t="s">
        <v>124</v>
      </c>
      <c r="AU10" s="835">
        <f>IFERROR(__xludf.DUMMYFUNCTION("iferror(IF(
  IFNA(
    FILTER(
      IMPORTRANGE($F$8,""'Sensitivity [""&amp;IF(AS$3="""",AS$2,AS$2&amp;"", ""&amp;AS$3)&amp;""]'!E1:E20""),
      IMPORTRANGE($F$8,""'Sensitivity [""&amp;IF(AS$3="""",AS$2,AS$2&amp;"", ""&amp;AS$3)&amp;""]'!A1:A20"")=$E10
    ),
    """"
  ) = """",
  "&amp;"""-"",
  AS$5 * ( 1 +
    IFNA(
      FILTER(
        IMPORTRANGE($F$8,""'Sensitivity [""&amp;IF(AS$3="""",AS$2,AS$2&amp;"", ""&amp;AS$3)&amp;""]'!E1:E20""),
        IMPORTRANGE($F$8,""'Sensitivity [""&amp;IF(AS$3="""",AS$2,AS$2&amp;"", ""&amp;AS$3)&amp;""]'!A1:A20"")=$E10
      ),
    "&amp;"  """"
    )
  )
), ""-"")
"),21.20046158658831)</f>
        <v>21.20046159</v>
      </c>
      <c r="AV10" s="832">
        <f>IFERROR(__xludf.DUMMYFUNCTION("Iferror(IF(
  IFNA(
    FILTER(
      IMPORTRANGE($F$8,""'Sensitivity [""&amp;IF(AV$3="""",AV$2,AV$2&amp;"", ""&amp;AV$3)&amp;""]'!D1:D20""),
      IMPORTRANGE($F$8,""'Sensitivity [""&amp;IF(AV$3="""",AV$2,AV$2&amp;"", ""&amp;AV$3)&amp;""]'!A1:A20"")=$E10
    ),
    """"
  ) = """",
  "&amp;"""-"",
  AV$5 * ( 1 +
    IFNA(
      FILTER(
        IMPORTRANGE($F$8,""'Sensitivity [""&amp;IF(AV$3="""",AV$2,AV$2&amp;"", ""&amp;AV$3)&amp;""]'!D1:D20""),
        IMPORTRANGE($F$8,""'Sensitivity [""&amp;IF(AV$3="""",AV$2,AV$2&amp;"", ""&amp;AV$3)&amp;""]'!A1:A20"")=$E10
      ),
    "&amp;"  """"
    )
  )
), ""-"")
"),17.050894617866426)</f>
        <v>17.05089462</v>
      </c>
      <c r="AW10" s="843" t="s">
        <v>124</v>
      </c>
      <c r="AX10" s="835">
        <f>IFERROR(__xludf.DUMMYFUNCTION("iferror(IF(
  IFNA(
    FILTER(
      IMPORTRANGE($F$8,""'Sensitivity [""&amp;IF(AV$3="""",AV$2,AV$2&amp;"", ""&amp;AV$3)&amp;""]'!E1:E20""),
      IMPORTRANGE($F$8,""'Sensitivity [""&amp;IF(AV$3="""",AV$2,AV$2&amp;"", ""&amp;AV$3)&amp;""]'!A1:A20"")=$E10
    ),
    """"
  ) = """",
  "&amp;"""-"",
  AV$5 * ( 1 +
    IFNA(
      FILTER(
        IMPORTRANGE($F$8,""'Sensitivity [""&amp;IF(AV$3="""",AV$2,AV$2&amp;"", ""&amp;AV$3)&amp;""]'!E1:E20""),
        IMPORTRANGE($F$8,""'Sensitivity [""&amp;IF(AV$3="""",AV$2,AV$2&amp;"", ""&amp;AV$3)&amp;""]'!A1:A20"")=$E10
      ),
    "&amp;"  """"
    )
  )
), ""-"")
"),13.983160439756533)</f>
        <v>13.98316044</v>
      </c>
      <c r="AY10" s="832">
        <f>IFERROR(__xludf.DUMMYFUNCTION("Iferror(IF(
  IFNA(
    FILTER(
      IMPORTRANGE($F$8,""'Sensitivity [""&amp;IF(AY$3="""",AY$2,AY$2&amp;"", ""&amp;AY$3)&amp;""]'!D1:D20""),
      IMPORTRANGE($F$8,""'Sensitivity [""&amp;IF(AY$3="""",AY$2,AY$2&amp;"", ""&amp;AY$3)&amp;""]'!A1:A20"")=$E10
    ),
    """"
  ) = """",
  "&amp;"""-"",
  AY$5 * ( 1 +
    IFNA(
      FILTER(
        IMPORTRANGE($F$8,""'Sensitivity [""&amp;IF(AY$3="""",AY$2,AY$2&amp;"", ""&amp;AY$3)&amp;""]'!D1:D20""),
        IMPORTRANGE($F$8,""'Sensitivity [""&amp;IF(AY$3="""",AY$2,AY$2&amp;"", ""&amp;AY$3)&amp;""]'!A1:A20"")=$E10
      ),
    "&amp;"  """"
    )
  )
), ""-"")
"),31.843441801968257)</f>
        <v>31.8434418</v>
      </c>
      <c r="AZ10" s="843" t="s">
        <v>124</v>
      </c>
      <c r="BA10" s="835">
        <f>IFERROR(__xludf.DUMMYFUNCTION("iferror(IF(
  IFNA(
    FILTER(
      IMPORTRANGE($F$8,""'Sensitivity [""&amp;IF(AY$3="""",AY$2,AY$2&amp;"", ""&amp;AY$3)&amp;""]'!E1:E20""),
      IMPORTRANGE($F$8,""'Sensitivity [""&amp;IF(AY$3="""",AY$2,AY$2&amp;"", ""&amp;AY$3)&amp;""]'!A1:A20"")=$E10
    ),
    """"
  ) = """",
  "&amp;"""-"",
  AY$5 * ( 1 +
    IFNA(
      FILTER(
        IMPORTRANGE($F$8,""'Sensitivity [""&amp;IF(AY$3="""",AY$2,AY$2&amp;"", ""&amp;AY$3)&amp;""]'!E1:E20""),
        IMPORTRANGE($F$8,""'Sensitivity [""&amp;IF(AY$3="""",AY$2,AY$2&amp;"", ""&amp;AY$3)&amp;""]'!A1:A20"")=$E10
      ),
    "&amp;"  """"
    )
  )
), ""-"")
"),25.78327121681852)</f>
        <v>25.78327122</v>
      </c>
      <c r="BB10" s="832">
        <f>IFERROR(__xludf.DUMMYFUNCTION("Iferror(IF(
  IFNA(
    FILTER(
      IMPORTRANGE($F$8,""'Sensitivity [""&amp;IF(BB$3="""",BB$2,BB$2&amp;"", ""&amp;BB$3)&amp;""]'!D1:D20""),
      IMPORTRANGE($F$8,""'Sensitivity [""&amp;IF(BB$3="""",BB$2,BB$2&amp;"", ""&amp;BB$3)&amp;""]'!A1:A20"")=$E10
    ),
    """"
  ) = """",
  "&amp;"""-"",
  BB$5 * ( 1 +
    IFNA(
      FILTER(
        IMPORTRANGE($F$8,""'Sensitivity [""&amp;IF(BB$3="""",BB$2,BB$2&amp;"", ""&amp;BB$3)&amp;""]'!D1:D20""),
        IMPORTRANGE($F$8,""'Sensitivity [""&amp;IF(BB$3="""",BB$2,BB$2&amp;"", ""&amp;BB$3)&amp;""]'!A1:A20"")=$E10
      ),
    "&amp;"  """"
    )
  )
), ""-"")
"),11.231319805179508)</f>
        <v>11.23131981</v>
      </c>
      <c r="BC10" s="843" t="s">
        <v>124</v>
      </c>
      <c r="BD10" s="835">
        <f>IFERROR(__xludf.DUMMYFUNCTION("iferror(IF(
  IFNA(
    FILTER(
      IMPORTRANGE($F$8,""'Sensitivity [""&amp;IF(BB$3="""",BB$2,BB$2&amp;"", ""&amp;BB$3)&amp;""]'!E1:E20""),
      IMPORTRANGE($F$8,""'Sensitivity [""&amp;IF(BB$3="""",BB$2,BB$2&amp;"", ""&amp;BB$3)&amp;""]'!A1:A20"")=$E10
    ),
    """"
  ) = """",
  "&amp;"""-"",
  BB$5 * ( 1 +
    IFNA(
      FILTER(
        IMPORTRANGE($F$8,""'Sensitivity [""&amp;IF(BB$3="""",BB$2,BB$2&amp;"", ""&amp;BB$3)&amp;""]'!E1:E20""),
        IMPORTRANGE($F$8,""'Sensitivity [""&amp;IF(BB$3="""",BB$2,BB$2&amp;"", ""&amp;BB$3)&amp;""]'!A1:A20"")=$E10
      ),
    "&amp;"  """"
    )
  )
), ""-"")
"),8.138637539985176)</f>
        <v>8.13863754</v>
      </c>
      <c r="BE10" s="832" t="str">
        <f>IFERROR(__xludf.DUMMYFUNCTION("Iferror(IF(
  IFNA(
    FILTER(
      IMPORTRANGE($F$8,""'Sensitivity [""&amp;IF(BE$3="""",BE$2,BE$2&amp;"", ""&amp;BE$3)&amp;""]'!D1:D20""),
      IMPORTRANGE($F$8,""'Sensitivity [""&amp;IF(BE$3="""",BE$2,BE$2&amp;"", ""&amp;BE$3)&amp;""]'!A1:A20"")=$E10
    ),
    """"
  ) = """",
  "&amp;"""-"",
  BE$5 * ( 1 +
    IFNA(
      FILTER(
        IMPORTRANGE($F$8,""'Sensitivity [""&amp;IF(BE$3="""",BE$2,BE$2&amp;"", ""&amp;BE$3)&amp;""]'!D1:D20""),
        IMPORTRANGE($F$8,""'Sensitivity [""&amp;IF(BE$3="""",BE$2,BE$2&amp;"", ""&amp;BE$3)&amp;""]'!A1:A20"")=$E10
      ),
    "&amp;"  """"
    )
  )
), ""-"")
"),"-")</f>
        <v>-</v>
      </c>
      <c r="BF10" s="843" t="s">
        <v>124</v>
      </c>
      <c r="BG10" s="835" t="str">
        <f>IFERROR(__xludf.DUMMYFUNCTION("iferror(IF(
  IFNA(
    FILTER(
      IMPORTRANGE($F$8,""'Sensitivity [""&amp;IF(BE$3="""",BE$2,BE$2&amp;"", ""&amp;BE$3)&amp;""]'!E1:E20""),
      IMPORTRANGE($F$8,""'Sensitivity [""&amp;IF(BE$3="""",BE$2,BE$2&amp;"", ""&amp;BE$3)&amp;""]'!A1:A20"")=$E10
    ),
    """"
  ) = """",
  "&amp;"""-"",
  BE$5 * ( 1 +
    IFNA(
      FILTER(
        IMPORTRANGE($F$8,""'Sensitivity [""&amp;IF(BE$3="""",BE$2,BE$2&amp;"", ""&amp;BE$3)&amp;""]'!E1:E20""),
        IMPORTRANGE($F$8,""'Sensitivity [""&amp;IF(BE$3="""",BE$2,BE$2&amp;"", ""&amp;BE$3)&amp;""]'!A1:A20"")=$E10
      ),
    "&amp;"  """"
    )
  )
), ""-"")
"),"-")</f>
        <v>-</v>
      </c>
      <c r="BH10" s="615"/>
    </row>
    <row r="11">
      <c r="A11" s="219"/>
      <c r="B11" s="220"/>
      <c r="C11" s="400"/>
      <c r="D11" s="220"/>
      <c r="E11" s="616" t="str">
        <f t="shared" si="1"/>
        <v>Proportion of reached children who would have received SMC in the absence of the program</v>
      </c>
      <c r="F11" s="830" t="str">
        <f>IFERROR(__xludf.DUMMYFUNCTION("Iferror(IF(
  IFNA(
    FILTER(
      IMPORTRANGE($F$8,""'Sensitivity [""&amp;IF(F$3="""",F$2,F$2&amp;"", ""&amp;F$3)&amp;""]'!D1:D20""),
      IMPORTRANGE($F$8,""'Sensitivity [""&amp;IF(F$3="""",F$2,F$2&amp;"", ""&amp;F$3)&amp;""]'!A1:A20"")=$E11
    ),
    """"
  ) = """",
  ""-"",
  "&amp;"F$5 * ( 1 +
    IFNA(
      FILTER(
        IMPORTRANGE($F$8,""'Sensitivity [""&amp;IF(F$3="""",F$2,F$2&amp;"", ""&amp;F$3)&amp;""]'!D1:D20""),
        IMPORTRANGE($F$8,""'Sensitivity [""&amp;IF(F$3="""",F$2,F$2&amp;"", ""&amp;F$3)&amp;""]'!A1:A20"")=$E11
      ),
      """"
    )
  )
)"&amp;", ""-"")
"),"-")</f>
        <v>-</v>
      </c>
      <c r="G11" s="842" t="s">
        <v>124</v>
      </c>
      <c r="H11" s="831" t="str">
        <f>IFERROR(__xludf.DUMMYFUNCTION("iferror(IF(
  IFNA(
    FILTER(
      IMPORTRANGE($F$8,""'Sensitivity [""&amp;IF(F$3="""",F$2,F$2&amp;"", ""&amp;F$3)&amp;""]'!E1:E20""),
      IMPORTRANGE($F$8,""'Sensitivity [""&amp;IF(F$3="""",F$2,F$2&amp;"", ""&amp;F$3)&amp;""]'!A1:A20"")=$E11
    ),
    """"
  ) = """",
  ""-"",
  "&amp;"F$5 * ( 1 +
    IFNA(
      FILTER(
        IMPORTRANGE($F$8,""'Sensitivity [""&amp;IF(F$3="""",F$2,F$2&amp;"", ""&amp;F$3)&amp;""]'!E1:E20""),
        IMPORTRANGE($F$8,""'Sensitivity [""&amp;IF(F$3="""",F$2,F$2&amp;"", ""&amp;F$3)&amp;""]'!A1:A20"")=$E11
      ),
      """"
    )
  )
)"&amp;", ""-"")
"),"-")</f>
        <v>-</v>
      </c>
      <c r="I11" s="830" t="str">
        <f>IFERROR(__xludf.DUMMYFUNCTION("Iferror(IF(
  IFNA(
    FILTER(
      IMPORTRANGE($F$8,""'Sensitivity [""&amp;IF(I$3="""",I$2,I$2&amp;"", ""&amp;I$3)&amp;""]'!D1:D20""),
      IMPORTRANGE($F$8,""'Sensitivity [""&amp;IF(I$3="""",I$2,I$2&amp;"", ""&amp;I$3)&amp;""]'!A1:A20"")=$E11
    ),
    """"
  ) = """",
  ""-"",
  "&amp;"I$5 * ( 1 +
    IFNA(
      FILTER(
        IMPORTRANGE($F$8,""'Sensitivity [""&amp;IF(I$3="""",I$2,I$2&amp;"", ""&amp;I$3)&amp;""]'!D1:D20""),
        IMPORTRANGE($F$8,""'Sensitivity [""&amp;IF(I$3="""",I$2,I$2&amp;"", ""&amp;I$3)&amp;""]'!A1:A20"")=$E11
      ),
      """"
    )
  )
)"&amp;", ""-"")
"),"-")</f>
        <v>-</v>
      </c>
      <c r="J11" s="842" t="s">
        <v>124</v>
      </c>
      <c r="K11" s="831" t="str">
        <f>IFERROR(__xludf.DUMMYFUNCTION("iferror(IF(
  IFNA(
    FILTER(
      IMPORTRANGE($F$8,""'Sensitivity [""&amp;IF(I$3="""",I$2,I$2&amp;"", ""&amp;I$3)&amp;""]'!E1:E20""),
      IMPORTRANGE($F$8,""'Sensitivity [""&amp;IF(I$3="""",I$2,I$2&amp;"", ""&amp;I$3)&amp;""]'!A1:A20"")=$E11
    ),
    """"
  ) = """",
  ""-"",
  "&amp;"I$5 * ( 1 +
    IFNA(
      FILTER(
        IMPORTRANGE($F$8,""'Sensitivity [""&amp;IF(I$3="""",I$2,I$2&amp;"", ""&amp;I$3)&amp;""]'!E1:E20""),
        IMPORTRANGE($F$8,""'Sensitivity [""&amp;IF(I$3="""",I$2,I$2&amp;"", ""&amp;I$3)&amp;""]'!A1:A20"")=$E11
      ),
      """"
    )
  )
)"&amp;", ""-"")
"),"-")</f>
        <v>-</v>
      </c>
      <c r="L11" s="832" t="str">
        <f>IFERROR(__xludf.DUMMYFUNCTION("Iferror(IF(
  IFNA(
    FILTER(
      IMPORTRANGE($F$8,""'Sensitivity [""&amp;IF(L$3="""",L$2,L$2&amp;"", ""&amp;L$3)&amp;""]'!D1:D20""),
      IMPORTRANGE($F$8,""'Sensitivity [""&amp;IF(L$3="""",L$2,L$2&amp;"", ""&amp;L$3)&amp;""]'!A1:A20"")=$E11
    ),
    """"
  ) = """",
  ""-"",
  "&amp;"L$5 * ( 1 +
    IFNA(
      FILTER(
        IMPORTRANGE($F$8,""'Sensitivity [""&amp;IF(L$3="""",L$2,L$2&amp;"", ""&amp;L$3)&amp;""]'!D1:D20""),
        IMPORTRANGE($F$8,""'Sensitivity [""&amp;IF(L$3="""",L$2,L$2&amp;"", ""&amp;L$3)&amp;""]'!A1:A20"")=$E11
      ),
      """"
    )
  )
)"&amp;", ""-"")
"),"-")</f>
        <v>-</v>
      </c>
      <c r="M11" s="843" t="s">
        <v>124</v>
      </c>
      <c r="N11" s="835" t="str">
        <f>IFERROR(__xludf.DUMMYFUNCTION("iferror(IF(
  IFNA(
    FILTER(
      IMPORTRANGE($F$8,""'Sensitivity [""&amp;IF(L$3="""",L$2,L$2&amp;"", ""&amp;L$3)&amp;""]'!E1:E20""),
      IMPORTRANGE($F$8,""'Sensitivity [""&amp;IF(L$3="""",L$2,L$2&amp;"", ""&amp;L$3)&amp;""]'!A1:A20"")=$E11
    ),
    """"
  ) = """",
  ""-"",
  "&amp;"L$5 * ( 1 +
    IFNA(
      FILTER(
        IMPORTRANGE($F$8,""'Sensitivity [""&amp;IF(L$3="""",L$2,L$2&amp;"", ""&amp;L$3)&amp;""]'!E1:E20""),
        IMPORTRANGE($F$8,""'Sensitivity [""&amp;IF(L$3="""",L$2,L$2&amp;"", ""&amp;L$3)&amp;""]'!A1:A20"")=$E11
      ),
      """"
    )
  )
)"&amp;", ""-"")
"),"-")</f>
        <v>-</v>
      </c>
      <c r="O11" s="832" t="str">
        <f>IFERROR(__xludf.DUMMYFUNCTION("Iferror(IF(
  IFNA(
    FILTER(
      IMPORTRANGE($F$8,""'Sensitivity [""&amp;IF(O$3="""",O$2,O$2&amp;"", ""&amp;O$3)&amp;""]'!D1:D20""),
      IMPORTRANGE($F$8,""'Sensitivity [""&amp;IF(O$3="""",O$2,O$2&amp;"", ""&amp;O$3)&amp;""]'!A1:A20"")=$E11
    ),
    """"
  ) = """",
  ""-"",
  "&amp;"O$5 * ( 1 +
    IFNA(
      FILTER(
        IMPORTRANGE($F$8,""'Sensitivity [""&amp;IF(O$3="""",O$2,O$2&amp;"", ""&amp;O$3)&amp;""]'!D1:D20""),
        IMPORTRANGE($F$8,""'Sensitivity [""&amp;IF(O$3="""",O$2,O$2&amp;"", ""&amp;O$3)&amp;""]'!A1:A20"")=$E11
      ),
      """"
    )
  )
)"&amp;", ""-"")
"),"-")</f>
        <v>-</v>
      </c>
      <c r="P11" s="843" t="s">
        <v>124</v>
      </c>
      <c r="Q11" s="835" t="str">
        <f>IFERROR(__xludf.DUMMYFUNCTION("iferror(IF(
  IFNA(
    FILTER(
      IMPORTRANGE($F$8,""'Sensitivity [""&amp;IF(O$3="""",O$2,O$2&amp;"", ""&amp;O$3)&amp;""]'!E1:E20""),
      IMPORTRANGE($F$8,""'Sensitivity [""&amp;IF(O$3="""",O$2,O$2&amp;"", ""&amp;O$3)&amp;""]'!A1:A20"")=$E11
    ),
    """"
  ) = """",
  ""-"",
  "&amp;"O$5 * ( 1 +
    IFNA(
      FILTER(
        IMPORTRANGE($F$8,""'Sensitivity [""&amp;IF(O$3="""",O$2,O$2&amp;"", ""&amp;O$3)&amp;""]'!E1:E20""),
        IMPORTRANGE($F$8,""'Sensitivity [""&amp;IF(O$3="""",O$2,O$2&amp;"", ""&amp;O$3)&amp;""]'!A1:A20"")=$E11
      ),
      """"
    )
  )
)"&amp;", ""-"")
"),"-")</f>
        <v>-</v>
      </c>
      <c r="R11" s="832" t="str">
        <f>IFERROR(__xludf.DUMMYFUNCTION("Iferror(IF(
  IFNA(
    FILTER(
      IMPORTRANGE($F$8,""'Sensitivity [""&amp;IF(R$3="""",R$2,R$2&amp;"", ""&amp;R$3)&amp;""]'!D1:D20""),
      IMPORTRANGE($F$8,""'Sensitivity [""&amp;IF(R$3="""",R$2,R$2&amp;"", ""&amp;R$3)&amp;""]'!A1:A20"")=$E11
    ),
    """"
  ) = """",
  ""-"",
  "&amp;"R$5 * ( 1 +
    IFNA(
      FILTER(
        IMPORTRANGE($F$8,""'Sensitivity [""&amp;IF(R$3="""",R$2,R$2&amp;"", ""&amp;R$3)&amp;""]'!D1:D20""),
        IMPORTRANGE($F$8,""'Sensitivity [""&amp;IF(R$3="""",R$2,R$2&amp;"", ""&amp;R$3)&amp;""]'!A1:A20"")=$E11
      ),
      """"
    )
  )
)"&amp;", ""-"")
"),"-")</f>
        <v>-</v>
      </c>
      <c r="S11" s="843" t="s">
        <v>124</v>
      </c>
      <c r="T11" s="835" t="str">
        <f>IFERROR(__xludf.DUMMYFUNCTION("iferror(IF(
  IFNA(
    FILTER(
      IMPORTRANGE($F$8,""'Sensitivity [""&amp;IF(R$3="""",R$2,R$2&amp;"", ""&amp;R$3)&amp;""]'!E1:E20""),
      IMPORTRANGE($F$8,""'Sensitivity [""&amp;IF(R$3="""",R$2,R$2&amp;"", ""&amp;R$3)&amp;""]'!A1:A20"")=$E11
    ),
    """"
  ) = """",
  ""-"",
  "&amp;"R$5 * ( 1 +
    IFNA(
      FILTER(
        IMPORTRANGE($F$8,""'Sensitivity [""&amp;IF(R$3="""",R$2,R$2&amp;"", ""&amp;R$3)&amp;""]'!E1:E20""),
        IMPORTRANGE($F$8,""'Sensitivity [""&amp;IF(R$3="""",R$2,R$2&amp;"", ""&amp;R$3)&amp;""]'!A1:A20"")=$E11
      ),
      """"
    )
  )
)"&amp;", ""-"")
"),"-")</f>
        <v>-</v>
      </c>
      <c r="U11" s="832" t="str">
        <f>IFERROR(__xludf.DUMMYFUNCTION("Iferror(IF(
  IFNA(
    FILTER(
      IMPORTRANGE($F$8,""'Sensitivity [""&amp;IF(U$3="""",U$2,U$2&amp;"", ""&amp;U$3)&amp;""]'!D1:D20""),
      IMPORTRANGE($F$8,""'Sensitivity [""&amp;IF(U$3="""",U$2,U$2&amp;"", ""&amp;U$3)&amp;""]'!A1:A20"")=$E11
    ),
    """"
  ) = """",
  ""-"",
  "&amp;"U$5 * ( 1 +
    IFNA(
      FILTER(
        IMPORTRANGE($F$8,""'Sensitivity [""&amp;IF(U$3="""",U$2,U$2&amp;"", ""&amp;U$3)&amp;""]'!D1:D20""),
        IMPORTRANGE($F$8,""'Sensitivity [""&amp;IF(U$3="""",U$2,U$2&amp;"", ""&amp;U$3)&amp;""]'!A1:A20"")=$E11
      ),
      """"
    )
  )
)"&amp;", ""-"")
"),"-")</f>
        <v>-</v>
      </c>
      <c r="V11" s="843" t="s">
        <v>124</v>
      </c>
      <c r="W11" s="835" t="str">
        <f>IFERROR(__xludf.DUMMYFUNCTION("iferror(IF(
  IFNA(
    FILTER(
      IMPORTRANGE($F$8,""'Sensitivity [""&amp;IF(U$3="""",U$2,U$2&amp;"", ""&amp;U$3)&amp;""]'!E1:E20""),
      IMPORTRANGE($F$8,""'Sensitivity [""&amp;IF(U$3="""",U$2,U$2&amp;"", ""&amp;U$3)&amp;""]'!A1:A20"")=$E11
    ),
    """"
  ) = """",
  ""-"",
  "&amp;"U$5 * ( 1 +
    IFNA(
      FILTER(
        IMPORTRANGE($F$8,""'Sensitivity [""&amp;IF(U$3="""",U$2,U$2&amp;"", ""&amp;U$3)&amp;""]'!E1:E20""),
        IMPORTRANGE($F$8,""'Sensitivity [""&amp;IF(U$3="""",U$2,U$2&amp;"", ""&amp;U$3)&amp;""]'!A1:A20"")=$E11
      ),
      """"
    )
  )
)"&amp;", ""-"")
"),"-")</f>
        <v>-</v>
      </c>
      <c r="X11" s="832" t="str">
        <f>IFERROR(__xludf.DUMMYFUNCTION("Iferror(IF(
  IFNA(
    FILTER(
      IMPORTRANGE($F$8,""'Sensitivity [""&amp;IF(X$3="""",X$2,X$2&amp;"", ""&amp;X$3)&amp;""]'!D1:D20""),
      IMPORTRANGE($F$8,""'Sensitivity [""&amp;IF(X$3="""",X$2,X$2&amp;"", ""&amp;X$3)&amp;""]'!A1:A20"")=$E11
    ),
    """"
  ) = """",
  ""-"",
  "&amp;"X$5 * ( 1 +
    IFNA(
      FILTER(
        IMPORTRANGE($F$8,""'Sensitivity [""&amp;IF(X$3="""",X$2,X$2&amp;"", ""&amp;X$3)&amp;""]'!D1:D20""),
        IMPORTRANGE($F$8,""'Sensitivity [""&amp;IF(X$3="""",X$2,X$2&amp;"", ""&amp;X$3)&amp;""]'!A1:A20"")=$E11
      ),
      """"
    )
  )
)"&amp;", ""-"")
"),"-")</f>
        <v>-</v>
      </c>
      <c r="Y11" s="843" t="s">
        <v>124</v>
      </c>
      <c r="Z11" s="835" t="str">
        <f>IFERROR(__xludf.DUMMYFUNCTION("iferror(IF(
  IFNA(
    FILTER(
      IMPORTRANGE($F$8,""'Sensitivity [""&amp;IF(X$3="""",X$2,X$2&amp;"", ""&amp;X$3)&amp;""]'!E1:E20""),
      IMPORTRANGE($F$8,""'Sensitivity [""&amp;IF(X$3="""",X$2,X$2&amp;"", ""&amp;X$3)&amp;""]'!A1:A20"")=$E11
    ),
    """"
  ) = """",
  ""-"",
  "&amp;"X$5 * ( 1 +
    IFNA(
      FILTER(
        IMPORTRANGE($F$8,""'Sensitivity [""&amp;IF(X$3="""",X$2,X$2&amp;"", ""&amp;X$3)&amp;""]'!E1:E20""),
        IMPORTRANGE($F$8,""'Sensitivity [""&amp;IF(X$3="""",X$2,X$2&amp;"", ""&amp;X$3)&amp;""]'!A1:A20"")=$E11
      ),
      """"
    )
  )
)"&amp;", ""-"")
"),"-")</f>
        <v>-</v>
      </c>
      <c r="AA11" s="832" t="str">
        <f>IFERROR(__xludf.DUMMYFUNCTION("Iferror(IF(
  IFNA(
    FILTER(
      IMPORTRANGE($F$8,""'Sensitivity [""&amp;IF(AA$3="""",AA$2,AA$2&amp;"", ""&amp;AA$3)&amp;""]'!D1:D20""),
      IMPORTRANGE($F$8,""'Sensitivity [""&amp;IF(AA$3="""",AA$2,AA$2&amp;"", ""&amp;AA$3)&amp;""]'!A1:A20"")=$E11
    ),
    """"
  ) = """",
  "&amp;"""-"",
  AA$5 * ( 1 +
    IFNA(
      FILTER(
        IMPORTRANGE($F$8,""'Sensitivity [""&amp;IF(AA$3="""",AA$2,AA$2&amp;"", ""&amp;AA$3)&amp;""]'!D1:D20""),
        IMPORTRANGE($F$8,""'Sensitivity [""&amp;IF(AA$3="""",AA$2,AA$2&amp;"", ""&amp;AA$3)&amp;""]'!A1:A20"")=$E11
      ),
    "&amp;"  """"
    )
  )
), ""-"")
"),"-")</f>
        <v>-</v>
      </c>
      <c r="AB11" s="843" t="s">
        <v>124</v>
      </c>
      <c r="AC11" s="835" t="str">
        <f>IFERROR(__xludf.DUMMYFUNCTION("iferror(IF(
  IFNA(
    FILTER(
      IMPORTRANGE($F$8,""'Sensitivity [""&amp;IF(AA$3="""",AA$2,AA$2&amp;"", ""&amp;AA$3)&amp;""]'!E1:E20""),
      IMPORTRANGE($F$8,""'Sensitivity [""&amp;IF(AA$3="""",AA$2,AA$2&amp;"", ""&amp;AA$3)&amp;""]'!A1:A20"")=$E11
    ),
    """"
  ) = """",
  "&amp;"""-"",
  AA$5 * ( 1 +
    IFNA(
      FILTER(
        IMPORTRANGE($F$8,""'Sensitivity [""&amp;IF(AA$3="""",AA$2,AA$2&amp;"", ""&amp;AA$3)&amp;""]'!E1:E20""),
        IMPORTRANGE($F$8,""'Sensitivity [""&amp;IF(AA$3="""",AA$2,AA$2&amp;"", ""&amp;AA$3)&amp;""]'!A1:A20"")=$E11
      ),
    "&amp;"  """"
    )
  )
), ""-"")
"),"-")</f>
        <v>-</v>
      </c>
      <c r="AD11" s="832" t="str">
        <f>IFERROR(__xludf.DUMMYFUNCTION("Iferror(IF(
  IFNA(
    FILTER(
      IMPORTRANGE($F$8,""'Sensitivity [""&amp;IF(AD$3="""",AD$2,AD$2&amp;"", ""&amp;AD$3)&amp;""]'!D1:D20""),
      IMPORTRANGE($F$8,""'Sensitivity [""&amp;IF(AD$3="""",AD$2,AD$2&amp;"", ""&amp;AD$3)&amp;""]'!A1:A20"")=$E11
    ),
    """"
  ) = """",
  "&amp;"""-"",
  AD$5 * ( 1 +
    IFNA(
      FILTER(
        IMPORTRANGE($F$8,""'Sensitivity [""&amp;IF(AD$3="""",AD$2,AD$2&amp;"", ""&amp;AD$3)&amp;""]'!D1:D20""),
        IMPORTRANGE($F$8,""'Sensitivity [""&amp;IF(AD$3="""",AD$2,AD$2&amp;"", ""&amp;AD$3)&amp;""]'!A1:A20"")=$E11
      ),
    "&amp;"  """"
    )
  )
), ""-"")
"),"-")</f>
        <v>-</v>
      </c>
      <c r="AE11" s="843" t="s">
        <v>124</v>
      </c>
      <c r="AF11" s="835" t="str">
        <f>IFERROR(__xludf.DUMMYFUNCTION("iferror(IF(
  IFNA(
    FILTER(
      IMPORTRANGE($F$8,""'Sensitivity [""&amp;IF(AD$3="""",AD$2,AD$2&amp;"", ""&amp;AD$3)&amp;""]'!E1:E20""),
      IMPORTRANGE($F$8,""'Sensitivity [""&amp;IF(AD$3="""",AD$2,AD$2&amp;"", ""&amp;AD$3)&amp;""]'!A1:A20"")=$E11
    ),
    """"
  ) = """",
  "&amp;"""-"",
  AD$5 * ( 1 +
    IFNA(
      FILTER(
        IMPORTRANGE($F$8,""'Sensitivity [""&amp;IF(AD$3="""",AD$2,AD$2&amp;"", ""&amp;AD$3)&amp;""]'!E1:E20""),
        IMPORTRANGE($F$8,""'Sensitivity [""&amp;IF(AD$3="""",AD$2,AD$2&amp;"", ""&amp;AD$3)&amp;""]'!A1:A20"")=$E11
      ),
    "&amp;"  """"
    )
  )
), ""-"")
"),"-")</f>
        <v>-</v>
      </c>
      <c r="AG11" s="832" t="str">
        <f>IFERROR(__xludf.DUMMYFUNCTION("Iferror(IF(
  IFNA(
    FILTER(
      IMPORTRANGE($F$8,""'Sensitivity [""&amp;IF(AG$3="""",AG$2,AG$2&amp;"", ""&amp;AG$3)&amp;""]'!D1:D20""),
      IMPORTRANGE($F$8,""'Sensitivity [""&amp;IF(AG$3="""",AG$2,AG$2&amp;"", ""&amp;AG$3)&amp;""]'!A1:A20"")=$E11
    ),
    """"
  ) = """",
  "&amp;"""-"",
  AG$5 * ( 1 +
    IFNA(
      FILTER(
        IMPORTRANGE($F$8,""'Sensitivity [""&amp;IF(AG$3="""",AG$2,AG$2&amp;"", ""&amp;AG$3)&amp;""]'!D1:D20""),
        IMPORTRANGE($F$8,""'Sensitivity [""&amp;IF(AG$3="""",AG$2,AG$2&amp;"", ""&amp;AG$3)&amp;""]'!A1:A20"")=$E11
      ),
    "&amp;"  """"
    )
  )
), ""-"")
"),"-")</f>
        <v>-</v>
      </c>
      <c r="AH11" s="843" t="s">
        <v>124</v>
      </c>
      <c r="AI11" s="835" t="str">
        <f>IFERROR(__xludf.DUMMYFUNCTION("iferror(IF(
  IFNA(
    FILTER(
      IMPORTRANGE($F$8,""'Sensitivity [""&amp;IF(AG$3="""",AG$2,AG$2&amp;"", ""&amp;AG$3)&amp;""]'!E1:E20""),
      IMPORTRANGE($F$8,""'Sensitivity [""&amp;IF(AG$3="""",AG$2,AG$2&amp;"", ""&amp;AG$3)&amp;""]'!A1:A20"")=$E11
    ),
    """"
  ) = """",
  "&amp;"""-"",
  AG$5 * ( 1 +
    IFNA(
      FILTER(
        IMPORTRANGE($F$8,""'Sensitivity [""&amp;IF(AG$3="""",AG$2,AG$2&amp;"", ""&amp;AG$3)&amp;""]'!E1:E20""),
        IMPORTRANGE($F$8,""'Sensitivity [""&amp;IF(AG$3="""",AG$2,AG$2&amp;"", ""&amp;AG$3)&amp;""]'!A1:A20"")=$E11
      ),
    "&amp;"  """"
    )
  )
), ""-"")
"),"-")</f>
        <v>-</v>
      </c>
      <c r="AJ11" s="832" t="str">
        <f>IFERROR(__xludf.DUMMYFUNCTION("Iferror(IF(
  IFNA(
    FILTER(
      IMPORTRANGE($F$8,""'Sensitivity [""&amp;IF(AJ$3="""",AJ$2,AJ$2&amp;"", ""&amp;AJ$3)&amp;""]'!D1:D20""),
      IMPORTRANGE($F$8,""'Sensitivity [""&amp;IF(AJ$3="""",AJ$2,AJ$2&amp;"", ""&amp;AJ$3)&amp;""]'!A1:A20"")=$E11
    ),
    """"
  ) = """",
  "&amp;"""-"",
  AJ$5 * ( 1 +
    IFNA(
      FILTER(
        IMPORTRANGE($F$8,""'Sensitivity [""&amp;IF(AJ$3="""",AJ$2,AJ$2&amp;"", ""&amp;AJ$3)&amp;""]'!D1:D20""),
        IMPORTRANGE($F$8,""'Sensitivity [""&amp;IF(AJ$3="""",AJ$2,AJ$2&amp;"", ""&amp;AJ$3)&amp;""]'!A1:A20"")=$E11
      ),
    "&amp;"  """"
    )
  )
), ""-"")
"),"-")</f>
        <v>-</v>
      </c>
      <c r="AK11" s="843" t="s">
        <v>124</v>
      </c>
      <c r="AL11" s="835" t="str">
        <f>IFERROR(__xludf.DUMMYFUNCTION("iferror(IF(
  IFNA(
    FILTER(
      IMPORTRANGE($F$8,""'Sensitivity [""&amp;IF(AJ$3="""",AJ$2,AJ$2&amp;"", ""&amp;AJ$3)&amp;""]'!E1:E20""),
      IMPORTRANGE($F$8,""'Sensitivity [""&amp;IF(AJ$3="""",AJ$2,AJ$2&amp;"", ""&amp;AJ$3)&amp;""]'!A1:A20"")=$E11
    ),
    """"
  ) = """",
  "&amp;"""-"",
  AJ$5 * ( 1 +
    IFNA(
      FILTER(
        IMPORTRANGE($F$8,""'Sensitivity [""&amp;IF(AJ$3="""",AJ$2,AJ$2&amp;"", ""&amp;AJ$3)&amp;""]'!E1:E20""),
        IMPORTRANGE($F$8,""'Sensitivity [""&amp;IF(AJ$3="""",AJ$2,AJ$2&amp;"", ""&amp;AJ$3)&amp;""]'!A1:A20"")=$E11
      ),
    "&amp;"  """"
    )
  )
), ""-"")
"),"-")</f>
        <v>-</v>
      </c>
      <c r="AM11" s="832" t="str">
        <f>IFERROR(__xludf.DUMMYFUNCTION("Iferror(IF(
  IFNA(
    FILTER(
      IMPORTRANGE($F$8,""'Sensitivity [""&amp;IF(AM$3="""",AM$2,AM$2&amp;"", ""&amp;AM$3)&amp;""]'!D1:D20""),
      IMPORTRANGE($F$8,""'Sensitivity [""&amp;IF(AM$3="""",AM$2,AM$2&amp;"", ""&amp;AM$3)&amp;""]'!A1:A20"")=$E11
    ),
    """"
  ) = """",
  "&amp;"""-"",
  AM$5 * ( 1 +
    IFNA(
      FILTER(
        IMPORTRANGE($F$8,""'Sensitivity [""&amp;IF(AM$3="""",AM$2,AM$2&amp;"", ""&amp;AM$3)&amp;""]'!D1:D20""),
        IMPORTRANGE($F$8,""'Sensitivity [""&amp;IF(AM$3="""",AM$2,AM$2&amp;"", ""&amp;AM$3)&amp;""]'!A1:A20"")=$E11
      ),
    "&amp;"  """"
    )
  )
), ""-"")
"),"-")</f>
        <v>-</v>
      </c>
      <c r="AN11" s="843" t="s">
        <v>124</v>
      </c>
      <c r="AO11" s="835" t="str">
        <f>IFERROR(__xludf.DUMMYFUNCTION("iferror(IF(
  IFNA(
    FILTER(
      IMPORTRANGE($F$8,""'Sensitivity [""&amp;IF(AM$3="""",AM$2,AM$2&amp;"", ""&amp;AM$3)&amp;""]'!E1:E20""),
      IMPORTRANGE($F$8,""'Sensitivity [""&amp;IF(AM$3="""",AM$2,AM$2&amp;"", ""&amp;AM$3)&amp;""]'!A1:A20"")=$E11
    ),
    """"
  ) = """",
  "&amp;"""-"",
  AM$5 * ( 1 +
    IFNA(
      FILTER(
        IMPORTRANGE($F$8,""'Sensitivity [""&amp;IF(AM$3="""",AM$2,AM$2&amp;"", ""&amp;AM$3)&amp;""]'!E1:E20""),
        IMPORTRANGE($F$8,""'Sensitivity [""&amp;IF(AM$3="""",AM$2,AM$2&amp;"", ""&amp;AM$3)&amp;""]'!A1:A20"")=$E11
      ),
    "&amp;"  """"
    )
  )
), ""-"")
"),"-")</f>
        <v>-</v>
      </c>
      <c r="AP11" s="832" t="str">
        <f>IFERROR(__xludf.DUMMYFUNCTION("Iferror(IF(
  IFNA(
    FILTER(
      IMPORTRANGE($F$8,""'Sensitivity [""&amp;IF(AP$3="""",AP$2,AP$2&amp;"", ""&amp;AP$3)&amp;""]'!D1:D20""),
      IMPORTRANGE($F$8,""'Sensitivity [""&amp;IF(AP$3="""",AP$2,AP$2&amp;"", ""&amp;AP$3)&amp;""]'!A1:A20"")=$E11
    ),
    """"
  ) = """",
  "&amp;"""-"",
  AP$5 * ( 1 +
    IFNA(
      FILTER(
        IMPORTRANGE($F$8,""'Sensitivity [""&amp;IF(AP$3="""",AP$2,AP$2&amp;"", ""&amp;AP$3)&amp;""]'!D1:D20""),
        IMPORTRANGE($F$8,""'Sensitivity [""&amp;IF(AP$3="""",AP$2,AP$2&amp;"", ""&amp;AP$3)&amp;""]'!A1:A20"")=$E11
      ),
    "&amp;"  """"
    )
  )
), ""-"")
"),"-")</f>
        <v>-</v>
      </c>
      <c r="AQ11" s="843" t="s">
        <v>124</v>
      </c>
      <c r="AR11" s="835" t="str">
        <f>IFERROR(__xludf.DUMMYFUNCTION("iferror(IF(
  IFNA(
    FILTER(
      IMPORTRANGE($F$8,""'Sensitivity [""&amp;IF(AP$3="""",AP$2,AP$2&amp;"", ""&amp;AP$3)&amp;""]'!E1:E20""),
      IMPORTRANGE($F$8,""'Sensitivity [""&amp;IF(AP$3="""",AP$2,AP$2&amp;"", ""&amp;AP$3)&amp;""]'!A1:A20"")=$E11
    ),
    """"
  ) = """",
  "&amp;"""-"",
  AP$5 * ( 1 +
    IFNA(
      FILTER(
        IMPORTRANGE($F$8,""'Sensitivity [""&amp;IF(AP$3="""",AP$2,AP$2&amp;"", ""&amp;AP$3)&amp;""]'!E1:E20""),
        IMPORTRANGE($F$8,""'Sensitivity [""&amp;IF(AP$3="""",AP$2,AP$2&amp;"", ""&amp;AP$3)&amp;""]'!A1:A20"")=$E11
      ),
    "&amp;"  """"
    )
  )
), ""-"")
"),"-")</f>
        <v>-</v>
      </c>
      <c r="AS11" s="832" t="str">
        <f>IFERROR(__xludf.DUMMYFUNCTION("Iferror(IF(
  IFNA(
    FILTER(
      IMPORTRANGE($F$8,""'Sensitivity [""&amp;IF(AS$3="""",AS$2,AS$2&amp;"", ""&amp;AS$3)&amp;""]'!D1:D20""),
      IMPORTRANGE($F$8,""'Sensitivity [""&amp;IF(AS$3="""",AS$2,AS$2&amp;"", ""&amp;AS$3)&amp;""]'!A1:A20"")=$E11
    ),
    """"
  ) = """",
  "&amp;"""-"",
  AS$5 * ( 1 +
    IFNA(
      FILTER(
        IMPORTRANGE($F$8,""'Sensitivity [""&amp;IF(AS$3="""",AS$2,AS$2&amp;"", ""&amp;AS$3)&amp;""]'!D1:D20""),
        IMPORTRANGE($F$8,""'Sensitivity [""&amp;IF(AS$3="""",AS$2,AS$2&amp;"", ""&amp;AS$3)&amp;""]'!A1:A20"")=$E11
      ),
    "&amp;"  """"
    )
  )
), ""-"")
"),"-")</f>
        <v>-</v>
      </c>
      <c r="AT11" s="843" t="s">
        <v>124</v>
      </c>
      <c r="AU11" s="835" t="str">
        <f>IFERROR(__xludf.DUMMYFUNCTION("iferror(IF(
  IFNA(
    FILTER(
      IMPORTRANGE($F$8,""'Sensitivity [""&amp;IF(AS$3="""",AS$2,AS$2&amp;"", ""&amp;AS$3)&amp;""]'!E1:E20""),
      IMPORTRANGE($F$8,""'Sensitivity [""&amp;IF(AS$3="""",AS$2,AS$2&amp;"", ""&amp;AS$3)&amp;""]'!A1:A20"")=$E11
    ),
    """"
  ) = """",
  "&amp;"""-"",
  AS$5 * ( 1 +
    IFNA(
      FILTER(
        IMPORTRANGE($F$8,""'Sensitivity [""&amp;IF(AS$3="""",AS$2,AS$2&amp;"", ""&amp;AS$3)&amp;""]'!E1:E20""),
        IMPORTRANGE($F$8,""'Sensitivity [""&amp;IF(AS$3="""",AS$2,AS$2&amp;"", ""&amp;AS$3)&amp;""]'!A1:A20"")=$E11
      ),
    "&amp;"  """"
    )
  )
), ""-"")
"),"-")</f>
        <v>-</v>
      </c>
      <c r="AV11" s="832" t="str">
        <f>IFERROR(__xludf.DUMMYFUNCTION("Iferror(IF(
  IFNA(
    FILTER(
      IMPORTRANGE($F$8,""'Sensitivity [""&amp;IF(AV$3="""",AV$2,AV$2&amp;"", ""&amp;AV$3)&amp;""]'!D1:D20""),
      IMPORTRANGE($F$8,""'Sensitivity [""&amp;IF(AV$3="""",AV$2,AV$2&amp;"", ""&amp;AV$3)&amp;""]'!A1:A20"")=$E11
    ),
    """"
  ) = """",
  "&amp;"""-"",
  AV$5 * ( 1 +
    IFNA(
      FILTER(
        IMPORTRANGE($F$8,""'Sensitivity [""&amp;IF(AV$3="""",AV$2,AV$2&amp;"", ""&amp;AV$3)&amp;""]'!D1:D20""),
        IMPORTRANGE($F$8,""'Sensitivity [""&amp;IF(AV$3="""",AV$2,AV$2&amp;"", ""&amp;AV$3)&amp;""]'!A1:A20"")=$E11
      ),
    "&amp;"  """"
    )
  )
), ""-"")
"),"-")</f>
        <v>-</v>
      </c>
      <c r="AW11" s="843" t="s">
        <v>124</v>
      </c>
      <c r="AX11" s="835" t="str">
        <f>IFERROR(__xludf.DUMMYFUNCTION("iferror(IF(
  IFNA(
    FILTER(
      IMPORTRANGE($F$8,""'Sensitivity [""&amp;IF(AV$3="""",AV$2,AV$2&amp;"", ""&amp;AV$3)&amp;""]'!E1:E20""),
      IMPORTRANGE($F$8,""'Sensitivity [""&amp;IF(AV$3="""",AV$2,AV$2&amp;"", ""&amp;AV$3)&amp;""]'!A1:A20"")=$E11
    ),
    """"
  ) = """",
  "&amp;"""-"",
  AV$5 * ( 1 +
    IFNA(
      FILTER(
        IMPORTRANGE($F$8,""'Sensitivity [""&amp;IF(AV$3="""",AV$2,AV$2&amp;"", ""&amp;AV$3)&amp;""]'!E1:E20""),
        IMPORTRANGE($F$8,""'Sensitivity [""&amp;IF(AV$3="""",AV$2,AV$2&amp;"", ""&amp;AV$3)&amp;""]'!A1:A20"")=$E11
      ),
    "&amp;"  """"
    )
  )
), ""-"")
"),"-")</f>
        <v>-</v>
      </c>
      <c r="AY11" s="832" t="str">
        <f>IFERROR(__xludf.DUMMYFUNCTION("Iferror(IF(
  IFNA(
    FILTER(
      IMPORTRANGE($F$8,""'Sensitivity [""&amp;IF(AY$3="""",AY$2,AY$2&amp;"", ""&amp;AY$3)&amp;""]'!D1:D20""),
      IMPORTRANGE($F$8,""'Sensitivity [""&amp;IF(AY$3="""",AY$2,AY$2&amp;"", ""&amp;AY$3)&amp;""]'!A1:A20"")=$E11
    ),
    """"
  ) = """",
  "&amp;"""-"",
  AY$5 * ( 1 +
    IFNA(
      FILTER(
        IMPORTRANGE($F$8,""'Sensitivity [""&amp;IF(AY$3="""",AY$2,AY$2&amp;"", ""&amp;AY$3)&amp;""]'!D1:D20""),
        IMPORTRANGE($F$8,""'Sensitivity [""&amp;IF(AY$3="""",AY$2,AY$2&amp;"", ""&amp;AY$3)&amp;""]'!A1:A20"")=$E11
      ),
    "&amp;"  """"
    )
  )
), ""-"")
"),"-")</f>
        <v>-</v>
      </c>
      <c r="AZ11" s="843" t="s">
        <v>124</v>
      </c>
      <c r="BA11" s="835" t="str">
        <f>IFERROR(__xludf.DUMMYFUNCTION("iferror(IF(
  IFNA(
    FILTER(
      IMPORTRANGE($F$8,""'Sensitivity [""&amp;IF(AY$3="""",AY$2,AY$2&amp;"", ""&amp;AY$3)&amp;""]'!E1:E20""),
      IMPORTRANGE($F$8,""'Sensitivity [""&amp;IF(AY$3="""",AY$2,AY$2&amp;"", ""&amp;AY$3)&amp;""]'!A1:A20"")=$E11
    ),
    """"
  ) = """",
  "&amp;"""-"",
  AY$5 * ( 1 +
    IFNA(
      FILTER(
        IMPORTRANGE($F$8,""'Sensitivity [""&amp;IF(AY$3="""",AY$2,AY$2&amp;"", ""&amp;AY$3)&amp;""]'!E1:E20""),
        IMPORTRANGE($F$8,""'Sensitivity [""&amp;IF(AY$3="""",AY$2,AY$2&amp;"", ""&amp;AY$3)&amp;""]'!A1:A20"")=$E11
      ),
    "&amp;"  """"
    )
  )
), ""-"")
"),"-")</f>
        <v>-</v>
      </c>
      <c r="BB11" s="832" t="str">
        <f>IFERROR(__xludf.DUMMYFUNCTION("Iferror(IF(
  IFNA(
    FILTER(
      IMPORTRANGE($F$8,""'Sensitivity [""&amp;IF(BB$3="""",BB$2,BB$2&amp;"", ""&amp;BB$3)&amp;""]'!D1:D20""),
      IMPORTRANGE($F$8,""'Sensitivity [""&amp;IF(BB$3="""",BB$2,BB$2&amp;"", ""&amp;BB$3)&amp;""]'!A1:A20"")=$E11
    ),
    """"
  ) = """",
  "&amp;"""-"",
  BB$5 * ( 1 +
    IFNA(
      FILTER(
        IMPORTRANGE($F$8,""'Sensitivity [""&amp;IF(BB$3="""",BB$2,BB$2&amp;"", ""&amp;BB$3)&amp;""]'!D1:D20""),
        IMPORTRANGE($F$8,""'Sensitivity [""&amp;IF(BB$3="""",BB$2,BB$2&amp;"", ""&amp;BB$3)&amp;""]'!A1:A20"")=$E11
      ),
    "&amp;"  """"
    )
  )
), ""-"")
"),"-")</f>
        <v>-</v>
      </c>
      <c r="BC11" s="843" t="s">
        <v>124</v>
      </c>
      <c r="BD11" s="835" t="str">
        <f>IFERROR(__xludf.DUMMYFUNCTION("iferror(IF(
  IFNA(
    FILTER(
      IMPORTRANGE($F$8,""'Sensitivity [""&amp;IF(BB$3="""",BB$2,BB$2&amp;"", ""&amp;BB$3)&amp;""]'!E1:E20""),
      IMPORTRANGE($F$8,""'Sensitivity [""&amp;IF(BB$3="""",BB$2,BB$2&amp;"", ""&amp;BB$3)&amp;""]'!A1:A20"")=$E11
    ),
    """"
  ) = """",
  "&amp;"""-"",
  BB$5 * ( 1 +
    IFNA(
      FILTER(
        IMPORTRANGE($F$8,""'Sensitivity [""&amp;IF(BB$3="""",BB$2,BB$2&amp;"", ""&amp;BB$3)&amp;""]'!E1:E20""),
        IMPORTRANGE($F$8,""'Sensitivity [""&amp;IF(BB$3="""",BB$2,BB$2&amp;"", ""&amp;BB$3)&amp;""]'!A1:A20"")=$E11
      ),
    "&amp;"  """"
    )
  )
), ""-"")
"),"-")</f>
        <v>-</v>
      </c>
      <c r="BE11" s="832" t="str">
        <f>IFERROR(__xludf.DUMMYFUNCTION("Iferror(IF(
  IFNA(
    FILTER(
      IMPORTRANGE($F$8,""'Sensitivity [""&amp;IF(BE$3="""",BE$2,BE$2&amp;"", ""&amp;BE$3)&amp;""]'!D1:D20""),
      IMPORTRANGE($F$8,""'Sensitivity [""&amp;IF(BE$3="""",BE$2,BE$2&amp;"", ""&amp;BE$3)&amp;""]'!A1:A20"")=$E11
    ),
    """"
  ) = """",
  "&amp;"""-"",
  BE$5 * ( 1 +
    IFNA(
      FILTER(
        IMPORTRANGE($F$8,""'Sensitivity [""&amp;IF(BE$3="""",BE$2,BE$2&amp;"", ""&amp;BE$3)&amp;""]'!D1:D20""),
        IMPORTRANGE($F$8,""'Sensitivity [""&amp;IF(BE$3="""",BE$2,BE$2&amp;"", ""&amp;BE$3)&amp;""]'!A1:A20"")=$E11
      ),
    "&amp;"  """"
    )
  )
), ""-"")
"),"-")</f>
        <v>-</v>
      </c>
      <c r="BF11" s="843" t="s">
        <v>124</v>
      </c>
      <c r="BG11" s="835" t="str">
        <f>IFERROR(__xludf.DUMMYFUNCTION("iferror(IF(
  IFNA(
    FILTER(
      IMPORTRANGE($F$8,""'Sensitivity [""&amp;IF(BE$3="""",BE$2,BE$2&amp;"", ""&amp;BE$3)&amp;""]'!E1:E20""),
      IMPORTRANGE($F$8,""'Sensitivity [""&amp;IF(BE$3="""",BE$2,BE$2&amp;"", ""&amp;BE$3)&amp;""]'!A1:A20"")=$E11
    ),
    """"
  ) = """",
  "&amp;"""-"",
  BE$5 * ( 1 +
    IFNA(
      FILTER(
        IMPORTRANGE($F$8,""'Sensitivity [""&amp;IF(BE$3="""",BE$2,BE$2&amp;"", ""&amp;BE$3)&amp;""]'!E1:E20""),
        IMPORTRANGE($F$8,""'Sensitivity [""&amp;IF(BE$3="""",BE$2,BE$2&amp;"", ""&amp;BE$3)&amp;""]'!A1:A20"")=$E11
      ),
    "&amp;"  """"
    )
  )
), ""-"")
"),"-")</f>
        <v>-</v>
      </c>
      <c r="BH11" s="861"/>
    </row>
    <row r="12">
      <c r="A12" s="219"/>
      <c r="B12" s="220"/>
      <c r="C12" s="400"/>
      <c r="D12" s="400"/>
      <c r="E12" s="616" t="str">
        <f t="shared" si="1"/>
        <v>Malaria-attributable mortality rate among people under age five</v>
      </c>
      <c r="F12" s="830">
        <f>IFERROR(__xludf.DUMMYFUNCTION("Iferror(IF(
  IFNA(
    FILTER(
      IMPORTRANGE($F$8,""'Sensitivity [""&amp;IF(F$3="""",F$2,F$2&amp;"", ""&amp;F$3)&amp;""]'!D1:D20""),
      IMPORTRANGE($F$8,""'Sensitivity [""&amp;IF(F$3="""",F$2,F$2&amp;"", ""&amp;F$3)&amp;""]'!A1:A20"")=$E12
    ),
    """"
  ) = """",
  ""-"",
  "&amp;"F$5 * ( 1 +
    IFNA(
      FILTER(
        IMPORTRANGE($F$8,""'Sensitivity [""&amp;IF(F$3="""",F$2,F$2&amp;"", ""&amp;F$3)&amp;""]'!D1:D20""),
        IMPORTRANGE($F$8,""'Sensitivity [""&amp;IF(F$3="""",F$2,F$2&amp;"", ""&amp;F$3)&amp;""]'!A1:A20"")=$E12
      ),
      """"
    )
  )
)"&amp;", ""-"")
"),8.299166912533927)</f>
        <v>8.299166913</v>
      </c>
      <c r="G12" s="842" t="s">
        <v>124</v>
      </c>
      <c r="H12" s="831">
        <f>IFERROR(__xludf.DUMMYFUNCTION("iferror(IF(
  IFNA(
    FILTER(
      IMPORTRANGE($F$8,""'Sensitivity [""&amp;IF(F$3="""",F$2,F$2&amp;"", ""&amp;F$3)&amp;""]'!E1:E20""),
      IMPORTRANGE($F$8,""'Sensitivity [""&amp;IF(F$3="""",F$2,F$2&amp;"", ""&amp;F$3)&amp;""]'!A1:A20"")=$E12
    ),
    """"
  ) = """",
  ""-"",
  "&amp;"F$5 * ( 1 +
    IFNA(
      FILTER(
        IMPORTRANGE($F$8,""'Sensitivity [""&amp;IF(F$3="""",F$2,F$2&amp;"", ""&amp;F$3)&amp;""]'!E1:E20""),
        IMPORTRANGE($F$8,""'Sensitivity [""&amp;IF(F$3="""",F$2,F$2&amp;"", ""&amp;F$3)&amp;""]'!A1:A20"")=$E12
      ),
      """"
    )
  )
)"&amp;", ""-"")
"),25.432930860991192)</f>
        <v>25.43293086</v>
      </c>
      <c r="I12" s="830">
        <f>IFERROR(__xludf.DUMMYFUNCTION("Iferror(IF(
  IFNA(
    FILTER(
      IMPORTRANGE($F$8,""'Sensitivity [""&amp;IF(I$3="""",I$2,I$2&amp;"", ""&amp;I$3)&amp;""]'!D1:D20""),
      IMPORTRANGE($F$8,""'Sensitivity [""&amp;IF(I$3="""",I$2,I$2&amp;"", ""&amp;I$3)&amp;""]'!A1:A20"")=$E12
    ),
    """"
  ) = """",
  ""-"",
  "&amp;"I$5 * ( 1 +
    IFNA(
      FILTER(
        IMPORTRANGE($F$8,""'Sensitivity [""&amp;IF(I$3="""",I$2,I$2&amp;"", ""&amp;I$3)&amp;""]'!D1:D20""),
        IMPORTRANGE($F$8,""'Sensitivity [""&amp;IF(I$3="""",I$2,I$2&amp;"", ""&amp;I$3)&amp;""]'!A1:A20"")=$E12
      ),
      """"
    )
  )
)"&amp;", ""-"")
"),2.514699916995221)</f>
        <v>2.514699917</v>
      </c>
      <c r="J12" s="842" t="s">
        <v>124</v>
      </c>
      <c r="K12" s="831">
        <f>IFERROR(__xludf.DUMMYFUNCTION("iferror(IF(
  IFNA(
    FILTER(
      IMPORTRANGE($F$8,""'Sensitivity [""&amp;IF(I$3="""",I$2,I$2&amp;"", ""&amp;I$3)&amp;""]'!E1:E20""),
      IMPORTRANGE($F$8,""'Sensitivity [""&amp;IF(I$3="""",I$2,I$2&amp;"", ""&amp;I$3)&amp;""]'!A1:A20"")=$E12
    ),
    """"
  ) = """",
  ""-"",
  "&amp;"I$5 * ( 1 +
    IFNA(
      FILTER(
        IMPORTRANGE($F$8,""'Sensitivity [""&amp;IF(I$3="""",I$2,I$2&amp;"", ""&amp;I$3)&amp;""]'!E1:E20""),
        IMPORTRANGE($F$8,""'Sensitivity [""&amp;IF(I$3="""",I$2,I$2&amp;"", ""&amp;I$3)&amp;""]'!A1:A20"")=$E12
      ),
      """"
    )
  )
)"&amp;", ""-"")
"),12.57349958497607)</f>
        <v>12.57349958</v>
      </c>
      <c r="L12" s="832" t="str">
        <f>IFERROR(__xludf.DUMMYFUNCTION("Iferror(IF(
  IFNA(
    FILTER(
      IMPORTRANGE($F$8,""'Sensitivity [""&amp;IF(L$3="""",L$2,L$2&amp;"", ""&amp;L$3)&amp;""]'!D1:D20""),
      IMPORTRANGE($F$8,""'Sensitivity [""&amp;IF(L$3="""",L$2,L$2&amp;"", ""&amp;L$3)&amp;""]'!A1:A20"")=$E12
    ),
    """"
  ) = """",
  ""-"",
  "&amp;"L$5 * ( 1 +
    IFNA(
      FILTER(
        IMPORTRANGE($F$8,""'Sensitivity [""&amp;IF(L$3="""",L$2,L$2&amp;"", ""&amp;L$3)&amp;""]'!D1:D20""),
        IMPORTRANGE($F$8,""'Sensitivity [""&amp;IF(L$3="""",L$2,L$2&amp;"", ""&amp;L$3)&amp;""]'!A1:A20"")=$E12
      ),
      """"
    )
  )
)"&amp;", ""-"")
"),"-")</f>
        <v>-</v>
      </c>
      <c r="M12" s="843" t="s">
        <v>124</v>
      </c>
      <c r="N12" s="835" t="str">
        <f>IFERROR(__xludf.DUMMYFUNCTION("iferror(IF(
  IFNA(
    FILTER(
      IMPORTRANGE($F$8,""'Sensitivity [""&amp;IF(L$3="""",L$2,L$2&amp;"", ""&amp;L$3)&amp;""]'!E1:E20""),
      IMPORTRANGE($F$8,""'Sensitivity [""&amp;IF(L$3="""",L$2,L$2&amp;"", ""&amp;L$3)&amp;""]'!A1:A20"")=$E12
    ),
    """"
  ) = """",
  ""-"",
  "&amp;"L$5 * ( 1 +
    IFNA(
      FILTER(
        IMPORTRANGE($F$8,""'Sensitivity [""&amp;IF(L$3="""",L$2,L$2&amp;"", ""&amp;L$3)&amp;""]'!E1:E20""),
        IMPORTRANGE($F$8,""'Sensitivity [""&amp;IF(L$3="""",L$2,L$2&amp;"", ""&amp;L$3)&amp;""]'!A1:A20"")=$E12
      ),
      """"
    )
  )
)"&amp;", ""-"")
"),"-")</f>
        <v>-</v>
      </c>
      <c r="O12" s="832" t="str">
        <f>IFERROR(__xludf.DUMMYFUNCTION("Iferror(IF(
  IFNA(
    FILTER(
      IMPORTRANGE($F$8,""'Sensitivity [""&amp;IF(O$3="""",O$2,O$2&amp;"", ""&amp;O$3)&amp;""]'!D1:D20""),
      IMPORTRANGE($F$8,""'Sensitivity [""&amp;IF(O$3="""",O$2,O$2&amp;"", ""&amp;O$3)&amp;""]'!A1:A20"")=$E12
    ),
    """"
  ) = """",
  ""-"",
  "&amp;"O$5 * ( 1 +
    IFNA(
      FILTER(
        IMPORTRANGE($F$8,""'Sensitivity [""&amp;IF(O$3="""",O$2,O$2&amp;"", ""&amp;O$3)&amp;""]'!D1:D20""),
        IMPORTRANGE($F$8,""'Sensitivity [""&amp;IF(O$3="""",O$2,O$2&amp;"", ""&amp;O$3)&amp;""]'!A1:A20"")=$E12
      ),
      """"
    )
  )
)"&amp;", ""-"")
"),"-")</f>
        <v>-</v>
      </c>
      <c r="P12" s="843" t="s">
        <v>124</v>
      </c>
      <c r="Q12" s="835" t="str">
        <f>IFERROR(__xludf.DUMMYFUNCTION("iferror(IF(
  IFNA(
    FILTER(
      IMPORTRANGE($F$8,""'Sensitivity [""&amp;IF(O$3="""",O$2,O$2&amp;"", ""&amp;O$3)&amp;""]'!E1:E20""),
      IMPORTRANGE($F$8,""'Sensitivity [""&amp;IF(O$3="""",O$2,O$2&amp;"", ""&amp;O$3)&amp;""]'!A1:A20"")=$E12
    ),
    """"
  ) = """",
  ""-"",
  "&amp;"O$5 * ( 1 +
    IFNA(
      FILTER(
        IMPORTRANGE($F$8,""'Sensitivity [""&amp;IF(O$3="""",O$2,O$2&amp;"", ""&amp;O$3)&amp;""]'!E1:E20""),
        IMPORTRANGE($F$8,""'Sensitivity [""&amp;IF(O$3="""",O$2,O$2&amp;"", ""&amp;O$3)&amp;""]'!A1:A20"")=$E12
      ),
      """"
    )
  )
)"&amp;", ""-"")
"),"-")</f>
        <v>-</v>
      </c>
      <c r="R12" s="832" t="str">
        <f>IFERROR(__xludf.DUMMYFUNCTION("Iferror(IF(
  IFNA(
    FILTER(
      IMPORTRANGE($F$8,""'Sensitivity [""&amp;IF(R$3="""",R$2,R$2&amp;"", ""&amp;R$3)&amp;""]'!D1:D20""),
      IMPORTRANGE($F$8,""'Sensitivity [""&amp;IF(R$3="""",R$2,R$2&amp;"", ""&amp;R$3)&amp;""]'!A1:A20"")=$E12
    ),
    """"
  ) = """",
  ""-"",
  "&amp;"R$5 * ( 1 +
    IFNA(
      FILTER(
        IMPORTRANGE($F$8,""'Sensitivity [""&amp;IF(R$3="""",R$2,R$2&amp;"", ""&amp;R$3)&amp;""]'!D1:D20""),
        IMPORTRANGE($F$8,""'Sensitivity [""&amp;IF(R$3="""",R$2,R$2&amp;"", ""&amp;R$3)&amp;""]'!A1:A20"")=$E12
      ),
      """"
    )
  )
)"&amp;", ""-"")
"),"-")</f>
        <v>-</v>
      </c>
      <c r="S12" s="843" t="s">
        <v>124</v>
      </c>
      <c r="T12" s="835" t="str">
        <f>IFERROR(__xludf.DUMMYFUNCTION("iferror(IF(
  IFNA(
    FILTER(
      IMPORTRANGE($F$8,""'Sensitivity [""&amp;IF(R$3="""",R$2,R$2&amp;"", ""&amp;R$3)&amp;""]'!E1:E20""),
      IMPORTRANGE($F$8,""'Sensitivity [""&amp;IF(R$3="""",R$2,R$2&amp;"", ""&amp;R$3)&amp;""]'!A1:A20"")=$E12
    ),
    """"
  ) = """",
  ""-"",
  "&amp;"R$5 * ( 1 +
    IFNA(
      FILTER(
        IMPORTRANGE($F$8,""'Sensitivity [""&amp;IF(R$3="""",R$2,R$2&amp;"", ""&amp;R$3)&amp;""]'!E1:E20""),
        IMPORTRANGE($F$8,""'Sensitivity [""&amp;IF(R$3="""",R$2,R$2&amp;"", ""&amp;R$3)&amp;""]'!A1:A20"")=$E12
      ),
      """"
    )
  )
)"&amp;", ""-"")
"),"-")</f>
        <v>-</v>
      </c>
      <c r="U12" s="832" t="str">
        <f>IFERROR(__xludf.DUMMYFUNCTION("Iferror(IF(
  IFNA(
    FILTER(
      IMPORTRANGE($F$8,""'Sensitivity [""&amp;IF(U$3="""",U$2,U$2&amp;"", ""&amp;U$3)&amp;""]'!D1:D20""),
      IMPORTRANGE($F$8,""'Sensitivity [""&amp;IF(U$3="""",U$2,U$2&amp;"", ""&amp;U$3)&amp;""]'!A1:A20"")=$E12
    ),
    """"
  ) = """",
  ""-"",
  "&amp;"U$5 * ( 1 +
    IFNA(
      FILTER(
        IMPORTRANGE($F$8,""'Sensitivity [""&amp;IF(U$3="""",U$2,U$2&amp;"", ""&amp;U$3)&amp;""]'!D1:D20""),
        IMPORTRANGE($F$8,""'Sensitivity [""&amp;IF(U$3="""",U$2,U$2&amp;"", ""&amp;U$3)&amp;""]'!A1:A20"")=$E12
      ),
      """"
    )
  )
)"&amp;", ""-"")
"),"-")</f>
        <v>-</v>
      </c>
      <c r="V12" s="843" t="s">
        <v>124</v>
      </c>
      <c r="W12" s="835" t="str">
        <f>IFERROR(__xludf.DUMMYFUNCTION("iferror(IF(
  IFNA(
    FILTER(
      IMPORTRANGE($F$8,""'Sensitivity [""&amp;IF(U$3="""",U$2,U$2&amp;"", ""&amp;U$3)&amp;""]'!E1:E20""),
      IMPORTRANGE($F$8,""'Sensitivity [""&amp;IF(U$3="""",U$2,U$2&amp;"", ""&amp;U$3)&amp;""]'!A1:A20"")=$E12
    ),
    """"
  ) = """",
  ""-"",
  "&amp;"U$5 * ( 1 +
    IFNA(
      FILTER(
        IMPORTRANGE($F$8,""'Sensitivity [""&amp;IF(U$3="""",U$2,U$2&amp;"", ""&amp;U$3)&amp;""]'!E1:E20""),
        IMPORTRANGE($F$8,""'Sensitivity [""&amp;IF(U$3="""",U$2,U$2&amp;"", ""&amp;U$3)&amp;""]'!A1:A20"")=$E12
      ),
      """"
    )
  )
)"&amp;", ""-"")
"),"-")</f>
        <v>-</v>
      </c>
      <c r="X12" s="832" t="str">
        <f>IFERROR(__xludf.DUMMYFUNCTION("Iferror(IF(
  IFNA(
    FILTER(
      IMPORTRANGE($F$8,""'Sensitivity [""&amp;IF(X$3="""",X$2,X$2&amp;"", ""&amp;X$3)&amp;""]'!D1:D20""),
      IMPORTRANGE($F$8,""'Sensitivity [""&amp;IF(X$3="""",X$2,X$2&amp;"", ""&amp;X$3)&amp;""]'!A1:A20"")=$E12
    ),
    """"
  ) = """",
  ""-"",
  "&amp;"X$5 * ( 1 +
    IFNA(
      FILTER(
        IMPORTRANGE($F$8,""'Sensitivity [""&amp;IF(X$3="""",X$2,X$2&amp;"", ""&amp;X$3)&amp;""]'!D1:D20""),
        IMPORTRANGE($F$8,""'Sensitivity [""&amp;IF(X$3="""",X$2,X$2&amp;"", ""&amp;X$3)&amp;""]'!A1:A20"")=$E12
      ),
      """"
    )
  )
)"&amp;", ""-"")
"),"-")</f>
        <v>-</v>
      </c>
      <c r="Y12" s="843" t="s">
        <v>124</v>
      </c>
      <c r="Z12" s="835" t="str">
        <f>IFERROR(__xludf.DUMMYFUNCTION("iferror(IF(
  IFNA(
    FILTER(
      IMPORTRANGE($F$8,""'Sensitivity [""&amp;IF(X$3="""",X$2,X$2&amp;"", ""&amp;X$3)&amp;""]'!E1:E20""),
      IMPORTRANGE($F$8,""'Sensitivity [""&amp;IF(X$3="""",X$2,X$2&amp;"", ""&amp;X$3)&amp;""]'!A1:A20"")=$E12
    ),
    """"
  ) = """",
  ""-"",
  "&amp;"X$5 * ( 1 +
    IFNA(
      FILTER(
        IMPORTRANGE($F$8,""'Sensitivity [""&amp;IF(X$3="""",X$2,X$2&amp;"", ""&amp;X$3)&amp;""]'!E1:E20""),
        IMPORTRANGE($F$8,""'Sensitivity [""&amp;IF(X$3="""",X$2,X$2&amp;"", ""&amp;X$3)&amp;""]'!A1:A20"")=$E12
      ),
      """"
    )
  )
)"&amp;", ""-"")
"),"-")</f>
        <v>-</v>
      </c>
      <c r="AA12" s="832">
        <f>IFERROR(__xludf.DUMMYFUNCTION("Iferror(IF(
  IFNA(
    FILTER(
      IMPORTRANGE($F$8,""'Sensitivity [""&amp;IF(AA$3="""",AA$2,AA$2&amp;"", ""&amp;AA$3)&amp;""]'!D1:D20""),
      IMPORTRANGE($F$8,""'Sensitivity [""&amp;IF(AA$3="""",AA$2,AA$2&amp;"", ""&amp;AA$3)&amp;""]'!A1:A20"")=$E12
    ),
    """"
  ) = """",
  "&amp;"""-"",
  AA$5 * ( 1 +
    IFNA(
      FILTER(
        IMPORTRANGE($F$8,""'Sensitivity [""&amp;IF(AA$3="""",AA$2,AA$2&amp;"", ""&amp;AA$3)&amp;""]'!D1:D20""),
        IMPORTRANGE($F$8,""'Sensitivity [""&amp;IF(AA$3="""",AA$2,AA$2&amp;"", ""&amp;AA$3)&amp;""]'!A1:A20"")=$E12
      ),
    "&amp;"  """"
    )
  )
), ""-"")
"),8.915142679473414)</f>
        <v>8.915142679</v>
      </c>
      <c r="AB12" s="843" t="s">
        <v>124</v>
      </c>
      <c r="AC12" s="835">
        <f>IFERROR(__xludf.DUMMYFUNCTION("iferror(IF(
  IFNA(
    FILTER(
      IMPORTRANGE($F$8,""'Sensitivity [""&amp;IF(AA$3="""",AA$2,AA$2&amp;"", ""&amp;AA$3)&amp;""]'!E1:E20""),
      IMPORTRANGE($F$8,""'Sensitivity [""&amp;IF(AA$3="""",AA$2,AA$2&amp;"", ""&amp;AA$3)&amp;""]'!A1:A20"")=$E12
    ),
    """"
  ) = """",
  "&amp;"""-"",
  AA$5 * ( 1 +
    IFNA(
      FILTER(
        IMPORTRANGE($F$8,""'Sensitivity [""&amp;IF(AA$3="""",AA$2,AA$2&amp;"", ""&amp;AA$3)&amp;""]'!E1:E20""),
        IMPORTRANGE($F$8,""'Sensitivity [""&amp;IF(AA$3="""",AA$2,AA$2&amp;"", ""&amp;AA$3)&amp;""]'!A1:A20"")=$E12
      ),
    "&amp;"  """"
    )
  )
), ""-"")
"),30.707713673741708)</f>
        <v>30.70771367</v>
      </c>
      <c r="AD12" s="832">
        <f>IFERROR(__xludf.DUMMYFUNCTION("Iferror(IF(
  IFNA(
    FILTER(
      IMPORTRANGE($F$8,""'Sensitivity [""&amp;IF(AD$3="""",AD$2,AD$2&amp;"", ""&amp;AD$3)&amp;""]'!D1:D20""),
      IMPORTRANGE($F$8,""'Sensitivity [""&amp;IF(AD$3="""",AD$2,AD$2&amp;"", ""&amp;AD$3)&amp;""]'!A1:A20"")=$E12
    ),
    """"
  ) = """",
  "&amp;"""-"",
  AD$5 * ( 1 +
    IFNA(
      FILTER(
        IMPORTRANGE($F$8,""'Sensitivity [""&amp;IF(AD$3="""",AD$2,AD$2&amp;"", ""&amp;AD$3)&amp;""]'!D1:D20""),
        IMPORTRANGE($F$8,""'Sensitivity [""&amp;IF(AD$3="""",AD$2,AD$2&amp;"", ""&amp;AD$3)&amp;""]'!A1:A20"")=$E12
      ),
    "&amp;"  """"
    )
  )
), ""-"")
"),6.2244369219755935)</f>
        <v>6.224436922</v>
      </c>
      <c r="AE12" s="843" t="s">
        <v>124</v>
      </c>
      <c r="AF12" s="835">
        <f>IFERROR(__xludf.DUMMYFUNCTION("iferror(IF(
  IFNA(
    FILTER(
      IMPORTRANGE($F$8,""'Sensitivity [""&amp;IF(AD$3="""",AD$2,AD$2&amp;"", ""&amp;AD$3)&amp;""]'!E1:E20""),
      IMPORTRANGE($F$8,""'Sensitivity [""&amp;IF(AD$3="""",AD$2,AD$2&amp;"", ""&amp;AD$3)&amp;""]'!A1:A20"")=$E12
    ),
    """"
  ) = """",
  "&amp;"""-"",
  AD$5 * ( 1 +
    IFNA(
      FILTER(
        IMPORTRANGE($F$8,""'Sensitivity [""&amp;IF(AD$3="""",AD$2,AD$2&amp;"", ""&amp;AD$3)&amp;""]'!E1:E20""),
        IMPORTRANGE($F$8,""'Sensitivity [""&amp;IF(AD$3="""",AD$2,AD$2&amp;"", ""&amp;AD$3)&amp;""]'!A1:A20"")=$E12
      ),
    "&amp;"  """"
    )
  )
), ""-"")
"),26.14263507229744)</f>
        <v>26.14263507</v>
      </c>
      <c r="AG12" s="832">
        <f>IFERROR(__xludf.DUMMYFUNCTION("Iferror(IF(
  IFNA(
    FILTER(
      IMPORTRANGE($F$8,""'Sensitivity [""&amp;IF(AG$3="""",AG$2,AG$2&amp;"", ""&amp;AG$3)&amp;""]'!D1:D20""),
      IMPORTRANGE($F$8,""'Sensitivity [""&amp;IF(AG$3="""",AG$2,AG$2&amp;"", ""&amp;AG$3)&amp;""]'!A1:A20"")=$E12
    ),
    """"
  ) = """",
  "&amp;"""-"",
  AG$5 * ( 1 +
    IFNA(
      FILTER(
        IMPORTRANGE($F$8,""'Sensitivity [""&amp;IF(AG$3="""",AG$2,AG$2&amp;"", ""&amp;AG$3)&amp;""]'!D1:D20""),
        IMPORTRANGE($F$8,""'Sensitivity [""&amp;IF(AG$3="""",AG$2,AG$2&amp;"", ""&amp;AG$3)&amp;""]'!A1:A20"")=$E12
      ),
    "&amp;"  """"
    )
  )
), ""-"")
"),5.869807619815462)</f>
        <v>5.86980762</v>
      </c>
      <c r="AH12" s="843" t="s">
        <v>124</v>
      </c>
      <c r="AI12" s="835">
        <f>IFERROR(__xludf.DUMMYFUNCTION("iferror(IF(
  IFNA(
    FILTER(
      IMPORTRANGE($F$8,""'Sensitivity [""&amp;IF(AG$3="""",AG$2,AG$2&amp;"", ""&amp;AG$3)&amp;""]'!E1:E20""),
      IMPORTRANGE($F$8,""'Sensitivity [""&amp;IF(AG$3="""",AG$2,AG$2&amp;"", ""&amp;AG$3)&amp;""]'!A1:A20"")=$E12
    ),
    """"
  ) = """",
  "&amp;"""-"",
  AG$5 * ( 1 +
    IFNA(
      FILTER(
        IMPORTRANGE($F$8,""'Sensitivity [""&amp;IF(AG$3="""",AG$2,AG$2&amp;"", ""&amp;AG$3)&amp;""]'!E1:E20""),
        IMPORTRANGE($F$8,""'Sensitivity [""&amp;IF(AG$3="""",AG$2,AG$2&amp;"", ""&amp;AG$3)&amp;""]'!A1:A20"")=$E12
      ),
    "&amp;"  """"
    )
  )
), ""-"")
"),23.47923047926184)</f>
        <v>23.47923048</v>
      </c>
      <c r="AJ12" s="832">
        <f>IFERROR(__xludf.DUMMYFUNCTION("Iferror(IF(
  IFNA(
    FILTER(
      IMPORTRANGE($F$8,""'Sensitivity [""&amp;IF(AJ$3="""",AJ$2,AJ$2&amp;"", ""&amp;AJ$3)&amp;""]'!D1:D20""),
      IMPORTRANGE($F$8,""'Sensitivity [""&amp;IF(AJ$3="""",AJ$2,AJ$2&amp;"", ""&amp;AJ$3)&amp;""]'!A1:A20"")=$E12
    ),
    """"
  ) = """",
  "&amp;"""-"",
  AJ$5 * ( 1 +
    IFNA(
      FILTER(
        IMPORTRANGE($F$8,""'Sensitivity [""&amp;IF(AJ$3="""",AJ$2,AJ$2&amp;"", ""&amp;AJ$3)&amp;""]'!D1:D20""),
        IMPORTRANGE($F$8,""'Sensitivity [""&amp;IF(AJ$3="""",AJ$2,AJ$2&amp;"", ""&amp;AJ$3)&amp;""]'!A1:A20"")=$E12
      ),
    "&amp;"  """"
    )
  )
), ""-"")
"),12.40646386537677)</f>
        <v>12.40646387</v>
      </c>
      <c r="AK12" s="843" t="s">
        <v>124</v>
      </c>
      <c r="AL12" s="835">
        <f>IFERROR(__xludf.DUMMYFUNCTION("iferror(IF(
  IFNA(
    FILTER(
      IMPORTRANGE($F$8,""'Sensitivity [""&amp;IF(AJ$3="""",AJ$2,AJ$2&amp;"", ""&amp;AJ$3)&amp;""]'!E1:E20""),
      IMPORTRANGE($F$8,""'Sensitivity [""&amp;IF(AJ$3="""",AJ$2,AJ$2&amp;"", ""&amp;AJ$3)&amp;""]'!A1:A20"")=$E12
    ),
    """"
  ) = """",
  "&amp;"""-"",
  AJ$5 * ( 1 +
    IFNA(
      FILTER(
        IMPORTRANGE($F$8,""'Sensitivity [""&amp;IF(AJ$3="""",AJ$2,AJ$2&amp;"", ""&amp;AJ$3)&amp;""]'!E1:E20""),
        IMPORTRANGE($F$8,""'Sensitivity [""&amp;IF(AJ$3="""",AJ$2,AJ$2&amp;"", ""&amp;AJ$3)&amp;""]'!A1:A20"")=$E12
      ),
    "&amp;"  """"
    )
  )
), ""-"")
"),40.995271902984165)</f>
        <v>40.9952719</v>
      </c>
      <c r="AM12" s="832">
        <f>IFERROR(__xludf.DUMMYFUNCTION("Iferror(IF(
  IFNA(
    FILTER(
      IMPORTRANGE($F$8,""'Sensitivity [""&amp;IF(AM$3="""",AM$2,AM$2&amp;"", ""&amp;AM$3)&amp;""]'!D1:D20""),
      IMPORTRANGE($F$8,""'Sensitivity [""&amp;IF(AM$3="""",AM$2,AM$2&amp;"", ""&amp;AM$3)&amp;""]'!A1:A20"")=$E12
    ),
    """"
  ) = """",
  "&amp;"""-"",
  AM$5 * ( 1 +
    IFNA(
      FILTER(
        IMPORTRANGE($F$8,""'Sensitivity [""&amp;IF(AM$3="""",AM$2,AM$2&amp;"", ""&amp;AM$3)&amp;""]'!D1:D20""),
        IMPORTRANGE($F$8,""'Sensitivity [""&amp;IF(AM$3="""",AM$2,AM$2&amp;"", ""&amp;AM$3)&amp;""]'!A1:A20"")=$E12
      ),
    "&amp;"  """"
    )
  )
), ""-"")
"),9.046324860633812)</f>
        <v>9.046324861</v>
      </c>
      <c r="AN12" s="843" t="s">
        <v>124</v>
      </c>
      <c r="AO12" s="835">
        <f>IFERROR(__xludf.DUMMYFUNCTION("iferror(IF(
  IFNA(
    FILTER(
      IMPORTRANGE($F$8,""'Sensitivity [""&amp;IF(AM$3="""",AM$2,AM$2&amp;"", ""&amp;AM$3)&amp;""]'!E1:E20""),
      IMPORTRANGE($F$8,""'Sensitivity [""&amp;IF(AM$3="""",AM$2,AM$2&amp;"", ""&amp;AM$3)&amp;""]'!A1:A20"")=$E12
    ),
    """"
  ) = """",
  "&amp;"""-"",
  AM$5 * ( 1 +
    IFNA(
      FILTER(
        IMPORTRANGE($F$8,""'Sensitivity [""&amp;IF(AM$3="""",AM$2,AM$2&amp;"", ""&amp;AM$3)&amp;""]'!E1:E20""),
        IMPORTRANGE($F$8,""'Sensitivity [""&amp;IF(AM$3="""",AM$2,AM$2&amp;"", ""&amp;AM$3)&amp;""]'!A1:A20"")=$E12
      ),
    "&amp;"  """"
    )
  )
), ""-"")
"),31.662137012218288)</f>
        <v>31.66213701</v>
      </c>
      <c r="AP12" s="832">
        <f>IFERROR(__xludf.DUMMYFUNCTION("Iferror(IF(
  IFNA(
    FILTER(
      IMPORTRANGE($F$8,""'Sensitivity [""&amp;IF(AP$3="""",AP$2,AP$2&amp;"", ""&amp;AP$3)&amp;""]'!D1:D20""),
      IMPORTRANGE($F$8,""'Sensitivity [""&amp;IF(AP$3="""",AP$2,AP$2&amp;"", ""&amp;AP$3)&amp;""]'!A1:A20"")=$E12
    ),
    """"
  ) = """",
  "&amp;"""-"",
  AP$5 * ( 1 +
    IFNA(
      FILTER(
        IMPORTRANGE($F$8,""'Sensitivity [""&amp;IF(AP$3="""",AP$2,AP$2&amp;"", ""&amp;AP$3)&amp;""]'!D1:D20""),
        IMPORTRANGE($F$8,""'Sensitivity [""&amp;IF(AP$3="""",AP$2,AP$2&amp;"", ""&amp;AP$3)&amp;""]'!A1:A20"")=$E12
      ),
    "&amp;"  """"
    )
  )
), ""-"")
"),8.897524820925925)</f>
        <v>8.897524821</v>
      </c>
      <c r="AQ12" s="843" t="s">
        <v>124</v>
      </c>
      <c r="AR12" s="835">
        <f>IFERROR(__xludf.DUMMYFUNCTION("iferror(IF(
  IFNA(
    FILTER(
      IMPORTRANGE($F$8,""'Sensitivity [""&amp;IF(AP$3="""",AP$2,AP$2&amp;"", ""&amp;AP$3)&amp;""]'!E1:E20""),
      IMPORTRANGE($F$8,""'Sensitivity [""&amp;IF(AP$3="""",AP$2,AP$2&amp;"", ""&amp;AP$3)&amp;""]'!A1:A20"")=$E12
    ),
    """"
  ) = """",
  "&amp;"""-"",
  AP$5 * ( 1 +
    IFNA(
      FILTER(
        IMPORTRANGE($F$8,""'Sensitivity [""&amp;IF(AP$3="""",AP$2,AP$2&amp;"", ""&amp;AP$3)&amp;""]'!E1:E20""),
        IMPORTRANGE($F$8,""'Sensitivity [""&amp;IF(AP$3="""",AP$2,AP$2&amp;"", ""&amp;AP$3)&amp;""]'!A1:A20"")=$E12
      ),
    "&amp;"  """"
    )
  )
), ""-"")
"),34.185226943557474)</f>
        <v>34.18522694</v>
      </c>
      <c r="AS12" s="832">
        <f>IFERROR(__xludf.DUMMYFUNCTION("Iferror(IF(
  IFNA(
    FILTER(
      IMPORTRANGE($F$8,""'Sensitivity [""&amp;IF(AS$3="""",AS$2,AS$2&amp;"", ""&amp;AS$3)&amp;""]'!D1:D20""),
      IMPORTRANGE($F$8,""'Sensitivity [""&amp;IF(AS$3="""",AS$2,AS$2&amp;"", ""&amp;AS$3)&amp;""]'!A1:A20"")=$E12
    ),
    """"
  ) = """",
  "&amp;"""-"",
  AS$5 * ( 1 +
    IFNA(
      FILTER(
        IMPORTRANGE($F$8,""'Sensitivity [""&amp;IF(AS$3="""",AS$2,AS$2&amp;"", ""&amp;AS$3)&amp;""]'!D1:D20""),
        IMPORTRANGE($F$8,""'Sensitivity [""&amp;IF(AS$3="""",AS$2,AS$2&amp;"", ""&amp;AS$3)&amp;""]'!A1:A20"")=$E12
      ),
    "&amp;"  """"
    )
  )
), ""-"")
"),9.406911734933455)</f>
        <v>9.406911735</v>
      </c>
      <c r="AT12" s="843" t="s">
        <v>124</v>
      </c>
      <c r="AU12" s="835">
        <f>IFERROR(__xludf.DUMMYFUNCTION("iferror(IF(
  IFNA(
    FILTER(
      IMPORTRANGE($F$8,""'Sensitivity [""&amp;IF(AS$3="""",AS$2,AS$2&amp;"", ""&amp;AS$3)&amp;""]'!E1:E20""),
      IMPORTRANGE($F$8,""'Sensitivity [""&amp;IF(AS$3="""",AS$2,AS$2&amp;"", ""&amp;AS$3)&amp;""]'!A1:A20"")=$E12
    ),
    """"
  ) = """",
  "&amp;"""-"",
  AS$5 * ( 1 +
    IFNA(
      FILTER(
        IMPORTRANGE($F$8,""'Sensitivity [""&amp;IF(AS$3="""",AS$2,AS$2&amp;"", ""&amp;AS$3)&amp;""]'!E1:E20""),
        IMPORTRANGE($F$8,""'Sensitivity [""&amp;IF(AS$3="""",AS$2,AS$2&amp;"", ""&amp;AS$3)&amp;""]'!A1:A20"")=$E12
      ),
    "&amp;"  """"
    )
  )
), ""-"")
"),37.000519490738206)</f>
        <v>37.00051949</v>
      </c>
      <c r="AV12" s="832">
        <f>IFERROR(__xludf.DUMMYFUNCTION("Iferror(IF(
  IFNA(
    FILTER(
      IMPORTRANGE($F$8,""'Sensitivity [""&amp;IF(AV$3="""",AV$2,AV$2&amp;"", ""&amp;AV$3)&amp;""]'!D1:D20""),
      IMPORTRANGE($F$8,""'Sensitivity [""&amp;IF(AV$3="""",AV$2,AV$2&amp;"", ""&amp;AV$3)&amp;""]'!A1:A20"")=$E12
    ),
    """"
  ) = """",
  "&amp;"""-"",
  AV$5 * ( 1 +
    IFNA(
      FILTER(
        IMPORTRANGE($F$8,""'Sensitivity [""&amp;IF(AV$3="""",AV$2,AV$2&amp;"", ""&amp;AV$3)&amp;""]'!D1:D20""),
        IMPORTRANGE($F$8,""'Sensitivity [""&amp;IF(AV$3="""",AV$2,AV$2&amp;"", ""&amp;AV$3)&amp;""]'!A1:A20"")=$E12
      ),
    "&amp;"  """"
    )
  )
), ""-"")
"),5.846463119888737)</f>
        <v>5.84646312</v>
      </c>
      <c r="AW12" s="843" t="s">
        <v>124</v>
      </c>
      <c r="AX12" s="835">
        <f>IFERROR(__xludf.DUMMYFUNCTION("iferror(IF(
  IFNA(
    FILTER(
      IMPORTRANGE($F$8,""'Sensitivity [""&amp;IF(AV$3="""",AV$2,AV$2&amp;"", ""&amp;AV$3)&amp;""]'!E1:E20""),
      IMPORTRANGE($F$8,""'Sensitivity [""&amp;IF(AV$3="""",AV$2,AV$2&amp;"", ""&amp;AV$3)&amp;""]'!A1:A20"")=$E12
    ),
    """"
  ) = """",
  "&amp;"""-"",
  AV$5 * ( 1 +
    IFNA(
      FILTER(
        IMPORTRANGE($F$8,""'Sensitivity [""&amp;IF(AV$3="""",AV$2,AV$2&amp;"", ""&amp;AV$3)&amp;""]'!E1:E20""),
        IMPORTRANGE($F$8,""'Sensitivity [""&amp;IF(AV$3="""",AV$2,AV$2&amp;"", ""&amp;AV$3)&amp;""]'!A1:A20"")=$E12
      ),
    "&amp;"  """"
    )
  )
), ""-"")
"),24.36026299953649)</f>
        <v>24.360263</v>
      </c>
      <c r="AY12" s="832">
        <f>IFERROR(__xludf.DUMMYFUNCTION("Iferror(IF(
  IFNA(
    FILTER(
      IMPORTRANGE($F$8,""'Sensitivity [""&amp;IF(AY$3="""",AY$2,AY$2&amp;"", ""&amp;AY$3)&amp;""]'!D1:D20""),
      IMPORTRANGE($F$8,""'Sensitivity [""&amp;IF(AY$3="""",AY$2,AY$2&amp;"", ""&amp;AY$3)&amp;""]'!A1:A20"")=$E12
    ),
    """"
  ) = """",
  "&amp;"""-"",
  AY$5 * ( 1 +
    IFNA(
      FILTER(
        IMPORTRANGE($F$8,""'Sensitivity [""&amp;IF(AY$3="""",AY$2,AY$2&amp;"", ""&amp;AY$3)&amp;""]'!D1:D20""),
        IMPORTRANGE($F$8,""'Sensitivity [""&amp;IF(AY$3="""",AY$2,AY$2&amp;"", ""&amp;AY$3)&amp;""]'!A1:A20"")=$E12
      ),
    "&amp;"  """"
    )
  )
), ""-"")
"),13.932219130075074)</f>
        <v>13.93221913</v>
      </c>
      <c r="AZ12" s="843" t="s">
        <v>124</v>
      </c>
      <c r="BA12" s="835">
        <f>IFERROR(__xludf.DUMMYFUNCTION("iferror(IF(
  IFNA(
    FILTER(
      IMPORTRANGE($F$8,""'Sensitivity [""&amp;IF(AY$3="""",AY$2,AY$2&amp;"", ""&amp;AY$3)&amp;""]'!E1:E20""),
      IMPORTRANGE($F$8,""'Sensitivity [""&amp;IF(AY$3="""",AY$2,AY$2&amp;"", ""&amp;AY$3)&amp;""]'!A1:A20"")=$E12
    ),
    """"
  ) = """",
  "&amp;"""-"",
  AY$5 * ( 1 +
    IFNA(
      FILTER(
        IMPORTRANGE($F$8,""'Sensitivity [""&amp;IF(AY$3="""",AY$2,AY$2&amp;"", ""&amp;AY$3)&amp;""]'!E1:E20""),
        IMPORTRANGE($F$8,""'Sensitivity [""&amp;IF(AY$3="""",AY$2,AY$2&amp;"", ""&amp;AY$3)&amp;""]'!A1:A20"")=$E12
      ),
    "&amp;"  """"
    )
  )
), ""-"")
"),42.79181589951644)</f>
        <v>42.7918159</v>
      </c>
      <c r="BB12" s="832">
        <f>IFERROR(__xludf.DUMMYFUNCTION("Iferror(IF(
  IFNA(
    FILTER(
      IMPORTRANGE($F$8,""'Sensitivity [""&amp;IF(BB$3="""",BB$2,BB$2&amp;"", ""&amp;BB$3)&amp;""]'!D1:D20""),
      IMPORTRANGE($F$8,""'Sensitivity [""&amp;IF(BB$3="""",BB$2,BB$2&amp;"", ""&amp;BB$3)&amp;""]'!A1:A20"")=$E12
    ),
    """"
  ) = """",
  "&amp;"""-"",
  BB$5 * ( 1 +
    IFNA(
      FILTER(
        IMPORTRANGE($F$8,""'Sensitivity [""&amp;IF(BB$3="""",BB$2,BB$2&amp;"", ""&amp;BB$3)&amp;""]'!D1:D20""),
        IMPORTRANGE($F$8,""'Sensitivity [""&amp;IF(BB$3="""",BB$2,BB$2&amp;"", ""&amp;BB$3)&amp;""]'!A1:A20"")=$E12
      ),
    "&amp;"  """"
    )
  )
), ""-"")
"),3.723194869247716)</f>
        <v>3.723194869</v>
      </c>
      <c r="BC12" s="843" t="s">
        <v>124</v>
      </c>
      <c r="BD12" s="835">
        <f>IFERROR(__xludf.DUMMYFUNCTION("iferror(IF(
  IFNA(
    FILTER(
      IMPORTRANGE($F$8,""'Sensitivity [""&amp;IF(BB$3="""",BB$2,BB$2&amp;"", ""&amp;BB$3)&amp;""]'!E1:E20""),
      IMPORTRANGE($F$8,""'Sensitivity [""&amp;IF(BB$3="""",BB$2,BB$2&amp;"", ""&amp;BB$3)&amp;""]'!A1:A20"")=$E12
    ),
    """"
  ) = """",
  "&amp;"""-"",
  BB$5 * ( 1 +
    IFNA(
      FILTER(
        IMPORTRANGE($F$8,""'Sensitivity [""&amp;IF(BB$3="""",BB$2,BB$2&amp;"", ""&amp;BB$3)&amp;""]'!E1:E20""),
        IMPORTRANGE($F$8,""'Sensitivity [""&amp;IF(BB$3="""",BB$2,BB$2&amp;"", ""&amp;BB$3)&amp;""]'!A1:A20"")=$E12
      ),
    "&amp;"  """"
    )
  )
), ""-"")
"),16.382057424689883)</f>
        <v>16.38205742</v>
      </c>
      <c r="BE12" s="832" t="str">
        <f>IFERROR(__xludf.DUMMYFUNCTION("Iferror(IF(
  IFNA(
    FILTER(
      IMPORTRANGE($F$8,""'Sensitivity [""&amp;IF(BE$3="""",BE$2,BE$2&amp;"", ""&amp;BE$3)&amp;""]'!D1:D20""),
      IMPORTRANGE($F$8,""'Sensitivity [""&amp;IF(BE$3="""",BE$2,BE$2&amp;"", ""&amp;BE$3)&amp;""]'!A1:A20"")=$E12
    ),
    """"
  ) = """",
  "&amp;"""-"",
  BE$5 * ( 1 +
    IFNA(
      FILTER(
        IMPORTRANGE($F$8,""'Sensitivity [""&amp;IF(BE$3="""",BE$2,BE$2&amp;"", ""&amp;BE$3)&amp;""]'!D1:D20""),
        IMPORTRANGE($F$8,""'Sensitivity [""&amp;IF(BE$3="""",BE$2,BE$2&amp;"", ""&amp;BE$3)&amp;""]'!A1:A20"")=$E12
      ),
    "&amp;"  """"
    )
  )
), ""-"")
"),"-")</f>
        <v>-</v>
      </c>
      <c r="BF12" s="843" t="s">
        <v>124</v>
      </c>
      <c r="BG12" s="835" t="str">
        <f>IFERROR(__xludf.DUMMYFUNCTION("iferror(IF(
  IFNA(
    FILTER(
      IMPORTRANGE($F$8,""'Sensitivity [""&amp;IF(BE$3="""",BE$2,BE$2&amp;"", ""&amp;BE$3)&amp;""]'!E1:E20""),
      IMPORTRANGE($F$8,""'Sensitivity [""&amp;IF(BE$3="""",BE$2,BE$2&amp;"", ""&amp;BE$3)&amp;""]'!A1:A20"")=$E12
    ),
    """"
  ) = """",
  "&amp;"""-"",
  BE$5 * ( 1 +
    IFNA(
      FILTER(
        IMPORTRANGE($F$8,""'Sensitivity [""&amp;IF(BE$3="""",BE$2,BE$2&amp;"", ""&amp;BE$3)&amp;""]'!E1:E20""),
        IMPORTRANGE($F$8,""'Sensitivity [""&amp;IF(BE$3="""",BE$2,BE$2&amp;"", ""&amp;BE$3)&amp;""]'!A1:A20"")=$E12
      ),
    "&amp;"  """"
    )
  )
), ""-"")
"),"-")</f>
        <v>-</v>
      </c>
      <c r="BH12" s="615"/>
    </row>
    <row r="13">
      <c r="A13" s="219"/>
      <c r="B13" s="220"/>
      <c r="C13" s="400"/>
      <c r="D13" s="220"/>
      <c r="E13" s="627" t="str">
        <f t="shared" si="1"/>
        <v>Proportion of malaria mortality occurring during the SMC season</v>
      </c>
      <c r="F13" s="830">
        <f>IFERROR(__xludf.DUMMYFUNCTION("Iferror(IF(
  IFNA(
    FILTER(
      IMPORTRANGE($F$8,""'Sensitivity [""&amp;IF(F$3="""",F$2,F$2&amp;"", ""&amp;F$3)&amp;""]'!D1:D20""),
      IMPORTRANGE($F$8,""'Sensitivity [""&amp;IF(F$3="""",F$2,F$2&amp;"", ""&amp;F$3)&amp;""]'!A1:A20"")=$E13
    ),
    """"
  ) = """",
  ""-"",
  "&amp;"F$5 * ( 1 +
    IFNA(
      FILTER(
        IMPORTRANGE($F$8,""'Sensitivity [""&amp;IF(F$3="""",F$2,F$2&amp;"", ""&amp;F$3)&amp;""]'!D1:D20""),
        IMPORTRANGE($F$8,""'Sensitivity [""&amp;IF(F$3="""",F$2,F$2&amp;"", ""&amp;F$3)&amp;""]'!A1:A20"")=$E13
      ),
      """"
    )
  )
)"&amp;", ""-"")
"),16.024435349161642)</f>
        <v>16.02443535</v>
      </c>
      <c r="G13" s="842" t="s">
        <v>124</v>
      </c>
      <c r="H13" s="831">
        <f>IFERROR(__xludf.DUMMYFUNCTION("iferror(IF(
  IFNA(
    FILTER(
      IMPORTRANGE($F$8,""'Sensitivity [""&amp;IF(F$3="""",F$2,F$2&amp;"", ""&amp;F$3)&amp;""]'!E1:E20""),
      IMPORTRANGE($F$8,""'Sensitivity [""&amp;IF(F$3="""",F$2,F$2&amp;"", ""&amp;F$3)&amp;""]'!A1:A20"")=$E13
    ),
    """"
  ) = """",
  ""-"",
  "&amp;"F$5 * ( 1 +
    IFNA(
      FILTER(
        IMPORTRANGE($F$8,""'Sensitivity [""&amp;IF(F$3="""",F$2,F$2&amp;"", ""&amp;F$3)&amp;""]'!E1:E20""),
        IMPORTRANGE($F$8,""'Sensitivity [""&amp;IF(F$3="""",F$2,F$2&amp;"", ""&amp;F$3)&amp;""]'!A1:A20"")=$E13
      ),
      """"
    )
  )
)"&amp;", ""-"")
"),20.418232138447966)</f>
        <v>20.41823214</v>
      </c>
      <c r="I13" s="830">
        <f>IFERROR(__xludf.DUMMYFUNCTION("Iferror(IF(
  IFNA(
    FILTER(
      IMPORTRANGE($F$8,""'Sensitivity [""&amp;IF(I$3="""",I$2,I$2&amp;"", ""&amp;I$3)&amp;""]'!D1:D20""),
      IMPORTRANGE($F$8,""'Sensitivity [""&amp;IF(I$3="""",I$2,I$2&amp;"", ""&amp;I$3)&amp;""]'!A1:A20"")=$E13
    ),
    """"
  ) = """",
  ""-"",
  "&amp;"I$5 * ( 1 +
    IFNA(
      FILTER(
        IMPORTRANGE($F$8,""'Sensitivity [""&amp;IF(I$3="""",I$2,I$2&amp;"", ""&amp;I$3)&amp;""]'!D1:D20""),
        IMPORTRANGE($F$8,""'Sensitivity [""&amp;IF(I$3="""",I$2,I$2&amp;"", ""&amp;I$3)&amp;""]'!A1:A20"")=$E13
      ),
      """"
    )
  )
)"&amp;", ""-"")
"),7.06671269995587)</f>
        <v>7.0667127</v>
      </c>
      <c r="J13" s="842" t="s">
        <v>124</v>
      </c>
      <c r="K13" s="831">
        <f>IFERROR(__xludf.DUMMYFUNCTION("iferror(IF(
  IFNA(
    FILTER(
      IMPORTRANGE($F$8,""'Sensitivity [""&amp;IF(I$3="""",I$2,I$2&amp;"", ""&amp;I$3)&amp;""]'!E1:E20""),
      IMPORTRANGE($F$8,""'Sensitivity [""&amp;IF(I$3="""",I$2,I$2&amp;"", ""&amp;I$3)&amp;""]'!A1:A20"")=$E13
    ),
    """"
  ) = """",
  ""-"",
  "&amp;"I$5 * ( 1 +
    IFNA(
      FILTER(
        IMPORTRANGE($F$8,""'Sensitivity [""&amp;IF(I$3="""",I$2,I$2&amp;"", ""&amp;I$3)&amp;""]'!E1:E20""),
        IMPORTRANGE($F$8,""'Sensitivity [""&amp;IF(I$3="""",I$2,I$2&amp;"", ""&amp;I$3)&amp;""]'!A1:A20"")=$E13
      ),
      """"
    )
  )
)"&amp;", ""-"")
"),9.004359730588904)</f>
        <v>9.004359731</v>
      </c>
      <c r="L13" s="832" t="str">
        <f>IFERROR(__xludf.DUMMYFUNCTION("Iferror(IF(
  IFNA(
    FILTER(
      IMPORTRANGE($F$8,""'Sensitivity [""&amp;IF(L$3="""",L$2,L$2&amp;"", ""&amp;L$3)&amp;""]'!D1:D20""),
      IMPORTRANGE($F$8,""'Sensitivity [""&amp;IF(L$3="""",L$2,L$2&amp;"", ""&amp;L$3)&amp;""]'!A1:A20"")=$E13
    ),
    """"
  ) = """",
  ""-"",
  "&amp;"L$5 * ( 1 +
    IFNA(
      FILTER(
        IMPORTRANGE($F$8,""'Sensitivity [""&amp;IF(L$3="""",L$2,L$2&amp;"", ""&amp;L$3)&amp;""]'!D1:D20""),
        IMPORTRANGE($F$8,""'Sensitivity [""&amp;IF(L$3="""",L$2,L$2&amp;"", ""&amp;L$3)&amp;""]'!A1:A20"")=$E13
      ),
      """"
    )
  )
)"&amp;", ""-"")
"),"-")</f>
        <v>-</v>
      </c>
      <c r="M13" s="843" t="s">
        <v>124</v>
      </c>
      <c r="N13" s="835" t="str">
        <f>IFERROR(__xludf.DUMMYFUNCTION("iferror(IF(
  IFNA(
    FILTER(
      IMPORTRANGE($F$8,""'Sensitivity [""&amp;IF(L$3="""",L$2,L$2&amp;"", ""&amp;L$3)&amp;""]'!E1:E20""),
      IMPORTRANGE($F$8,""'Sensitivity [""&amp;IF(L$3="""",L$2,L$2&amp;"", ""&amp;L$3)&amp;""]'!A1:A20"")=$E13
    ),
    """"
  ) = """",
  ""-"",
  "&amp;"L$5 * ( 1 +
    IFNA(
      FILTER(
        IMPORTRANGE($F$8,""'Sensitivity [""&amp;IF(L$3="""",L$2,L$2&amp;"", ""&amp;L$3)&amp;""]'!E1:E20""),
        IMPORTRANGE($F$8,""'Sensitivity [""&amp;IF(L$3="""",L$2,L$2&amp;"", ""&amp;L$3)&amp;""]'!A1:A20"")=$E13
      ),
      """"
    )
  )
)"&amp;", ""-"")
"),"-")</f>
        <v>-</v>
      </c>
      <c r="O13" s="832" t="str">
        <f>IFERROR(__xludf.DUMMYFUNCTION("Iferror(IF(
  IFNA(
    FILTER(
      IMPORTRANGE($F$8,""'Sensitivity [""&amp;IF(O$3="""",O$2,O$2&amp;"", ""&amp;O$3)&amp;""]'!D1:D20""),
      IMPORTRANGE($F$8,""'Sensitivity [""&amp;IF(O$3="""",O$2,O$2&amp;"", ""&amp;O$3)&amp;""]'!A1:A20"")=$E13
    ),
    """"
  ) = """",
  ""-"",
  "&amp;"O$5 * ( 1 +
    IFNA(
      FILTER(
        IMPORTRANGE($F$8,""'Sensitivity [""&amp;IF(O$3="""",O$2,O$2&amp;"", ""&amp;O$3)&amp;""]'!D1:D20""),
        IMPORTRANGE($F$8,""'Sensitivity [""&amp;IF(O$3="""",O$2,O$2&amp;"", ""&amp;O$3)&amp;""]'!A1:A20"")=$E13
      ),
      """"
    )
  )
)"&amp;", ""-"")
"),"-")</f>
        <v>-</v>
      </c>
      <c r="P13" s="843" t="s">
        <v>124</v>
      </c>
      <c r="Q13" s="835" t="str">
        <f>IFERROR(__xludf.DUMMYFUNCTION("iferror(IF(
  IFNA(
    FILTER(
      IMPORTRANGE($F$8,""'Sensitivity [""&amp;IF(O$3="""",O$2,O$2&amp;"", ""&amp;O$3)&amp;""]'!E1:E20""),
      IMPORTRANGE($F$8,""'Sensitivity [""&amp;IF(O$3="""",O$2,O$2&amp;"", ""&amp;O$3)&amp;""]'!A1:A20"")=$E13
    ),
    """"
  ) = """",
  ""-"",
  "&amp;"O$5 * ( 1 +
    IFNA(
      FILTER(
        IMPORTRANGE($F$8,""'Sensitivity [""&amp;IF(O$3="""",O$2,O$2&amp;"", ""&amp;O$3)&amp;""]'!E1:E20""),
        IMPORTRANGE($F$8,""'Sensitivity [""&amp;IF(O$3="""",O$2,O$2&amp;"", ""&amp;O$3)&amp;""]'!A1:A20"")=$E13
      ),
      """"
    )
  )
)"&amp;", ""-"")
"),"-")</f>
        <v>-</v>
      </c>
      <c r="R13" s="832" t="str">
        <f>IFERROR(__xludf.DUMMYFUNCTION("Iferror(IF(
  IFNA(
    FILTER(
      IMPORTRANGE($F$8,""'Sensitivity [""&amp;IF(R$3="""",R$2,R$2&amp;"", ""&amp;R$3)&amp;""]'!D1:D20""),
      IMPORTRANGE($F$8,""'Sensitivity [""&amp;IF(R$3="""",R$2,R$2&amp;"", ""&amp;R$3)&amp;""]'!A1:A20"")=$E13
    ),
    """"
  ) = """",
  ""-"",
  "&amp;"R$5 * ( 1 +
    IFNA(
      FILTER(
        IMPORTRANGE($F$8,""'Sensitivity [""&amp;IF(R$3="""",R$2,R$2&amp;"", ""&amp;R$3)&amp;""]'!D1:D20""),
        IMPORTRANGE($F$8,""'Sensitivity [""&amp;IF(R$3="""",R$2,R$2&amp;"", ""&amp;R$3)&amp;""]'!A1:A20"")=$E13
      ),
      """"
    )
  )
)"&amp;", ""-"")
"),"-")</f>
        <v>-</v>
      </c>
      <c r="S13" s="843" t="s">
        <v>124</v>
      </c>
      <c r="T13" s="835" t="str">
        <f>IFERROR(__xludf.DUMMYFUNCTION("iferror(IF(
  IFNA(
    FILTER(
      IMPORTRANGE($F$8,""'Sensitivity [""&amp;IF(R$3="""",R$2,R$2&amp;"", ""&amp;R$3)&amp;""]'!E1:E20""),
      IMPORTRANGE($F$8,""'Sensitivity [""&amp;IF(R$3="""",R$2,R$2&amp;"", ""&amp;R$3)&amp;""]'!A1:A20"")=$E13
    ),
    """"
  ) = """",
  ""-"",
  "&amp;"R$5 * ( 1 +
    IFNA(
      FILTER(
        IMPORTRANGE($F$8,""'Sensitivity [""&amp;IF(R$3="""",R$2,R$2&amp;"", ""&amp;R$3)&amp;""]'!E1:E20""),
        IMPORTRANGE($F$8,""'Sensitivity [""&amp;IF(R$3="""",R$2,R$2&amp;"", ""&amp;R$3)&amp;""]'!A1:A20"")=$E13
      ),
      """"
    )
  )
)"&amp;", ""-"")
"),"-")</f>
        <v>-</v>
      </c>
      <c r="U13" s="832" t="str">
        <f>IFERROR(__xludf.DUMMYFUNCTION("Iferror(IF(
  IFNA(
    FILTER(
      IMPORTRANGE($F$8,""'Sensitivity [""&amp;IF(U$3="""",U$2,U$2&amp;"", ""&amp;U$3)&amp;""]'!D1:D20""),
      IMPORTRANGE($F$8,""'Sensitivity [""&amp;IF(U$3="""",U$2,U$2&amp;"", ""&amp;U$3)&amp;""]'!A1:A20"")=$E13
    ),
    """"
  ) = """",
  ""-"",
  "&amp;"U$5 * ( 1 +
    IFNA(
      FILTER(
        IMPORTRANGE($F$8,""'Sensitivity [""&amp;IF(U$3="""",U$2,U$2&amp;"", ""&amp;U$3)&amp;""]'!D1:D20""),
        IMPORTRANGE($F$8,""'Sensitivity [""&amp;IF(U$3="""",U$2,U$2&amp;"", ""&amp;U$3)&amp;""]'!A1:A20"")=$E13
      ),
      """"
    )
  )
)"&amp;", ""-"")
"),"-")</f>
        <v>-</v>
      </c>
      <c r="V13" s="843" t="s">
        <v>124</v>
      </c>
      <c r="W13" s="835" t="str">
        <f>IFERROR(__xludf.DUMMYFUNCTION("iferror(IF(
  IFNA(
    FILTER(
      IMPORTRANGE($F$8,""'Sensitivity [""&amp;IF(U$3="""",U$2,U$2&amp;"", ""&amp;U$3)&amp;""]'!E1:E20""),
      IMPORTRANGE($F$8,""'Sensitivity [""&amp;IF(U$3="""",U$2,U$2&amp;"", ""&amp;U$3)&amp;""]'!A1:A20"")=$E13
    ),
    """"
  ) = """",
  ""-"",
  "&amp;"U$5 * ( 1 +
    IFNA(
      FILTER(
        IMPORTRANGE($F$8,""'Sensitivity [""&amp;IF(U$3="""",U$2,U$2&amp;"", ""&amp;U$3)&amp;""]'!E1:E20""),
        IMPORTRANGE($F$8,""'Sensitivity [""&amp;IF(U$3="""",U$2,U$2&amp;"", ""&amp;U$3)&amp;""]'!A1:A20"")=$E13
      ),
      """"
    )
  )
)"&amp;", ""-"")
"),"-")</f>
        <v>-</v>
      </c>
      <c r="X13" s="832" t="str">
        <f>IFERROR(__xludf.DUMMYFUNCTION("Iferror(IF(
  IFNA(
    FILTER(
      IMPORTRANGE($F$8,""'Sensitivity [""&amp;IF(X$3="""",X$2,X$2&amp;"", ""&amp;X$3)&amp;""]'!D1:D20""),
      IMPORTRANGE($F$8,""'Sensitivity [""&amp;IF(X$3="""",X$2,X$2&amp;"", ""&amp;X$3)&amp;""]'!A1:A20"")=$E13
    ),
    """"
  ) = """",
  ""-"",
  "&amp;"X$5 * ( 1 +
    IFNA(
      FILTER(
        IMPORTRANGE($F$8,""'Sensitivity [""&amp;IF(X$3="""",X$2,X$2&amp;"", ""&amp;X$3)&amp;""]'!D1:D20""),
        IMPORTRANGE($F$8,""'Sensitivity [""&amp;IF(X$3="""",X$2,X$2&amp;"", ""&amp;X$3)&amp;""]'!A1:A20"")=$E13
      ),
      """"
    )
  )
)"&amp;", ""-"")
"),"-")</f>
        <v>-</v>
      </c>
      <c r="Y13" s="843" t="s">
        <v>124</v>
      </c>
      <c r="Z13" s="835" t="str">
        <f>IFERROR(__xludf.DUMMYFUNCTION("iferror(IF(
  IFNA(
    FILTER(
      IMPORTRANGE($F$8,""'Sensitivity [""&amp;IF(X$3="""",X$2,X$2&amp;"", ""&amp;X$3)&amp;""]'!E1:E20""),
      IMPORTRANGE($F$8,""'Sensitivity [""&amp;IF(X$3="""",X$2,X$2&amp;"", ""&amp;X$3)&amp;""]'!A1:A20"")=$E13
    ),
    """"
  ) = """",
  ""-"",
  "&amp;"X$5 * ( 1 +
    IFNA(
      FILTER(
        IMPORTRANGE($F$8,""'Sensitivity [""&amp;IF(X$3="""",X$2,X$2&amp;"", ""&amp;X$3)&amp;""]'!E1:E20""),
        IMPORTRANGE($F$8,""'Sensitivity [""&amp;IF(X$3="""",X$2,X$2&amp;"", ""&amp;X$3)&amp;""]'!A1:A20"")=$E13
      ),
      """"
    )
  )
)"&amp;", ""-"")
"),"-")</f>
        <v>-</v>
      </c>
      <c r="AA13" s="832">
        <f>IFERROR(__xludf.DUMMYFUNCTION("Iferror(IF(
  IFNA(
    FILTER(
      IMPORTRANGE($F$8,""'Sensitivity [""&amp;IF(AA$3="""",AA$2,AA$2&amp;"", ""&amp;AA$3)&amp;""]'!D1:D20""),
      IMPORTRANGE($F$8,""'Sensitivity [""&amp;IF(AA$3="""",AA$2,AA$2&amp;"", ""&amp;AA$3)&amp;""]'!A1:A20"")=$E13
    ),
    """"
  ) = """",
  "&amp;"""-"",
  AA$5 * ( 1 +
    IFNA(
      FILTER(
        IMPORTRANGE($F$8,""'Sensitivity [""&amp;IF(AA$3="""",AA$2,AA$2&amp;"", ""&amp;AA$3)&amp;""]'!D1:D20""),
        IMPORTRANGE($F$8,""'Sensitivity [""&amp;IF(AA$3="""",AA$2,AA$2&amp;"", ""&amp;AA$3)&amp;""]'!A1:A20"")=$E13
      ),
    "&amp;"  """"
    )
  )
), ""-"")
"),18.80343118221896)</f>
        <v>18.80343118</v>
      </c>
      <c r="AB13" s="843" t="s">
        <v>124</v>
      </c>
      <c r="AC13" s="835">
        <f>IFERROR(__xludf.DUMMYFUNCTION("iferror(IF(
  IFNA(
    FILTER(
      IMPORTRANGE($F$8,""'Sensitivity [""&amp;IF(AA$3="""",AA$2,AA$2&amp;"", ""&amp;AA$3)&amp;""]'!E1:E20""),
      IMPORTRANGE($F$8,""'Sensitivity [""&amp;IF(AA$3="""",AA$2,AA$2&amp;"", ""&amp;AA$3)&amp;""]'!A1:A20"")=$E13
    ),
    """"
  ) = """",
  "&amp;"""-"",
  AA$5 * ( 1 +
    IFNA(
      FILTER(
        IMPORTRANGE($F$8,""'Sensitivity [""&amp;IF(AA$3="""",AA$2,AA$2&amp;"", ""&amp;AA$3)&amp;""]'!E1:E20""),
        IMPORTRANGE($F$8,""'Sensitivity [""&amp;IF(AA$3="""",AA$2,AA$2&amp;"", ""&amp;AA$3)&amp;""]'!A1:A20"")=$E13
      ),
    "&amp;"  """"
    )
  )
), ""-"")
"),23.959210699924245)</f>
        <v>23.9592107</v>
      </c>
      <c r="AD13" s="832">
        <f>IFERROR(__xludf.DUMMYFUNCTION("Iferror(IF(
  IFNA(
    FILTER(
      IMPORTRANGE($F$8,""'Sensitivity [""&amp;IF(AD$3="""",AD$2,AD$2&amp;"", ""&amp;AD$3)&amp;""]'!D1:D20""),
      IMPORTRANGE($F$8,""'Sensitivity [""&amp;IF(AD$3="""",AD$2,AD$2&amp;"", ""&amp;AD$3)&amp;""]'!A1:A20"")=$E13
    ),
    """"
  ) = """",
  "&amp;"""-"",
  AD$5 * ( 1 +
    IFNA(
      FILTER(
        IMPORTRANGE($F$8,""'Sensitivity [""&amp;IF(AD$3="""",AD$2,AD$2&amp;"", ""&amp;AD$3)&amp;""]'!D1:D20""),
        IMPORTRANGE($F$8,""'Sensitivity [""&amp;IF(AD$3="""",AD$2,AD$2&amp;"", ""&amp;AD$3)&amp;""]'!A1:A20"")=$E13
      ),
    "&amp;"  """"
    )
  )
), ""-"")
"),15.932869590545858)</f>
        <v>15.93286959</v>
      </c>
      <c r="AE13" s="843" t="s">
        <v>124</v>
      </c>
      <c r="AF13" s="835">
        <f>IFERROR(__xludf.DUMMYFUNCTION("iferror(IF(
  IFNA(
    FILTER(
      IMPORTRANGE($F$8,""'Sensitivity [""&amp;IF(AD$3="""",AD$2,AD$2&amp;"", ""&amp;AD$3)&amp;""]'!E1:E20""),
      IMPORTRANGE($F$8,""'Sensitivity [""&amp;IF(AD$3="""",AD$2,AD$2&amp;"", ""&amp;AD$3)&amp;""]'!A1:A20"")=$E13
    ),
    """"
  ) = """",
  "&amp;"""-"",
  AD$5 * ( 1 +
    IFNA(
      FILTER(
        IMPORTRANGE($F$8,""'Sensitivity [""&amp;IF(AD$3="""",AD$2,AD$2&amp;"", ""&amp;AD$3)&amp;""]'!E1:E20""),
        IMPORTRANGE($F$8,""'Sensitivity [""&amp;IF(AD$3="""",AD$2,AD$2&amp;"", ""&amp;AD$3)&amp;""]'!A1:A20"")=$E13
      ),
    "&amp;"  """"
    )
  )
), ""-"")
"),20.30155963956641)</f>
        <v>20.30155964</v>
      </c>
      <c r="AG13" s="832">
        <f>IFERROR(__xludf.DUMMYFUNCTION("Iferror(IF(
  IFNA(
    FILTER(
      IMPORTRANGE($F$8,""'Sensitivity [""&amp;IF(AG$3="""",AG$2,AG$2&amp;"", ""&amp;AG$3)&amp;""]'!D1:D20""),
      IMPORTRANGE($F$8,""'Sensitivity [""&amp;IF(AG$3="""",AG$2,AG$2&amp;"", ""&amp;AG$3)&amp;""]'!A1:A20"")=$E13
    ),
    """"
  ) = """",
  "&amp;"""-"",
  AG$5 * ( 1 +
    IFNA(
      FILTER(
        IMPORTRANGE($F$8,""'Sensitivity [""&amp;IF(AG$3="""",AG$2,AG$2&amp;"", ""&amp;AG$3)&amp;""]'!D1:D20""),
        IMPORTRANGE($F$8,""'Sensitivity [""&amp;IF(AG$3="""",AG$2,AG$2&amp;"", ""&amp;AG$3)&amp;""]'!A1:A20"")=$E13
      ),
    "&amp;"  """"
    )
  )
), ""-"")
"),14.2926733195262)</f>
        <v>14.29267332</v>
      </c>
      <c r="AH13" s="843" t="s">
        <v>124</v>
      </c>
      <c r="AI13" s="835">
        <f>IFERROR(__xludf.DUMMYFUNCTION("iferror(IF(
  IFNA(
    FILTER(
      IMPORTRANGE($F$8,""'Sensitivity [""&amp;IF(AG$3="""",AG$2,AG$2&amp;"", ""&amp;AG$3)&amp;""]'!E1:E20""),
      IMPORTRANGE($F$8,""'Sensitivity [""&amp;IF(AG$3="""",AG$2,AG$2&amp;"", ""&amp;AG$3)&amp;""]'!A1:A20"")=$E13
    ),
    """"
  ) = """",
  "&amp;"""-"",
  AG$5 * ( 1 +
    IFNA(
      FILTER(
        IMPORTRANGE($F$8,""'Sensitivity [""&amp;IF(AG$3="""",AG$2,AG$2&amp;"", ""&amp;AG$3)&amp;""]'!E1:E20""),
        IMPORTRANGE($F$8,""'Sensitivity [""&amp;IF(AG$3="""",AG$2,AG$2&amp;"", ""&amp;AG$3)&amp;""]'!A1:A20"")=$E13
      ),
    "&amp;"  """"
    )
  )
), ""-"")
"),18.211632132944644)</f>
        <v>18.21163213</v>
      </c>
      <c r="AJ13" s="832">
        <f>IFERROR(__xludf.DUMMYFUNCTION("Iferror(IF(
  IFNA(
    FILTER(
      IMPORTRANGE($F$8,""'Sensitivity [""&amp;IF(AJ$3="""",AJ$2,AJ$2&amp;"", ""&amp;AJ$3)&amp;""]'!D1:D20""),
      IMPORTRANGE($F$8,""'Sensitivity [""&amp;IF(AJ$3="""",AJ$2,AJ$2&amp;"", ""&amp;AJ$3)&amp;""]'!A1:A20"")=$E13
    ),
    """"
  ) = """",
  "&amp;"""-"",
  AJ$5 * ( 1 +
    IFNA(
      FILTER(
        IMPORTRANGE($F$8,""'Sensitivity [""&amp;IF(AJ$3="""",AJ$2,AJ$2&amp;"", ""&amp;AJ$3)&amp;""]'!D1:D20""),
        IMPORTRANGE($F$8,""'Sensitivity [""&amp;IF(AJ$3="""",AJ$2,AJ$2&amp;"", ""&amp;AJ$3)&amp;""]'!A1:A20"")=$E13
      ),
    "&amp;"  """"
    )
  )
), ""-"")
"),26.147887231590264)</f>
        <v>26.14788723</v>
      </c>
      <c r="AK13" s="843" t="s">
        <v>124</v>
      </c>
      <c r="AL13" s="835">
        <f>IFERROR(__xludf.DUMMYFUNCTION("iferror(IF(
  IFNA(
    FILTER(
      IMPORTRANGE($F$8,""'Sensitivity [""&amp;IF(AJ$3="""",AJ$2,AJ$2&amp;"", ""&amp;AJ$3)&amp;""]'!E1:E20""),
      IMPORTRANGE($F$8,""'Sensitivity [""&amp;IF(AJ$3="""",AJ$2,AJ$2&amp;"", ""&amp;AJ$3)&amp;""]'!A1:A20"")=$E13
    ),
    """"
  ) = """",
  "&amp;"""-"",
  AJ$5 * ( 1 +
    IFNA(
      FILTER(
        IMPORTRANGE($F$8,""'Sensitivity [""&amp;IF(AJ$3="""",AJ$2,AJ$2&amp;"", ""&amp;AJ$3)&amp;""]'!E1:E20""),
        IMPORTRANGE($F$8,""'Sensitivity [""&amp;IF(AJ$3="""",AJ$2,AJ$2&amp;"", ""&amp;AJ$3)&amp;""]'!A1:A20"")=$E13
      ),
    "&amp;"  """"
    )
  )
), ""-"")
"),33.317469214445524)</f>
        <v>33.31746921</v>
      </c>
      <c r="AM13" s="832">
        <f>IFERROR(__xludf.DUMMYFUNCTION("Iferror(IF(
  IFNA(
    FILTER(
      IMPORTRANGE($F$8,""'Sensitivity [""&amp;IF(AM$3="""",AM$2,AM$2&amp;"", ""&amp;AM$3)&amp;""]'!D1:D20""),
      IMPORTRANGE($F$8,""'Sensitivity [""&amp;IF(AM$3="""",AM$2,AM$2&amp;"", ""&amp;AM$3)&amp;""]'!A1:A20"")=$E13
    ),
    """"
  ) = """",
  "&amp;"""-"",
  AM$5 * ( 1 +
    IFNA(
      FILTER(
        IMPORTRANGE($F$8,""'Sensitivity [""&amp;IF(AM$3="""",AM$2,AM$2&amp;"", ""&amp;AM$3)&amp;""]'!D1:D20""),
        IMPORTRANGE($F$8,""'Sensitivity [""&amp;IF(AM$3="""",AM$2,AM$2&amp;"", ""&amp;AM$3)&amp;""]'!A1:A20"")=$E13
      ),
    "&amp;"  """"
    )
  )
), ""-"")
"),18.703456732948492)</f>
        <v>18.70345673</v>
      </c>
      <c r="AN13" s="843" t="s">
        <v>124</v>
      </c>
      <c r="AO13" s="835">
        <f>IFERROR(__xludf.DUMMYFUNCTION("iferror(IF(
  IFNA(
    FILTER(
      IMPORTRANGE($F$8,""'Sensitivity [""&amp;IF(AM$3="""",AM$2,AM$2&amp;"", ""&amp;AM$3)&amp;""]'!E1:E20""),
      IMPORTRANGE($F$8,""'Sensitivity [""&amp;IF(AM$3="""",AM$2,AM$2&amp;"", ""&amp;AM$3)&amp;""]'!A1:A20"")=$E13
    ),
    """"
  ) = """",
  "&amp;"""-"",
  AM$5 * ( 1 +
    IFNA(
      FILTER(
        IMPORTRANGE($F$8,""'Sensitivity [""&amp;IF(AM$3="""",AM$2,AM$2&amp;"", ""&amp;AM$3)&amp;""]'!E1:E20""),
        IMPORTRANGE($F$8,""'Sensitivity [""&amp;IF(AM$3="""",AM$2,AM$2&amp;"", ""&amp;AM$3)&amp;""]'!A1:A20"")=$E13
      ),
    "&amp;"  """"
    )
  )
), ""-"")
"),23.831823901660155)</f>
        <v>23.8318239</v>
      </c>
      <c r="AP13" s="832">
        <f>IFERROR(__xludf.DUMMYFUNCTION("Iferror(IF(
  IFNA(
    FILTER(
      IMPORTRANGE($F$8,""'Sensitivity [""&amp;IF(AP$3="""",AP$2,AP$2&amp;"", ""&amp;AP$3)&amp;""]'!D1:D20""),
      IMPORTRANGE($F$8,""'Sensitivity [""&amp;IF(AP$3="""",AP$2,AP$2&amp;"", ""&amp;AP$3)&amp;""]'!A1:A20"")=$E13
    ),
    """"
  ) = """",
  "&amp;"""-"",
  AP$5 * ( 1 +
    IFNA(
      FILTER(
        IMPORTRANGE($F$8,""'Sensitivity [""&amp;IF(AP$3="""",AP$2,AP$2&amp;"", ""&amp;AP$3)&amp;""]'!D1:D20""),
        IMPORTRANGE($F$8,""'Sensitivity [""&amp;IF(AP$3="""",AP$2,AP$2&amp;"", ""&amp;AP$3)&amp;""]'!A1:A20"")=$E13
      ),
    "&amp;"  """"
    )
  )
), ""-"")
"),19.83006269315665)</f>
        <v>19.83006269</v>
      </c>
      <c r="AQ13" s="843" t="s">
        <v>124</v>
      </c>
      <c r="AR13" s="835">
        <f>IFERROR(__xludf.DUMMYFUNCTION("iferror(IF(
  IFNA(
    FILTER(
      IMPORTRANGE($F$8,""'Sensitivity [""&amp;IF(AP$3="""",AP$2,AP$2&amp;"", ""&amp;AP$3)&amp;""]'!E1:E20""),
      IMPORTRANGE($F$8,""'Sensitivity [""&amp;IF(AP$3="""",AP$2,AP$2&amp;"", ""&amp;AP$3)&amp;""]'!A1:A20"")=$E13
    ),
    """"
  ) = """",
  "&amp;"""-"",
  AP$5 * ( 1 +
    IFNA(
      FILTER(
        IMPORTRANGE($F$8,""'Sensitivity [""&amp;IF(AP$3="""",AP$2,AP$2&amp;"", ""&amp;AP$3)&amp;""]'!E1:E20""),
        IMPORTRANGE($F$8,""'Sensitivity [""&amp;IF(AP$3="""",AP$2,AP$2&amp;"", ""&amp;AP$3)&amp;""]'!A1:A20"")=$E13
      ),
    "&amp;"  """"
    )
  )
), ""-"")
"),25.267337947731768)</f>
        <v>25.26733795</v>
      </c>
      <c r="AS13" s="832">
        <f>IFERROR(__xludf.DUMMYFUNCTION("Iferror(IF(
  IFNA(
    FILTER(
      IMPORTRANGE($F$8,""'Sensitivity [""&amp;IF(AS$3="""",AS$2,AS$2&amp;"", ""&amp;AS$3)&amp;""]'!D1:D20""),
      IMPORTRANGE($F$8,""'Sensitivity [""&amp;IF(AS$3="""",AS$2,AS$2&amp;"", ""&amp;AS$3)&amp;""]'!A1:A20"")=$E13
    ),
    """"
  ) = """",
  "&amp;"""-"",
  AS$5 * ( 1 +
    IFNA(
      FILTER(
        IMPORTRANGE($F$8,""'Sensitivity [""&amp;IF(AS$3="""",AS$2,AS$2&amp;"", ""&amp;AS$3)&amp;""]'!D1:D20""),
        IMPORTRANGE($F$8,""'Sensitivity [""&amp;IF(AS$3="""",AS$2,AS$2&amp;"", ""&amp;AS$3)&amp;""]'!A1:A20"")=$E13
      ),
    "&amp;"  """"
    )
  )
), ""-"")
"),21.457975187846138)</f>
        <v>21.45797519</v>
      </c>
      <c r="AT13" s="843" t="s">
        <v>124</v>
      </c>
      <c r="AU13" s="835">
        <f>IFERROR(__xludf.DUMMYFUNCTION("iferror(IF(
  IFNA(
    FILTER(
      IMPORTRANGE($F$8,""'Sensitivity [""&amp;IF(AS$3="""",AS$2,AS$2&amp;"", ""&amp;AS$3)&amp;""]'!E1:E20""),
      IMPORTRANGE($F$8,""'Sensitivity [""&amp;IF(AS$3="""",AS$2,AS$2&amp;"", ""&amp;AS$3)&amp;""]'!A1:A20"")=$E13
    ),
    """"
  ) = """",
  "&amp;"""-"",
  AS$5 * ( 1 +
    IFNA(
      FILTER(
        IMPORTRANGE($F$8,""'Sensitivity [""&amp;IF(AS$3="""",AS$2,AS$2&amp;"", ""&amp;AS$3)&amp;""]'!E1:E20""),
        IMPORTRANGE($F$8,""'Sensitivity [""&amp;IF(AS$3="""",AS$2,AS$2&amp;"", ""&amp;AS$3)&amp;""]'!A1:A20"")=$E13
      ),
    "&amp;"  """"
    )
  )
), ""-"")
"),27.341613545803884)</f>
        <v>27.34161355</v>
      </c>
      <c r="AV13" s="832">
        <f>IFERROR(__xludf.DUMMYFUNCTION("Iferror(IF(
  IFNA(
    FILTER(
      IMPORTRANGE($F$8,""'Sensitivity [""&amp;IF(AV$3="""",AV$2,AV$2&amp;"", ""&amp;AV$3)&amp;""]'!D1:D20""),
      IMPORTRANGE($F$8,""'Sensitivity [""&amp;IF(AV$3="""",AV$2,AV$2&amp;"", ""&amp;AV$3)&amp;""]'!A1:A20"")=$E13
    ),
    """"
  ) = """",
  "&amp;"""-"",
  AV$5 * ( 1 +
    IFNA(
      FILTER(
        IMPORTRANGE($F$8,""'Sensitivity [""&amp;IF(AV$3="""",AV$2,AV$2&amp;"", ""&amp;AV$3)&amp;""]'!D1:D20""),
        IMPORTRANGE($F$8,""'Sensitivity [""&amp;IF(AV$3="""",AV$2,AV$2&amp;"", ""&amp;AV$3)&amp;""]'!A1:A20"")=$E13
      ),
    "&amp;"  """"
    )
  )
), ""-"")
"),14.216485770235309)</f>
        <v>14.21648577</v>
      </c>
      <c r="AW13" s="843" t="s">
        <v>124</v>
      </c>
      <c r="AX13" s="835">
        <f>IFERROR(__xludf.DUMMYFUNCTION("iferror(IF(
  IFNA(
    FILTER(
      IMPORTRANGE($F$8,""'Sensitivity [""&amp;IF(AV$3="""",AV$2,AV$2&amp;"", ""&amp;AV$3)&amp;""]'!E1:E20""),
      IMPORTRANGE($F$8,""'Sensitivity [""&amp;IF(AV$3="""",AV$2,AV$2&amp;"", ""&amp;AV$3)&amp;""]'!A1:A20"")=$E13
    ),
    """"
  ) = """",
  "&amp;"""-"",
  AV$5 * ( 1 +
    IFNA(
      FILTER(
        IMPORTRANGE($F$8,""'Sensitivity [""&amp;IF(AV$3="""",AV$2,AV$2&amp;"", ""&amp;AV$3)&amp;""]'!E1:E20""),
        IMPORTRANGE($F$8,""'Sensitivity [""&amp;IF(AV$3="""",AV$2,AV$2&amp;"", ""&amp;AV$3)&amp;""]'!A1:A20"")=$E13
      ),
    "&amp;"  """"
    )
  )
), ""-"")
"),18.114554449170807)</f>
        <v>18.11455445</v>
      </c>
      <c r="AY13" s="832">
        <f>IFERROR(__xludf.DUMMYFUNCTION("Iferror(IF(
  IFNA(
    FILTER(
      IMPORTRANGE($F$8,""'Sensitivity [""&amp;IF(AY$3="""",AY$2,AY$2&amp;"", ""&amp;AY$3)&amp;""]'!D1:D20""),
      IMPORTRANGE($F$8,""'Sensitivity [""&amp;IF(AY$3="""",AY$2,AY$2&amp;"", ""&amp;AY$3)&amp;""]'!A1:A20"")=$E13
    ),
    """"
  ) = """",
  "&amp;"""-"",
  AY$5 * ( 1 +
    IFNA(
      FILTER(
        IMPORTRANGE($F$8,""'Sensitivity [""&amp;IF(AY$3="""",AY$2,AY$2&amp;"", ""&amp;AY$3)&amp;""]'!D1:D20""),
        IMPORTRANGE($F$8,""'Sensitivity [""&amp;IF(AY$3="""",AY$2,AY$2&amp;"", ""&amp;AY$3)&amp;""]'!A1:A20"")=$E13
      ),
    "&amp;"  """"
    )
  )
), ""-"")
"),26.421649094482014)</f>
        <v>26.42164909</v>
      </c>
      <c r="AZ13" s="843" t="s">
        <v>124</v>
      </c>
      <c r="BA13" s="835">
        <f>IFERROR(__xludf.DUMMYFUNCTION("iferror(IF(
  IFNA(
    FILTER(
      IMPORTRANGE($F$8,""'Sensitivity [""&amp;IF(AY$3="""",AY$2,AY$2&amp;"", ""&amp;AY$3)&amp;""]'!E1:E20""),
      IMPORTRANGE($F$8,""'Sensitivity [""&amp;IF(AY$3="""",AY$2,AY$2&amp;"", ""&amp;AY$3)&amp;""]'!A1:A20"")=$E13
    ),
    """"
  ) = """",
  "&amp;"""-"",
  AY$5 * ( 1 +
    IFNA(
      FILTER(
        IMPORTRANGE($F$8,""'Sensitivity [""&amp;IF(AY$3="""",AY$2,AY$2&amp;"", ""&amp;AY$3)&amp;""]'!E1:E20""),
        IMPORTRANGE($F$8,""'Sensitivity [""&amp;IF(AY$3="""",AY$2,AY$2&amp;"", ""&amp;AY$3)&amp;""]'!A1:A20"")=$E13
      ),
    "&amp;"  """"
    )
  )
), ""-"")
"),33.666294813936865)</f>
        <v>33.66629481</v>
      </c>
      <c r="BB13" s="832">
        <f>IFERROR(__xludf.DUMMYFUNCTION("Iferror(IF(
  IFNA(
    FILTER(
      IMPORTRANGE($F$8,""'Sensitivity [""&amp;IF(BB$3="""",BB$2,BB$2&amp;"", ""&amp;BB$3)&amp;""]'!D1:D20""),
      IMPORTRANGE($F$8,""'Sensitivity [""&amp;IF(BB$3="""",BB$2,BB$2&amp;"", ""&amp;BB$3)&amp;""]'!A1:A20"")=$E13
    ),
    """"
  ) = """",
  "&amp;"""-"",
  BB$5 * ( 1 +
    IFNA(
      FILTER(
        IMPORTRANGE($F$8,""'Sensitivity [""&amp;IF(BB$3="""",BB$2,BB$2&amp;"", ""&amp;BB$3)&amp;""]'!D1:D20""),
        IMPORTRANGE($F$8,""'Sensitivity [""&amp;IF(BB$3="""",BB$2,BB$2&amp;"", ""&amp;BB$3)&amp;""]'!A1:A20"")=$E13
      ),
    "&amp;"  """"
    )
  )
), ""-"")
"),9.323652003026078)</f>
        <v>9.323652003</v>
      </c>
      <c r="BC13" s="843" t="s">
        <v>124</v>
      </c>
      <c r="BD13" s="835">
        <f>IFERROR(__xludf.DUMMYFUNCTION("iferror(IF(
  IFNA(
    FILTER(
      IMPORTRANGE($F$8,""'Sensitivity [""&amp;IF(BB$3="""",BB$2,BB$2&amp;"", ""&amp;BB$3)&amp;""]'!E1:E20""),
      IMPORTRANGE($F$8,""'Sensitivity [""&amp;IF(BB$3="""",BB$2,BB$2&amp;"", ""&amp;BB$3)&amp;""]'!A1:A20"")=$E13
    ),
    """"
  ) = """",
  "&amp;"""-"",
  BB$5 * ( 1 +
    IFNA(
      FILTER(
        IMPORTRANGE($F$8,""'Sensitivity [""&amp;IF(BB$3="""",BB$2,BB$2&amp;"", ""&amp;BB$3)&amp;""]'!E1:E20""),
        IMPORTRANGE($F$8,""'Sensitivity [""&amp;IF(BB$3="""",BB$2,BB$2&amp;"", ""&amp;BB$3)&amp;""]'!A1:A20"")=$E13
      ),
    "&amp;"  """"
    )
  )
), ""-"")
"),11.880137229662264)</f>
        <v>11.88013723</v>
      </c>
      <c r="BE13" s="832" t="str">
        <f>IFERROR(__xludf.DUMMYFUNCTION("Iferror(IF(
  IFNA(
    FILTER(
      IMPORTRANGE($F$8,""'Sensitivity [""&amp;IF(BE$3="""",BE$2,BE$2&amp;"", ""&amp;BE$3)&amp;""]'!D1:D20""),
      IMPORTRANGE($F$8,""'Sensitivity [""&amp;IF(BE$3="""",BE$2,BE$2&amp;"", ""&amp;BE$3)&amp;""]'!A1:A20"")=$E13
    ),
    """"
  ) = """",
  "&amp;"""-"",
  BE$5 * ( 1 +
    IFNA(
      FILTER(
        IMPORTRANGE($F$8,""'Sensitivity [""&amp;IF(BE$3="""",BE$2,BE$2&amp;"", ""&amp;BE$3)&amp;""]'!D1:D20""),
        IMPORTRANGE($F$8,""'Sensitivity [""&amp;IF(BE$3="""",BE$2,BE$2&amp;"", ""&amp;BE$3)&amp;""]'!A1:A20"")=$E13
      ),
    "&amp;"  """"
    )
  )
), ""-"")
"),"-")</f>
        <v>-</v>
      </c>
      <c r="BF13" s="843" t="s">
        <v>124</v>
      </c>
      <c r="BG13" s="835" t="str">
        <f>IFERROR(__xludf.DUMMYFUNCTION("iferror(IF(
  IFNA(
    FILTER(
      IMPORTRANGE($F$8,""'Sensitivity [""&amp;IF(BE$3="""",BE$2,BE$2&amp;"", ""&amp;BE$3)&amp;""]'!E1:E20""),
      IMPORTRANGE($F$8,""'Sensitivity [""&amp;IF(BE$3="""",BE$2,BE$2&amp;"", ""&amp;BE$3)&amp;""]'!A1:A20"")=$E13
    ),
    """"
  ) = """",
  "&amp;"""-"",
  BE$5 * ( 1 +
    IFNA(
      FILTER(
        IMPORTRANGE($F$8,""'Sensitivity [""&amp;IF(BE$3="""",BE$2,BE$2&amp;"", ""&amp;BE$3)&amp;""]'!E1:E20""),
        IMPORTRANGE($F$8,""'Sensitivity [""&amp;IF(BE$3="""",BE$2,BE$2&amp;"", ""&amp;BE$3)&amp;""]'!A1:A20"")=$E13
      ),
    "&amp;"  """"
    )
  )
), ""-"")
"),"-")</f>
        <v>-</v>
      </c>
      <c r="BH13" s="885"/>
    </row>
    <row r="14">
      <c r="A14" s="219"/>
      <c r="B14" s="220"/>
      <c r="C14" s="400"/>
      <c r="D14" s="220"/>
      <c r="E14" s="829" t="str">
        <f t="shared" si="1"/>
        <v>Effect of SMC on under-five deaths related to malaria</v>
      </c>
      <c r="F14" s="830">
        <f>IFERROR(__xludf.DUMMYFUNCTION("Iferror(IF(
  IFNA(
    FILTER(
      IMPORTRANGE($F$8,""'Sensitivity [""&amp;IF(F$3="""",F$2,F$2&amp;"", ""&amp;F$3)&amp;""]'!D1:D20""),
      IMPORTRANGE($F$8,""'Sensitivity [""&amp;IF(F$3="""",F$2,F$2&amp;"", ""&amp;F$3)&amp;""]'!A1:A20"")=$E14
    ),
    """"
  ) = """",
  ""-"",
  "&amp;"F$5 * ( 1 +
    IFNA(
      FILTER(
        IMPORTRANGE($F$8,""'Sensitivity [""&amp;IF(F$3="""",F$2,F$2&amp;"", ""&amp;F$3)&amp;""]'!D1:D20""),
        IMPORTRANGE($F$8,""'Sensitivity [""&amp;IF(F$3="""",F$2,F$2&amp;"", ""&amp;F$3)&amp;""]'!A1:A20"")=$E14
      ),
      """"
    )
  )
)"&amp;", ""-"")
"),15.1838657428925)</f>
        <v>15.18386574</v>
      </c>
      <c r="G14" s="842" t="s">
        <v>124</v>
      </c>
      <c r="H14" s="831">
        <f>IFERROR(__xludf.DUMMYFUNCTION("iferror(IF(
  IFNA(
    FILTER(
      IMPORTRANGE($F$8,""'Sensitivity [""&amp;IF(F$3="""",F$2,F$2&amp;"", ""&amp;F$3)&amp;""]'!E1:E20""),
      IMPORTRANGE($F$8,""'Sensitivity [""&amp;IF(F$3="""",F$2,F$2&amp;"", ""&amp;F$3)&amp;""]'!A1:A20"")=$E14
    ),
    """"
  ) = """",
  ""-"",
  "&amp;"F$5 * ( 1 +
    IFNA(
      FILTER(
        IMPORTRANGE($F$8,""'Sensitivity [""&amp;IF(F$3="""",F$2,F$2&amp;"", ""&amp;F$3)&amp;""]'!E1:E20""),
        IMPORTRANGE($F$8,""'Sensitivity [""&amp;IF(F$3="""",F$2,F$2&amp;"", ""&amp;F$3)&amp;""]'!A1:A20"")=$E14
      ),
      """"
    )
  )
)"&amp;", ""-"")
"),19.263113255908483)</f>
        <v>19.26311326</v>
      </c>
      <c r="I14" s="830">
        <f>IFERROR(__xludf.DUMMYFUNCTION("Iferror(IF(
  IFNA(
    FILTER(
      IMPORTRANGE($F$8,""'Sensitivity [""&amp;IF(I$3="""",I$2,I$2&amp;"", ""&amp;I$3)&amp;""]'!D1:D20""),
      IMPORTRANGE($F$8,""'Sensitivity [""&amp;IF(I$3="""",I$2,I$2&amp;"", ""&amp;I$3)&amp;""]'!A1:A20"")=$E14
    ),
    """"
  ) = """",
  ""-"",
  "&amp;"I$5 * ( 1 +
    IFNA(
      FILTER(
        IMPORTRANGE($F$8,""'Sensitivity [""&amp;IF(I$3="""",I$2,I$2&amp;"", ""&amp;I$3)&amp;""]'!D1:D20""),
        IMPORTRANGE($F$8,""'Sensitivity [""&amp;IF(I$3="""",I$2,I$2&amp;"", ""&amp;I$3)&amp;""]'!A1:A20"")=$E14
      ),
      """"
    )
  )
)"&amp;", ""-"")
"),6.759425280177732)</f>
        <v>6.75942528</v>
      </c>
      <c r="J14" s="842" t="s">
        <v>124</v>
      </c>
      <c r="K14" s="831">
        <f>IFERROR(__xludf.DUMMYFUNCTION("iferror(IF(
  IFNA(
    FILTER(
      IMPORTRANGE($F$8,""'Sensitivity [""&amp;IF(I$3="""",I$2,I$2&amp;"", ""&amp;I$3)&amp;""]'!E1:E20""),
      IMPORTRANGE($F$8,""'Sensitivity [""&amp;IF(I$3="""",I$2,I$2&amp;"", ""&amp;I$3)&amp;""]'!A1:A20"")=$E14
    ),
    """"
  ) = """",
  ""-"",
  "&amp;"I$5 * ( 1 +
    IFNA(
      FILTER(
        IMPORTRANGE($F$8,""'Sensitivity [""&amp;IF(I$3="""",I$2,I$2&amp;"", ""&amp;I$3)&amp;""]'!E1:E20""),
        IMPORTRANGE($F$8,""'Sensitivity [""&amp;IF(I$3="""",I$2,I$2&amp;"", ""&amp;I$3)&amp;""]'!A1:A20"")=$E14
      ),
      """"
    )
  )
)"&amp;", ""-"")
"),8.575390280822507)</f>
        <v>8.575390281</v>
      </c>
      <c r="L14" s="832" t="str">
        <f>IFERROR(__xludf.DUMMYFUNCTION("Iferror(IF(
  IFNA(
    FILTER(
      IMPORTRANGE($F$8,""'Sensitivity [""&amp;IF(L$3="""",L$2,L$2&amp;"", ""&amp;L$3)&amp;""]'!D1:D20""),
      IMPORTRANGE($F$8,""'Sensitivity [""&amp;IF(L$3="""",L$2,L$2&amp;"", ""&amp;L$3)&amp;""]'!A1:A20"")=$E14
    ),
    """"
  ) = """",
  ""-"",
  "&amp;"L$5 * ( 1 +
    IFNA(
      FILTER(
        IMPORTRANGE($F$8,""'Sensitivity [""&amp;IF(L$3="""",L$2,L$2&amp;"", ""&amp;L$3)&amp;""]'!D1:D20""),
        IMPORTRANGE($F$8,""'Sensitivity [""&amp;IF(L$3="""",L$2,L$2&amp;"", ""&amp;L$3)&amp;""]'!A1:A20"")=$E14
      ),
      """"
    )
  )
)"&amp;", ""-"")
"),"-")</f>
        <v>-</v>
      </c>
      <c r="M14" s="843" t="s">
        <v>124</v>
      </c>
      <c r="N14" s="835" t="str">
        <f>IFERROR(__xludf.DUMMYFUNCTION("iferror(IF(
  IFNA(
    FILTER(
      IMPORTRANGE($F$8,""'Sensitivity [""&amp;IF(L$3="""",L$2,L$2&amp;"", ""&amp;L$3)&amp;""]'!E1:E20""),
      IMPORTRANGE($F$8,""'Sensitivity [""&amp;IF(L$3="""",L$2,L$2&amp;"", ""&amp;L$3)&amp;""]'!A1:A20"")=$E14
    ),
    """"
  ) = """",
  ""-"",
  "&amp;"L$5 * ( 1 +
    IFNA(
      FILTER(
        IMPORTRANGE($F$8,""'Sensitivity [""&amp;IF(L$3="""",L$2,L$2&amp;"", ""&amp;L$3)&amp;""]'!E1:E20""),
        IMPORTRANGE($F$8,""'Sensitivity [""&amp;IF(L$3="""",L$2,L$2&amp;"", ""&amp;L$3)&amp;""]'!A1:A20"")=$E14
      ),
      """"
    )
  )
)"&amp;", ""-"")
"),"-")</f>
        <v>-</v>
      </c>
      <c r="O14" s="832" t="str">
        <f>IFERROR(__xludf.DUMMYFUNCTION("Iferror(IF(
  IFNA(
    FILTER(
      IMPORTRANGE($F$8,""'Sensitivity [""&amp;IF(O$3="""",O$2,O$2&amp;"", ""&amp;O$3)&amp;""]'!D1:D20""),
      IMPORTRANGE($F$8,""'Sensitivity [""&amp;IF(O$3="""",O$2,O$2&amp;"", ""&amp;O$3)&amp;""]'!A1:A20"")=$E14
    ),
    """"
  ) = """",
  ""-"",
  "&amp;"O$5 * ( 1 +
    IFNA(
      FILTER(
        IMPORTRANGE($F$8,""'Sensitivity [""&amp;IF(O$3="""",O$2,O$2&amp;"", ""&amp;O$3)&amp;""]'!D1:D20""),
        IMPORTRANGE($F$8,""'Sensitivity [""&amp;IF(O$3="""",O$2,O$2&amp;"", ""&amp;O$3)&amp;""]'!A1:A20"")=$E14
      ),
      """"
    )
  )
)"&amp;", ""-"")
"),"-")</f>
        <v>-</v>
      </c>
      <c r="P14" s="843" t="s">
        <v>124</v>
      </c>
      <c r="Q14" s="835" t="str">
        <f>IFERROR(__xludf.DUMMYFUNCTION("iferror(IF(
  IFNA(
    FILTER(
      IMPORTRANGE($F$8,""'Sensitivity [""&amp;IF(O$3="""",O$2,O$2&amp;"", ""&amp;O$3)&amp;""]'!E1:E20""),
      IMPORTRANGE($F$8,""'Sensitivity [""&amp;IF(O$3="""",O$2,O$2&amp;"", ""&amp;O$3)&amp;""]'!A1:A20"")=$E14
    ),
    """"
  ) = """",
  ""-"",
  "&amp;"O$5 * ( 1 +
    IFNA(
      FILTER(
        IMPORTRANGE($F$8,""'Sensitivity [""&amp;IF(O$3="""",O$2,O$2&amp;"", ""&amp;O$3)&amp;""]'!E1:E20""),
        IMPORTRANGE($F$8,""'Sensitivity [""&amp;IF(O$3="""",O$2,O$2&amp;"", ""&amp;O$3)&amp;""]'!A1:A20"")=$E14
      ),
      """"
    )
  )
)"&amp;", ""-"")
"),"-")</f>
        <v>-</v>
      </c>
      <c r="R14" s="832" t="str">
        <f>IFERROR(__xludf.DUMMYFUNCTION("Iferror(IF(
  IFNA(
    FILTER(
      IMPORTRANGE($F$8,""'Sensitivity [""&amp;IF(R$3="""",R$2,R$2&amp;"", ""&amp;R$3)&amp;""]'!D1:D20""),
      IMPORTRANGE($F$8,""'Sensitivity [""&amp;IF(R$3="""",R$2,R$2&amp;"", ""&amp;R$3)&amp;""]'!A1:A20"")=$E14
    ),
    """"
  ) = """",
  ""-"",
  "&amp;"R$5 * ( 1 +
    IFNA(
      FILTER(
        IMPORTRANGE($F$8,""'Sensitivity [""&amp;IF(R$3="""",R$2,R$2&amp;"", ""&amp;R$3)&amp;""]'!D1:D20""),
        IMPORTRANGE($F$8,""'Sensitivity [""&amp;IF(R$3="""",R$2,R$2&amp;"", ""&amp;R$3)&amp;""]'!A1:A20"")=$E14
      ),
      """"
    )
  )
)"&amp;", ""-"")
"),"-")</f>
        <v>-</v>
      </c>
      <c r="S14" s="843" t="s">
        <v>124</v>
      </c>
      <c r="T14" s="835" t="str">
        <f>IFERROR(__xludf.DUMMYFUNCTION("iferror(IF(
  IFNA(
    FILTER(
      IMPORTRANGE($F$8,""'Sensitivity [""&amp;IF(R$3="""",R$2,R$2&amp;"", ""&amp;R$3)&amp;""]'!E1:E20""),
      IMPORTRANGE($F$8,""'Sensitivity [""&amp;IF(R$3="""",R$2,R$2&amp;"", ""&amp;R$3)&amp;""]'!A1:A20"")=$E14
    ),
    """"
  ) = """",
  ""-"",
  "&amp;"R$5 * ( 1 +
    IFNA(
      FILTER(
        IMPORTRANGE($F$8,""'Sensitivity [""&amp;IF(R$3="""",R$2,R$2&amp;"", ""&amp;R$3)&amp;""]'!E1:E20""),
        IMPORTRANGE($F$8,""'Sensitivity [""&amp;IF(R$3="""",R$2,R$2&amp;"", ""&amp;R$3)&amp;""]'!A1:A20"")=$E14
      ),
      """"
    )
  )
)"&amp;", ""-"")
"),"-")</f>
        <v>-</v>
      </c>
      <c r="U14" s="832" t="str">
        <f>IFERROR(__xludf.DUMMYFUNCTION("Iferror(IF(
  IFNA(
    FILTER(
      IMPORTRANGE($F$8,""'Sensitivity [""&amp;IF(U$3="""",U$2,U$2&amp;"", ""&amp;U$3)&amp;""]'!D1:D20""),
      IMPORTRANGE($F$8,""'Sensitivity [""&amp;IF(U$3="""",U$2,U$2&amp;"", ""&amp;U$3)&amp;""]'!A1:A20"")=$E14
    ),
    """"
  ) = """",
  ""-"",
  "&amp;"U$5 * ( 1 +
    IFNA(
      FILTER(
        IMPORTRANGE($F$8,""'Sensitivity [""&amp;IF(U$3="""",U$2,U$2&amp;"", ""&amp;U$3)&amp;""]'!D1:D20""),
        IMPORTRANGE($F$8,""'Sensitivity [""&amp;IF(U$3="""",U$2,U$2&amp;"", ""&amp;U$3)&amp;""]'!A1:A20"")=$E14
      ),
      """"
    )
  )
)"&amp;", ""-"")
"),"-")</f>
        <v>-</v>
      </c>
      <c r="V14" s="843" t="s">
        <v>124</v>
      </c>
      <c r="W14" s="835" t="str">
        <f>IFERROR(__xludf.DUMMYFUNCTION("iferror(IF(
  IFNA(
    FILTER(
      IMPORTRANGE($F$8,""'Sensitivity [""&amp;IF(U$3="""",U$2,U$2&amp;"", ""&amp;U$3)&amp;""]'!E1:E20""),
      IMPORTRANGE($F$8,""'Sensitivity [""&amp;IF(U$3="""",U$2,U$2&amp;"", ""&amp;U$3)&amp;""]'!A1:A20"")=$E14
    ),
    """"
  ) = """",
  ""-"",
  "&amp;"U$5 * ( 1 +
    IFNA(
      FILTER(
        IMPORTRANGE($F$8,""'Sensitivity [""&amp;IF(U$3="""",U$2,U$2&amp;"", ""&amp;U$3)&amp;""]'!E1:E20""),
        IMPORTRANGE($F$8,""'Sensitivity [""&amp;IF(U$3="""",U$2,U$2&amp;"", ""&amp;U$3)&amp;""]'!A1:A20"")=$E14
      ),
      """"
    )
  )
)"&amp;", ""-"")
"),"-")</f>
        <v>-</v>
      </c>
      <c r="X14" s="832" t="str">
        <f>IFERROR(__xludf.DUMMYFUNCTION("Iferror(IF(
  IFNA(
    FILTER(
      IMPORTRANGE($F$8,""'Sensitivity [""&amp;IF(X$3="""",X$2,X$2&amp;"", ""&amp;X$3)&amp;""]'!D1:D20""),
      IMPORTRANGE($F$8,""'Sensitivity [""&amp;IF(X$3="""",X$2,X$2&amp;"", ""&amp;X$3)&amp;""]'!A1:A20"")=$E14
    ),
    """"
  ) = """",
  ""-"",
  "&amp;"X$5 * ( 1 +
    IFNA(
      FILTER(
        IMPORTRANGE($F$8,""'Sensitivity [""&amp;IF(X$3="""",X$2,X$2&amp;"", ""&amp;X$3)&amp;""]'!D1:D20""),
        IMPORTRANGE($F$8,""'Sensitivity [""&amp;IF(X$3="""",X$2,X$2&amp;"", ""&amp;X$3)&amp;""]'!A1:A20"")=$E14
      ),
      """"
    )
  )
)"&amp;", ""-"")
"),"-")</f>
        <v>-</v>
      </c>
      <c r="Y14" s="843" t="s">
        <v>124</v>
      </c>
      <c r="Z14" s="835" t="str">
        <f>IFERROR(__xludf.DUMMYFUNCTION("iferror(IF(
  IFNA(
    FILTER(
      IMPORTRANGE($F$8,""'Sensitivity [""&amp;IF(X$3="""",X$2,X$2&amp;"", ""&amp;X$3)&amp;""]'!E1:E20""),
      IMPORTRANGE($F$8,""'Sensitivity [""&amp;IF(X$3="""",X$2,X$2&amp;"", ""&amp;X$3)&amp;""]'!A1:A20"")=$E14
    ),
    """"
  ) = """",
  ""-"",
  "&amp;"X$5 * ( 1 +
    IFNA(
      FILTER(
        IMPORTRANGE($F$8,""'Sensitivity [""&amp;IF(X$3="""",X$2,X$2&amp;"", ""&amp;X$3)&amp;""]'!E1:E20""),
        IMPORTRANGE($F$8,""'Sensitivity [""&amp;IF(X$3="""",X$2,X$2&amp;"", ""&amp;X$3)&amp;""]'!A1:A20"")=$E14
      ),
      """"
    )
  )
)"&amp;", ""-"")
"),"-")</f>
        <v>-</v>
      </c>
      <c r="AA14" s="832">
        <f>IFERROR(__xludf.DUMMYFUNCTION("Iferror(IF(
  IFNA(
    FILTER(
      IMPORTRANGE($F$8,""'Sensitivity [""&amp;IF(AA$3="""",AA$2,AA$2&amp;"", ""&amp;AA$3)&amp;""]'!D1:D20""),
      IMPORTRANGE($F$8,""'Sensitivity [""&amp;IF(AA$3="""",AA$2,AA$2&amp;"", ""&amp;AA$3)&amp;""]'!A1:A20"")=$E14
    ),
    """"
  ) = """",
  "&amp;"""-"",
  AA$5 * ( 1 +
    IFNA(
      FILTER(
        IMPORTRANGE($F$8,""'Sensitivity [""&amp;IF(AA$3="""",AA$2,AA$2&amp;"", ""&amp;AA$3)&amp;""]'!D1:D20""),
        IMPORTRANGE($F$8,""'Sensitivity [""&amp;IF(AA$3="""",AA$2,AA$2&amp;"", ""&amp;AA$3)&amp;""]'!A1:A20"")=$E14
      ),
    "&amp;"  """"
    )
  )
), ""-"")
"),17.932847123515792)</f>
        <v>17.93284712</v>
      </c>
      <c r="AB14" s="843" t="s">
        <v>124</v>
      </c>
      <c r="AC14" s="835">
        <f>IFERROR(__xludf.DUMMYFUNCTION("iferror(IF(
  IFNA(
    FILTER(
      IMPORTRANGE($F$8,""'Sensitivity [""&amp;IF(AA$3="""",AA$2,AA$2&amp;"", ""&amp;AA$3)&amp;""]'!E1:E20""),
      IMPORTRANGE($F$8,""'Sensitivity [""&amp;IF(AA$3="""",AA$2,AA$2&amp;"", ""&amp;AA$3)&amp;""]'!A1:A20"")=$E14
    ),
    """"
  ) = """",
  "&amp;"""-"",
  AA$5 * ( 1 +
    IFNA(
      FILTER(
        IMPORTRANGE($F$8,""'Sensitivity [""&amp;IF(AA$3="""",AA$2,AA$2&amp;"", ""&amp;AA$3)&amp;""]'!E1:E20""),
        IMPORTRANGE($F$8,""'Sensitivity [""&amp;IF(AA$3="""",AA$2,AA$2&amp;"", ""&amp;AA$3)&amp;""]'!A1:A20"")=$E14
      ),
    "&amp;"  """"
    )
  )
), ""-"")
"),22.750626947743793)</f>
        <v>22.75062695</v>
      </c>
      <c r="AD14" s="832">
        <f>IFERROR(__xludf.DUMMYFUNCTION("Iferror(IF(
  IFNA(
    FILTER(
      IMPORTRANGE($F$8,""'Sensitivity [""&amp;IF(AD$3="""",AD$2,AD$2&amp;"", ""&amp;AD$3)&amp;""]'!D1:D20""),
      IMPORTRANGE($F$8,""'Sensitivity [""&amp;IF(AD$3="""",AD$2,AD$2&amp;"", ""&amp;AD$3)&amp;""]'!A1:A20"")=$E14
    ),
    """"
  ) = """",
  "&amp;"""-"",
  AD$5 * ( 1 +
    IFNA(
      FILTER(
        IMPORTRANGE($F$8,""'Sensitivity [""&amp;IF(AD$3="""",AD$2,AD$2&amp;"", ""&amp;AD$3)&amp;""]'!D1:D20""),
        IMPORTRANGE($F$8,""'Sensitivity [""&amp;IF(AD$3="""",AD$2,AD$2&amp;"", ""&amp;AD$3)&amp;""]'!A1:A20"")=$E14
      ),
    "&amp;"  """"
    )
  )
), ""-"")
"),15.158930958890934)</f>
        <v>15.15893096</v>
      </c>
      <c r="AE14" s="843" t="s">
        <v>124</v>
      </c>
      <c r="AF14" s="835">
        <f>IFERROR(__xludf.DUMMYFUNCTION("iferror(IF(
  IFNA(
    FILTER(
      IMPORTRANGE($F$8,""'Sensitivity [""&amp;IF(AD$3="""",AD$2,AD$2&amp;"", ""&amp;AD$3)&amp;""]'!E1:E20""),
      IMPORTRANGE($F$8,""'Sensitivity [""&amp;IF(AD$3="""",AD$2,AD$2&amp;"", ""&amp;AD$3)&amp;""]'!A1:A20"")=$E14
    ),
    """"
  ) = """",
  "&amp;"""-"",
  AD$5 * ( 1 +
    IFNA(
      FILTER(
        IMPORTRANGE($F$8,""'Sensitivity [""&amp;IF(AD$3="""",AD$2,AD$2&amp;"", ""&amp;AD$3)&amp;""]'!E1:E20""),
        IMPORTRANGE($F$8,""'Sensitivity [""&amp;IF(AD$3="""",AD$2,AD$2&amp;"", ""&amp;AD$3)&amp;""]'!A1:A20"")=$E14
      ),
    "&amp;"  """"
    )
  )
), ""-"")
"),19.231479574712317)</f>
        <v>19.23147957</v>
      </c>
      <c r="AG14" s="832">
        <f>IFERROR(__xludf.DUMMYFUNCTION("Iferror(IF(
  IFNA(
    FILTER(
      IMPORTRANGE($F$8,""'Sensitivity [""&amp;IF(AG$3="""",AG$2,AG$2&amp;"", ""&amp;AG$3)&amp;""]'!D1:D20""),
      IMPORTRANGE($F$8,""'Sensitivity [""&amp;IF(AG$3="""",AG$2,AG$2&amp;"", ""&amp;AG$3)&amp;""]'!A1:A20"")=$E14
    ),
    """"
  ) = """",
  "&amp;"""-"",
  AG$5 * ( 1 +
    IFNA(
      FILTER(
        IMPORTRANGE($F$8,""'Sensitivity [""&amp;IF(AG$3="""",AG$2,AG$2&amp;"", ""&amp;AG$3)&amp;""]'!D1:D20""),
        IMPORTRANGE($F$8,""'Sensitivity [""&amp;IF(AG$3="""",AG$2,AG$2&amp;"", ""&amp;AG$3)&amp;""]'!A1:A20"")=$E14
      ),
    "&amp;"  """"
    )
  )
), ""-"")
"),13.60227689110402)</f>
        <v>13.60227689</v>
      </c>
      <c r="AH14" s="843" t="s">
        <v>124</v>
      </c>
      <c r="AI14" s="835">
        <f>IFERROR(__xludf.DUMMYFUNCTION("iferror(IF(
  IFNA(
    FILTER(
      IMPORTRANGE($F$8,""'Sensitivity [""&amp;IF(AG$3="""",AG$2,AG$2&amp;"", ""&amp;AG$3)&amp;""]'!E1:E20""),
      IMPORTRANGE($F$8,""'Sensitivity [""&amp;IF(AG$3="""",AG$2,AG$2&amp;"", ""&amp;AG$3)&amp;""]'!A1:A20"")=$E14
    ),
    """"
  ) = """",
  "&amp;"""-"",
  AG$5 * ( 1 +
    IFNA(
      FILTER(
        IMPORTRANGE($F$8,""'Sensitivity [""&amp;IF(AG$3="""",AG$2,AG$2&amp;"", ""&amp;AG$3)&amp;""]'!E1:E20""),
        IMPORTRANGE($F$8,""'Sensitivity [""&amp;IF(AG$3="""",AG$2,AG$2&amp;"", ""&amp;AG$3)&amp;""]'!A1:A20"")=$E14
      ),
    "&amp;"  """"
    )
  )
), ""-"")
"),17.25661993647537)</f>
        <v>17.25661994</v>
      </c>
      <c r="AJ14" s="832">
        <f>IFERROR(__xludf.DUMMYFUNCTION("Iferror(IF(
  IFNA(
    FILTER(
      IMPORTRANGE($F$8,""'Sensitivity [""&amp;IF(AJ$3="""",AJ$2,AJ$2&amp;"", ""&amp;AJ$3)&amp;""]'!D1:D20""),
      IMPORTRANGE($F$8,""'Sensitivity [""&amp;IF(AJ$3="""",AJ$2,AJ$2&amp;"", ""&amp;AJ$3)&amp;""]'!A1:A20"")=$E14
    ),
    """"
  ) = """",
  "&amp;"""-"",
  AJ$5 * ( 1 +
    IFNA(
      FILTER(
        IMPORTRANGE($F$8,""'Sensitivity [""&amp;IF(AJ$3="""",AJ$2,AJ$2&amp;"", ""&amp;AJ$3)&amp;""]'!D1:D20""),
        IMPORTRANGE($F$8,""'Sensitivity [""&amp;IF(AJ$3="""",AJ$2,AJ$2&amp;"", ""&amp;AJ$3)&amp;""]'!A1:A20"")=$E14
      ),
    "&amp;"  """"
    )
  )
), ""-"")
"),24.847016908815657)</f>
        <v>24.84701691</v>
      </c>
      <c r="AK14" s="843" t="s">
        <v>124</v>
      </c>
      <c r="AL14" s="835">
        <f>IFERROR(__xludf.DUMMYFUNCTION("iferror(IF(
  IFNA(
    FILTER(
      IMPORTRANGE($F$8,""'Sensitivity [""&amp;IF(AJ$3="""",AJ$2,AJ$2&amp;"", ""&amp;AJ$3)&amp;""]'!E1:E20""),
      IMPORTRANGE($F$8,""'Sensitivity [""&amp;IF(AJ$3="""",AJ$2,AJ$2&amp;"", ""&amp;AJ$3)&amp;""]'!A1:A20"")=$E14
    ),
    """"
  ) = """",
  "&amp;"""-"",
  AJ$5 * ( 1 +
    IFNA(
      FILTER(
        IMPORTRANGE($F$8,""'Sensitivity [""&amp;IF(AJ$3="""",AJ$2,AJ$2&amp;"", ""&amp;AJ$3)&amp;""]'!E1:E20""),
        IMPORTRANGE($F$8,""'Sensitivity [""&amp;IF(AJ$3="""",AJ$2,AJ$2&amp;"", ""&amp;AJ$3)&amp;""]'!A1:A20"")=$E14
      ),
    "&amp;"  """"
    )
  )
), ""-"")
"),31.522334884318337)</f>
        <v>31.52233488</v>
      </c>
      <c r="AM14" s="832">
        <f>IFERROR(__xludf.DUMMYFUNCTION("Iferror(IF(
  IFNA(
    FILTER(
      IMPORTRANGE($F$8,""'Sensitivity [""&amp;IF(AM$3="""",AM$2,AM$2&amp;"", ""&amp;AM$3)&amp;""]'!D1:D20""),
      IMPORTRANGE($F$8,""'Sensitivity [""&amp;IF(AM$3="""",AM$2,AM$2&amp;"", ""&amp;AM$3)&amp;""]'!A1:A20"")=$E14
    ),
    """"
  ) = """",
  "&amp;"""-"",
  AM$5 * ( 1 +
    IFNA(
      FILTER(
        IMPORTRANGE($F$8,""'Sensitivity [""&amp;IF(AM$3="""",AM$2,AM$2&amp;"", ""&amp;AM$3)&amp;""]'!D1:D20""),
        IMPORTRANGE($F$8,""'Sensitivity [""&amp;IF(AM$3="""",AM$2,AM$2&amp;"", ""&amp;AM$3)&amp;""]'!A1:A20"")=$E14
      ),
    "&amp;"  """"
    )
  )
), ""-"")
"),17.78446360334134)</f>
        <v>17.7844636</v>
      </c>
      <c r="AN14" s="843" t="s">
        <v>124</v>
      </c>
      <c r="AO14" s="835">
        <f>IFERROR(__xludf.DUMMYFUNCTION("iferror(IF(
  IFNA(
    FILTER(
      IMPORTRANGE($F$8,""'Sensitivity [""&amp;IF(AM$3="""",AM$2,AM$2&amp;"", ""&amp;AM$3)&amp;""]'!E1:E20""),
      IMPORTRANGE($F$8,""'Sensitivity [""&amp;IF(AM$3="""",AM$2,AM$2&amp;"", ""&amp;AM$3)&amp;""]'!A1:A20"")=$E14
    ),
    """"
  ) = """",
  "&amp;"""-"",
  AM$5 * ( 1 +
    IFNA(
      FILTER(
        IMPORTRANGE($F$8,""'Sensitivity [""&amp;IF(AM$3="""",AM$2,AM$2&amp;"", ""&amp;AM$3)&amp;""]'!E1:E20""),
        IMPORTRANGE($F$8,""'Sensitivity [""&amp;IF(AM$3="""",AM$2,AM$2&amp;"", ""&amp;AM$3)&amp;""]'!A1:A20"")=$E14
      ),
    "&amp;"  """"
    )
  )
), ""-"")
"),22.562379198268772)</f>
        <v>22.5623792</v>
      </c>
      <c r="AP14" s="832">
        <f>IFERROR(__xludf.DUMMYFUNCTION("Iferror(IF(
  IFNA(
    FILTER(
      IMPORTRANGE($F$8,""'Sensitivity [""&amp;IF(AP$3="""",AP$2,AP$2&amp;"", ""&amp;AP$3)&amp;""]'!D1:D20""),
      IMPORTRANGE($F$8,""'Sensitivity [""&amp;IF(AP$3="""",AP$2,AP$2&amp;"", ""&amp;AP$3)&amp;""]'!A1:A20"")=$E14
    ),
    """"
  ) = """",
  "&amp;"""-"",
  AP$5 * ( 1 +
    IFNA(
      FILTER(
        IMPORTRANGE($F$8,""'Sensitivity [""&amp;IF(AP$3="""",AP$2,AP$2&amp;"", ""&amp;AP$3)&amp;""]'!D1:D20""),
        IMPORTRANGE($F$8,""'Sensitivity [""&amp;IF(AP$3="""",AP$2,AP$2&amp;"", ""&amp;AP$3)&amp;""]'!A1:A20"")=$E14
      ),
    "&amp;"  """"
    )
  )
), ""-"")
"),18.8543664716529)</f>
        <v>18.85436647</v>
      </c>
      <c r="AQ14" s="843" t="s">
        <v>124</v>
      </c>
      <c r="AR14" s="835">
        <f>IFERROR(__xludf.DUMMYFUNCTION("iferror(IF(
  IFNA(
    FILTER(
      IMPORTRANGE($F$8,""'Sensitivity [""&amp;IF(AP$3="""",AP$2,AP$2&amp;"", ""&amp;AP$3)&amp;""]'!E1:E20""),
      IMPORTRANGE($F$8,""'Sensitivity [""&amp;IF(AP$3="""",AP$2,AP$2&amp;"", ""&amp;AP$3)&amp;""]'!A1:A20"")=$E14
    ),
    """"
  ) = """",
  "&amp;"""-"",
  AP$5 * ( 1 +
    IFNA(
      FILTER(
        IMPORTRANGE($F$8,""'Sensitivity [""&amp;IF(AP$3="""",AP$2,AP$2&amp;"", ""&amp;AP$3)&amp;""]'!E1:E20""),
        IMPORTRANGE($F$8,""'Sensitivity [""&amp;IF(AP$3="""",AP$2,AP$2&amp;"", ""&amp;AP$3)&amp;""]'!A1:A20"")=$E14
      ),
    "&amp;"  """"
    )
  )
), ""-"")
"),23.91971865806717)</f>
        <v>23.91971866</v>
      </c>
      <c r="AS14" s="832">
        <f>IFERROR(__xludf.DUMMYFUNCTION("Iferror(IF(
  IFNA(
    FILTER(
      IMPORTRANGE($F$8,""'Sensitivity [""&amp;IF(AS$3="""",AS$2,AS$2&amp;"", ""&amp;AS$3)&amp;""]'!D1:D20""),
      IMPORTRANGE($F$8,""'Sensitivity [""&amp;IF(AS$3="""",AS$2,AS$2&amp;"", ""&amp;AS$3)&amp;""]'!A1:A20"")=$E14
    ),
    """"
  ) = """",
  "&amp;"""-"",
  AS$5 * ( 1 +
    IFNA(
      FILTER(
        IMPORTRANGE($F$8,""'Sensitivity [""&amp;IF(AS$3="""",AS$2,AS$2&amp;"", ""&amp;AS$3)&amp;""]'!D1:D20""),
        IMPORTRANGE($F$8,""'Sensitivity [""&amp;IF(AS$3="""",AS$2,AS$2&amp;"", ""&amp;AS$3)&amp;""]'!A1:A20"")=$E14
      ),
    "&amp;"  """"
    )
  )
), ""-"")
"),20.56866480647866)</f>
        <v>20.56866481</v>
      </c>
      <c r="AT14" s="843" t="s">
        <v>124</v>
      </c>
      <c r="AU14" s="835">
        <f>IFERROR(__xludf.DUMMYFUNCTION("iferror(IF(
  IFNA(
    FILTER(
      IMPORTRANGE($F$8,""'Sensitivity [""&amp;IF(AS$3="""",AS$2,AS$2&amp;"", ""&amp;AS$3)&amp;""]'!E1:E20""),
      IMPORTRANGE($F$8,""'Sensitivity [""&amp;IF(AS$3="""",AS$2,AS$2&amp;"", ""&amp;AS$3)&amp;""]'!A1:A20"")=$E14
    ),
    """"
  ) = """",
  "&amp;"""-"",
  AS$5 * ( 1 +
    IFNA(
      FILTER(
        IMPORTRANGE($F$8,""'Sensitivity [""&amp;IF(AS$3="""",AS$2,AS$2&amp;"", ""&amp;AS$3)&amp;""]'!E1:E20""),
        IMPORTRANGE($F$8,""'Sensitivity [""&amp;IF(AS$3="""",AS$2,AS$2&amp;"", ""&amp;AS$3)&amp;""]'!A1:A20"")=$E14
      ),
    "&amp;"  """"
    )
  )
), ""-"")
"),26.094574754487777)</f>
        <v>26.09457475</v>
      </c>
      <c r="AV14" s="832">
        <f>IFERROR(__xludf.DUMMYFUNCTION("Iferror(IF(
  IFNA(
    FILTER(
      IMPORTRANGE($F$8,""'Sensitivity [""&amp;IF(AV$3="""",AV$2,AV$2&amp;"", ""&amp;AV$3)&amp;""]'!D1:D20""),
      IMPORTRANGE($F$8,""'Sensitivity [""&amp;IF(AV$3="""",AV$2,AV$2&amp;"", ""&amp;AV$3)&amp;""]'!A1:A20"")=$E14
    ),
    """"
  ) = """",
  "&amp;"""-"",
  AV$5 * ( 1 +
    IFNA(
      FILTER(
        IMPORTRANGE($F$8,""'Sensitivity [""&amp;IF(AV$3="""",AV$2,AV$2&amp;"", ""&amp;AV$3)&amp;""]'!D1:D20""),
        IMPORTRANGE($F$8,""'Sensitivity [""&amp;IF(AV$3="""",AV$2,AV$2&amp;"", ""&amp;AV$3)&amp;""]'!A1:A20"")=$E14
      ),
    "&amp;"  """"
    )
  )
), ""-"")
"),13.505324636539441)</f>
        <v>13.50532464</v>
      </c>
      <c r="AW14" s="843" t="s">
        <v>124</v>
      </c>
      <c r="AX14" s="835">
        <f>IFERROR(__xludf.DUMMYFUNCTION("iferror(IF(
  IFNA(
    FILTER(
      IMPORTRANGE($F$8,""'Sensitivity [""&amp;IF(AV$3="""",AV$2,AV$2&amp;"", ""&amp;AV$3)&amp;""]'!E1:E20""),
      IMPORTRANGE($F$8,""'Sensitivity [""&amp;IF(AV$3="""",AV$2,AV$2&amp;"", ""&amp;AV$3)&amp;""]'!A1:A20"")=$E14
    ),
    """"
  ) = """",
  "&amp;"""-"",
  AV$5 * ( 1 +
    IFNA(
      FILTER(
        IMPORTRANGE($F$8,""'Sensitivity [""&amp;IF(AV$3="""",AV$2,AV$2&amp;"", ""&amp;AV$3)&amp;""]'!E1:E20""),
        IMPORTRANGE($F$8,""'Sensitivity [""&amp;IF(AV$3="""",AV$2,AV$2&amp;"", ""&amp;AV$3)&amp;""]'!A1:A20"")=$E14
      ),
    "&amp;"  """"
    )
  )
), ""-"")
"),17.133620807550102)</f>
        <v>17.13362081</v>
      </c>
      <c r="AY14" s="832">
        <f>IFERROR(__xludf.DUMMYFUNCTION("Iferror(IF(
  IFNA(
    FILTER(
      IMPORTRANGE($F$8,""'Sensitivity [""&amp;IF(AY$3="""",AY$2,AY$2&amp;"", ""&amp;AY$3)&amp;""]'!D1:D20""),
      IMPORTRANGE($F$8,""'Sensitivity [""&amp;IF(AY$3="""",AY$2,AY$2&amp;"", ""&amp;AY$3)&amp;""]'!A1:A20"")=$E14
    ),
    """"
  ) = """",
  "&amp;"""-"",
  AY$5 * ( 1 +
    IFNA(
      FILTER(
        IMPORTRANGE($F$8,""'Sensitivity [""&amp;IF(AY$3="""",AY$2,AY$2&amp;"", ""&amp;AY$3)&amp;""]'!D1:D20""),
        IMPORTRANGE($F$8,""'Sensitivity [""&amp;IF(AY$3="""",AY$2,AY$2&amp;"", ""&amp;AY$3)&amp;""]'!A1:A20"")=$E14
      ),
    "&amp;"  """"
    )
  )
), ""-"")
"),25.224031503367193)</f>
        <v>25.2240315</v>
      </c>
      <c r="AZ14" s="843" t="s">
        <v>124</v>
      </c>
      <c r="BA14" s="835">
        <f>IFERROR(__xludf.DUMMYFUNCTION("iferror(IF(
  IFNA(
    FILTER(
      IMPORTRANGE($F$8,""'Sensitivity [""&amp;IF(AY$3="""",AY$2,AY$2&amp;"", ""&amp;AY$3)&amp;""]'!E1:E20""),
      IMPORTRANGE($F$8,""'Sensitivity [""&amp;IF(AY$3="""",AY$2,AY$2&amp;"", ""&amp;AY$3)&amp;""]'!A1:A20"")=$E14
    ),
    """"
  ) = """",
  "&amp;"""-"",
  AY$5 * ( 1 +
    IFNA(
      FILTER(
        IMPORTRANGE($F$8,""'Sensitivity [""&amp;IF(AY$3="""",AY$2,AY$2&amp;"", ""&amp;AY$3)&amp;""]'!E1:E20""),
        IMPORTRANGE($F$8,""'Sensitivity [""&amp;IF(AY$3="""",AY$2,AY$2&amp;"", ""&amp;AY$3)&amp;""]'!A1:A20"")=$E14
      ),
    "&amp;"  """"
    )
  )
), ""-"")
"),32.000636981883865)</f>
        <v>32.00063698</v>
      </c>
      <c r="BB14" s="832">
        <f>IFERROR(__xludf.DUMMYFUNCTION("Iferror(IF(
  IFNA(
    FILTER(
      IMPORTRANGE($F$8,""'Sensitivity [""&amp;IF(BB$3="""",BB$2,BB$2&amp;"", ""&amp;BB$3)&amp;""]'!D1:D20""),
      IMPORTRANGE($F$8,""'Sensitivity [""&amp;IF(BB$3="""",BB$2,BB$2&amp;"", ""&amp;BB$3)&amp;""]'!A1:A20"")=$E14
    ),
    """"
  ) = """",
  "&amp;"""-"",
  BB$5 * ( 1 +
    IFNA(
      FILTER(
        IMPORTRANGE($F$8,""'Sensitivity [""&amp;IF(BB$3="""",BB$2,BB$2&amp;"", ""&amp;BB$3)&amp;""]'!D1:D20""),
        IMPORTRANGE($F$8,""'Sensitivity [""&amp;IF(BB$3="""",BB$2,BB$2&amp;"", ""&amp;BB$3)&amp;""]'!A1:A20"")=$E14
      ),
    "&amp;"  """"
    )
  )
), ""-"")
"),8.913325592495292)</f>
        <v>8.913325592</v>
      </c>
      <c r="BC14" s="843" t="s">
        <v>124</v>
      </c>
      <c r="BD14" s="835">
        <f>IFERROR(__xludf.DUMMYFUNCTION("iferror(IF(
  IFNA(
    FILTER(
      IMPORTRANGE($F$8,""'Sensitivity [""&amp;IF(BB$3="""",BB$2,BB$2&amp;"", ""&amp;BB$3)&amp;""]'!E1:E20""),
      IMPORTRANGE($F$8,""'Sensitivity [""&amp;IF(BB$3="""",BB$2,BB$2&amp;"", ""&amp;BB$3)&amp;""]'!A1:A20"")=$E14
    ),
    """"
  ) = """",
  "&amp;"""-"",
  BB$5 * ( 1 +
    IFNA(
      FILTER(
        IMPORTRANGE($F$8,""'Sensitivity [""&amp;IF(BB$3="""",BB$2,BB$2&amp;"", ""&amp;BB$3)&amp;""]'!E1:E20""),
        IMPORTRANGE($F$8,""'Sensitivity [""&amp;IF(BB$3="""",BB$2,BB$2&amp;"", ""&amp;BB$3)&amp;""]'!A1:A20"")=$E14
      ),
    "&amp;"  """"
    )
  )
), ""-"")
"),11.30795037853877)</f>
        <v>11.30795038</v>
      </c>
      <c r="BE14" s="832" t="str">
        <f>IFERROR(__xludf.DUMMYFUNCTION("Iferror(IF(
  IFNA(
    FILTER(
      IMPORTRANGE($F$8,""'Sensitivity [""&amp;IF(BE$3="""",BE$2,BE$2&amp;"", ""&amp;BE$3)&amp;""]'!D1:D20""),
      IMPORTRANGE($F$8,""'Sensitivity [""&amp;IF(BE$3="""",BE$2,BE$2&amp;"", ""&amp;BE$3)&amp;""]'!A1:A20"")=$E14
    ),
    """"
  ) = """",
  "&amp;"""-"",
  BE$5 * ( 1 +
    IFNA(
      FILTER(
        IMPORTRANGE($F$8,""'Sensitivity [""&amp;IF(BE$3="""",BE$2,BE$2&amp;"", ""&amp;BE$3)&amp;""]'!D1:D20""),
        IMPORTRANGE($F$8,""'Sensitivity [""&amp;IF(BE$3="""",BE$2,BE$2&amp;"", ""&amp;BE$3)&amp;""]'!A1:A20"")=$E14
      ),
    "&amp;"  """"
    )
  )
), ""-"")
"),"-")</f>
        <v>-</v>
      </c>
      <c r="BF14" s="843" t="s">
        <v>124</v>
      </c>
      <c r="BG14" s="835" t="str">
        <f>IFERROR(__xludf.DUMMYFUNCTION("iferror(IF(
  IFNA(
    FILTER(
      IMPORTRANGE($F$8,""'Sensitivity [""&amp;IF(BE$3="""",BE$2,BE$2&amp;"", ""&amp;BE$3)&amp;""]'!E1:E20""),
      IMPORTRANGE($F$8,""'Sensitivity [""&amp;IF(BE$3="""",BE$2,BE$2&amp;"", ""&amp;BE$3)&amp;""]'!A1:A20"")=$E14
    ),
    """"
  ) = """",
  "&amp;"""-"",
  BE$5 * ( 1 +
    IFNA(
      FILTER(
        IMPORTRANGE($F$8,""'Sensitivity [""&amp;IF(BE$3="""",BE$2,BE$2&amp;"", ""&amp;BE$3)&amp;""]'!E1:E20""),
        IMPORTRANGE($F$8,""'Sensitivity [""&amp;IF(BE$3="""",BE$2,BE$2&amp;"", ""&amp;BE$3)&amp;""]'!A1:A20"")=$E14
      ),
    "&amp;"  """"
    )
  )
), ""-"")
"),"-")</f>
        <v>-</v>
      </c>
      <c r="BH14" s="223"/>
    </row>
    <row r="15">
      <c r="A15" s="219"/>
      <c r="B15" s="220"/>
      <c r="C15" s="400"/>
      <c r="D15" s="220"/>
      <c r="E15" s="616" t="str">
        <f t="shared" si="1"/>
        <v>Adjustment to account for mortalities averted among people age 5 and older</v>
      </c>
      <c r="F15" s="830">
        <f>IFERROR(__xludf.DUMMYFUNCTION("Iferror(IF(
  IFNA(
    FILTER(
      IMPORTRANGE($F$8,""'Sensitivity [""&amp;IF(F$3="""",F$2,F$2&amp;"", ""&amp;F$3)&amp;""]'!D1:D20""),
      IMPORTRANGE($F$8,""'Sensitivity [""&amp;IF(F$3="""",F$2,F$2&amp;"", ""&amp;F$3)&amp;""]'!A1:A20"")=$E15
    ),
    """"
  ) = """",
  ""-"",
  "&amp;"F$5 * ( 1 +
    IFNA(
      FILTER(
        IMPORTRANGE($F$8,""'Sensitivity [""&amp;IF(F$3="""",F$2,F$2&amp;"", ""&amp;F$3)&amp;""]'!D1:D20""),
        IMPORTRANGE($F$8,""'Sensitivity [""&amp;IF(F$3="""",F$2,F$2&amp;"", ""&amp;F$3)&amp;""]'!A1:A20"")=$E15
      ),
      """"
    )
  )
)"&amp;", ""-"")
"),17.56965100589796)</f>
        <v>17.56965101</v>
      </c>
      <c r="G15" s="842" t="s">
        <v>124</v>
      </c>
      <c r="H15" s="893">
        <f>IFERROR(__xludf.DUMMYFUNCTION("iferror(IF(
  IFNA(
    FILTER(
      IMPORTRANGE($F$8,""'Sensitivity [""&amp;IF(F$3="""",F$2,F$2&amp;"", ""&amp;F$3)&amp;""]'!E1:E20""),
      IMPORTRANGE($F$8,""'Sensitivity [""&amp;IF(F$3="""",F$2,F$2&amp;"", ""&amp;F$3)&amp;""]'!A1:A20"")=$E15
    ),
    """"
  ) = """",
  ""-"",
  "&amp;"F$5 * ( 1 +
    IFNA(
      FILTER(
        IMPORTRANGE($F$8,""'Sensitivity [""&amp;IF(F$3="""",F$2,F$2&amp;"", ""&amp;F$3)&amp;""]'!E1:E20""),
        IMPORTRANGE($F$8,""'Sensitivity [""&amp;IF(F$3="""",F$2,F$2&amp;"", ""&amp;F$3)&amp;""]'!A1:A20"")=$E15
      ),
      """"
    )
  )
)"&amp;", ""-"")
"),18.9342840937347)</f>
        <v>18.93428409</v>
      </c>
      <c r="I15" s="830">
        <f>IFERROR(__xludf.DUMMYFUNCTION("Iferror(IF(
  IFNA(
    FILTER(
      IMPORTRANGE($F$8,""'Sensitivity [""&amp;IF(I$3="""",I$2,I$2&amp;"", ""&amp;I$3)&amp;""]'!D1:D20""),
      IMPORTRANGE($F$8,""'Sensitivity [""&amp;IF(I$3="""",I$2,I$2&amp;"", ""&amp;I$3)&amp;""]'!A1:A20"")=$E15
    ),
    """"
  ) = """",
  ""-"",
  "&amp;"I$5 * ( 1 +
    IFNA(
      FILTER(
        IMPORTRANGE($F$8,""'Sensitivity [""&amp;IF(I$3="""",I$2,I$2&amp;"", ""&amp;I$3)&amp;""]'!D1:D20""),
        IMPORTRANGE($F$8,""'Sensitivity [""&amp;IF(I$3="""",I$2,I$2&amp;"", ""&amp;I$3)&amp;""]'!A1:A20"")=$E15
      ),
      """"
    )
  )
)"&amp;", ""-"")
"),7.827267163175616)</f>
        <v>7.827267163</v>
      </c>
      <c r="J15" s="842" t="s">
        <v>124</v>
      </c>
      <c r="K15" s="831">
        <f>IFERROR(__xludf.DUMMYFUNCTION("iferror(IF(
  IFNA(
    FILTER(
      IMPORTRANGE($F$8,""'Sensitivity [""&amp;IF(I$3="""",I$2,I$2&amp;"", ""&amp;I$3)&amp;""]'!E1:E20""),
      IMPORTRANGE($F$8,""'Sensitivity [""&amp;IF(I$3="""",I$2,I$2&amp;"", ""&amp;I$3)&amp;""]'!A1:A20"")=$E15
    ),
    """"
  ) = """",
  ""-"",
  "&amp;"I$5 * ( 1 +
    IFNA(
      FILTER(
        IMPORTRANGE($F$8,""'Sensitivity [""&amp;IF(I$3="""",I$2,I$2&amp;"", ""&amp;I$3)&amp;""]'!E1:E20""),
        IMPORTRANGE($F$8,""'Sensitivity [""&amp;IF(I$3="""",I$2,I$2&amp;"", ""&amp;I$3)&amp;""]'!A1:A20"")=$E15
      ),
      """"
    )
  )
)"&amp;", ""-"")
"),8.435210243810623)</f>
        <v>8.435210244</v>
      </c>
      <c r="L15" s="832" t="str">
        <f>IFERROR(__xludf.DUMMYFUNCTION("Iferror(IF(
  IFNA(
    FILTER(
      IMPORTRANGE($F$8,""'Sensitivity [""&amp;IF(L$3="""",L$2,L$2&amp;"", ""&amp;L$3)&amp;""]'!D1:D20""),
      IMPORTRANGE($F$8,""'Sensitivity [""&amp;IF(L$3="""",L$2,L$2&amp;"", ""&amp;L$3)&amp;""]'!A1:A20"")=$E15
    ),
    """"
  ) = """",
  ""-"",
  "&amp;"L$5 * ( 1 +
    IFNA(
      FILTER(
        IMPORTRANGE($F$8,""'Sensitivity [""&amp;IF(L$3="""",L$2,L$2&amp;"", ""&amp;L$3)&amp;""]'!D1:D20""),
        IMPORTRANGE($F$8,""'Sensitivity [""&amp;IF(L$3="""",L$2,L$2&amp;"", ""&amp;L$3)&amp;""]'!A1:A20"")=$E15
      ),
      """"
    )
  )
)"&amp;", ""-"")
"),"-")</f>
        <v>-</v>
      </c>
      <c r="M15" s="843" t="s">
        <v>124</v>
      </c>
      <c r="N15" s="835" t="str">
        <f>IFERROR(__xludf.DUMMYFUNCTION("iferror(IF(
  IFNA(
    FILTER(
      IMPORTRANGE($F$8,""'Sensitivity [""&amp;IF(L$3="""",L$2,L$2&amp;"", ""&amp;L$3)&amp;""]'!E1:E20""),
      IMPORTRANGE($F$8,""'Sensitivity [""&amp;IF(L$3="""",L$2,L$2&amp;"", ""&amp;L$3)&amp;""]'!A1:A20"")=$E15
    ),
    """"
  ) = """",
  ""-"",
  "&amp;"L$5 * ( 1 +
    IFNA(
      FILTER(
        IMPORTRANGE($F$8,""'Sensitivity [""&amp;IF(L$3="""",L$2,L$2&amp;"", ""&amp;L$3)&amp;""]'!E1:E20""),
        IMPORTRANGE($F$8,""'Sensitivity [""&amp;IF(L$3="""",L$2,L$2&amp;"", ""&amp;L$3)&amp;""]'!A1:A20"")=$E15
      ),
      """"
    )
  )
)"&amp;", ""-"")
"),"-")</f>
        <v>-</v>
      </c>
      <c r="O15" s="832" t="str">
        <f>IFERROR(__xludf.DUMMYFUNCTION("Iferror(IF(
  IFNA(
    FILTER(
      IMPORTRANGE($F$8,""'Sensitivity [""&amp;IF(O$3="""",O$2,O$2&amp;"", ""&amp;O$3)&amp;""]'!D1:D20""),
      IMPORTRANGE($F$8,""'Sensitivity [""&amp;IF(O$3="""",O$2,O$2&amp;"", ""&amp;O$3)&amp;""]'!A1:A20"")=$E15
    ),
    """"
  ) = """",
  ""-"",
  "&amp;"O$5 * ( 1 +
    IFNA(
      FILTER(
        IMPORTRANGE($F$8,""'Sensitivity [""&amp;IF(O$3="""",O$2,O$2&amp;"", ""&amp;O$3)&amp;""]'!D1:D20""),
        IMPORTRANGE($F$8,""'Sensitivity [""&amp;IF(O$3="""",O$2,O$2&amp;"", ""&amp;O$3)&amp;""]'!A1:A20"")=$E15
      ),
      """"
    )
  )
)"&amp;", ""-"")
"),"-")</f>
        <v>-</v>
      </c>
      <c r="P15" s="843" t="s">
        <v>124</v>
      </c>
      <c r="Q15" s="835" t="str">
        <f>IFERROR(__xludf.DUMMYFUNCTION("iferror(IF(
  IFNA(
    FILTER(
      IMPORTRANGE($F$8,""'Sensitivity [""&amp;IF(O$3="""",O$2,O$2&amp;"", ""&amp;O$3)&amp;""]'!E1:E20""),
      IMPORTRANGE($F$8,""'Sensitivity [""&amp;IF(O$3="""",O$2,O$2&amp;"", ""&amp;O$3)&amp;""]'!A1:A20"")=$E15
    ),
    """"
  ) = """",
  ""-"",
  "&amp;"O$5 * ( 1 +
    IFNA(
      FILTER(
        IMPORTRANGE($F$8,""'Sensitivity [""&amp;IF(O$3="""",O$2,O$2&amp;"", ""&amp;O$3)&amp;""]'!E1:E20""),
        IMPORTRANGE($F$8,""'Sensitivity [""&amp;IF(O$3="""",O$2,O$2&amp;"", ""&amp;O$3)&amp;""]'!A1:A20"")=$E15
      ),
      """"
    )
  )
)"&amp;", ""-"")
"),"-")</f>
        <v>-</v>
      </c>
      <c r="R15" s="832" t="str">
        <f>IFERROR(__xludf.DUMMYFUNCTION("Iferror(IF(
  IFNA(
    FILTER(
      IMPORTRANGE($F$8,""'Sensitivity [""&amp;IF(R$3="""",R$2,R$2&amp;"", ""&amp;R$3)&amp;""]'!D1:D20""),
      IMPORTRANGE($F$8,""'Sensitivity [""&amp;IF(R$3="""",R$2,R$2&amp;"", ""&amp;R$3)&amp;""]'!A1:A20"")=$E15
    ),
    """"
  ) = """",
  ""-"",
  "&amp;"R$5 * ( 1 +
    IFNA(
      FILTER(
        IMPORTRANGE($F$8,""'Sensitivity [""&amp;IF(R$3="""",R$2,R$2&amp;"", ""&amp;R$3)&amp;""]'!D1:D20""),
        IMPORTRANGE($F$8,""'Sensitivity [""&amp;IF(R$3="""",R$2,R$2&amp;"", ""&amp;R$3)&amp;""]'!A1:A20"")=$E15
      ),
      """"
    )
  )
)"&amp;", ""-"")
"),"-")</f>
        <v>-</v>
      </c>
      <c r="S15" s="843" t="s">
        <v>124</v>
      </c>
      <c r="T15" s="835" t="str">
        <f>IFERROR(__xludf.DUMMYFUNCTION("iferror(IF(
  IFNA(
    FILTER(
      IMPORTRANGE($F$8,""'Sensitivity [""&amp;IF(R$3="""",R$2,R$2&amp;"", ""&amp;R$3)&amp;""]'!E1:E20""),
      IMPORTRANGE($F$8,""'Sensitivity [""&amp;IF(R$3="""",R$2,R$2&amp;"", ""&amp;R$3)&amp;""]'!A1:A20"")=$E15
    ),
    """"
  ) = """",
  ""-"",
  "&amp;"R$5 * ( 1 +
    IFNA(
      FILTER(
        IMPORTRANGE($F$8,""'Sensitivity [""&amp;IF(R$3="""",R$2,R$2&amp;"", ""&amp;R$3)&amp;""]'!E1:E20""),
        IMPORTRANGE($F$8,""'Sensitivity [""&amp;IF(R$3="""",R$2,R$2&amp;"", ""&amp;R$3)&amp;""]'!A1:A20"")=$E15
      ),
      """"
    )
  )
)"&amp;", ""-"")
"),"-")</f>
        <v>-</v>
      </c>
      <c r="U15" s="832" t="str">
        <f>IFERROR(__xludf.DUMMYFUNCTION("Iferror(IF(
  IFNA(
    FILTER(
      IMPORTRANGE($F$8,""'Sensitivity [""&amp;IF(U$3="""",U$2,U$2&amp;"", ""&amp;U$3)&amp;""]'!D1:D20""),
      IMPORTRANGE($F$8,""'Sensitivity [""&amp;IF(U$3="""",U$2,U$2&amp;"", ""&amp;U$3)&amp;""]'!A1:A20"")=$E15
    ),
    """"
  ) = """",
  ""-"",
  "&amp;"U$5 * ( 1 +
    IFNA(
      FILTER(
        IMPORTRANGE($F$8,""'Sensitivity [""&amp;IF(U$3="""",U$2,U$2&amp;"", ""&amp;U$3)&amp;""]'!D1:D20""),
        IMPORTRANGE($F$8,""'Sensitivity [""&amp;IF(U$3="""",U$2,U$2&amp;"", ""&amp;U$3)&amp;""]'!A1:A20"")=$E15
      ),
      """"
    )
  )
)"&amp;", ""-"")
"),"-")</f>
        <v>-</v>
      </c>
      <c r="V15" s="843" t="s">
        <v>124</v>
      </c>
      <c r="W15" s="835" t="str">
        <f>IFERROR(__xludf.DUMMYFUNCTION("iferror(IF(
  IFNA(
    FILTER(
      IMPORTRANGE($F$8,""'Sensitivity [""&amp;IF(U$3="""",U$2,U$2&amp;"", ""&amp;U$3)&amp;""]'!E1:E20""),
      IMPORTRANGE($F$8,""'Sensitivity [""&amp;IF(U$3="""",U$2,U$2&amp;"", ""&amp;U$3)&amp;""]'!A1:A20"")=$E15
    ),
    """"
  ) = """",
  ""-"",
  "&amp;"U$5 * ( 1 +
    IFNA(
      FILTER(
        IMPORTRANGE($F$8,""'Sensitivity [""&amp;IF(U$3="""",U$2,U$2&amp;"", ""&amp;U$3)&amp;""]'!E1:E20""),
        IMPORTRANGE($F$8,""'Sensitivity [""&amp;IF(U$3="""",U$2,U$2&amp;"", ""&amp;U$3)&amp;""]'!A1:A20"")=$E15
      ),
      """"
    )
  )
)"&amp;", ""-"")
"),"-")</f>
        <v>-</v>
      </c>
      <c r="X15" s="832" t="str">
        <f>IFERROR(__xludf.DUMMYFUNCTION("Iferror(IF(
  IFNA(
    FILTER(
      IMPORTRANGE($F$8,""'Sensitivity [""&amp;IF(X$3="""",X$2,X$2&amp;"", ""&amp;X$3)&amp;""]'!D1:D20""),
      IMPORTRANGE($F$8,""'Sensitivity [""&amp;IF(X$3="""",X$2,X$2&amp;"", ""&amp;X$3)&amp;""]'!A1:A20"")=$E15
    ),
    """"
  ) = """",
  ""-"",
  "&amp;"X$5 * ( 1 +
    IFNA(
      FILTER(
        IMPORTRANGE($F$8,""'Sensitivity [""&amp;IF(X$3="""",X$2,X$2&amp;"", ""&amp;X$3)&amp;""]'!D1:D20""),
        IMPORTRANGE($F$8,""'Sensitivity [""&amp;IF(X$3="""",X$2,X$2&amp;"", ""&amp;X$3)&amp;""]'!A1:A20"")=$E15
      ),
      """"
    )
  )
)"&amp;", ""-"")
"),"-")</f>
        <v>-</v>
      </c>
      <c r="Y15" s="843" t="s">
        <v>124</v>
      </c>
      <c r="Z15" s="835" t="str">
        <f>IFERROR(__xludf.DUMMYFUNCTION("iferror(IF(
  IFNA(
    FILTER(
      IMPORTRANGE($F$8,""'Sensitivity [""&amp;IF(X$3="""",X$2,X$2&amp;"", ""&amp;X$3)&amp;""]'!E1:E20""),
      IMPORTRANGE($F$8,""'Sensitivity [""&amp;IF(X$3="""",X$2,X$2&amp;"", ""&amp;X$3)&amp;""]'!A1:A20"")=$E15
    ),
    """"
  ) = """",
  ""-"",
  "&amp;"X$5 * ( 1 +
    IFNA(
      FILTER(
        IMPORTRANGE($F$8,""'Sensitivity [""&amp;IF(X$3="""",X$2,X$2&amp;"", ""&amp;X$3)&amp;""]'!E1:E20""),
        IMPORTRANGE($F$8,""'Sensitivity [""&amp;IF(X$3="""",X$2,X$2&amp;"", ""&amp;X$3)&amp;""]'!A1:A20"")=$E15
      ),
      """"
    )
  )
)"&amp;", ""-"")
"),"-")</f>
        <v>-</v>
      </c>
      <c r="AA15" s="832">
        <f>IFERROR(__xludf.DUMMYFUNCTION("Iferror(IF(
  IFNA(
    FILTER(
      IMPORTRANGE($F$8,""'Sensitivity [""&amp;IF(AA$3="""",AA$2,AA$2&amp;"", ""&amp;AA$3)&amp;""]'!D1:D20""),
      IMPORTRANGE($F$8,""'Sensitivity [""&amp;IF(AA$3="""",AA$2,AA$2&amp;"", ""&amp;AA$3)&amp;""]'!A1:A20"")=$E15
    ),
    """"
  ) = """",
  "&amp;"""-"",
  AA$5 * ( 1 +
    IFNA(
      FILTER(
        IMPORTRANGE($F$8,""'Sensitivity [""&amp;IF(AA$3="""",AA$2,AA$2&amp;"", ""&amp;AA$3)&amp;""]'!D1:D20""),
        IMPORTRANGE($F$8,""'Sensitivity [""&amp;IF(AA$3="""",AA$2,AA$2&amp;"", ""&amp;AA$3)&amp;""]'!A1:A20"")=$E15
      ),
    "&amp;"  """"
    )
  )
), ""-"")
"),20.959933912534485)</f>
        <v>20.95993391</v>
      </c>
      <c r="AB15" s="843" t="s">
        <v>124</v>
      </c>
      <c r="AC15" s="835">
        <f>IFERROR(__xludf.DUMMYFUNCTION("iferror(IF(
  IFNA(
    FILTER(
      IMPORTRANGE($F$8,""'Sensitivity [""&amp;IF(AA$3="""",AA$2,AA$2&amp;"", ""&amp;AA$3)&amp;""]'!E1:E20""),
      IMPORTRANGE($F$8,""'Sensitivity [""&amp;IF(AA$3="""",AA$2,AA$2&amp;"", ""&amp;AA$3)&amp;""]'!A1:A20"")=$E15
    ),
    """"
  ) = """",
  "&amp;"""-"",
  AA$5 * ( 1 +
    IFNA(
      FILTER(
        IMPORTRANGE($F$8,""'Sensitivity [""&amp;IF(AA$3="""",AA$2,AA$2&amp;"", ""&amp;AA$3)&amp;""]'!E1:E20""),
        IMPORTRANGE($F$8,""'Sensitivity [""&amp;IF(AA$3="""",AA$2,AA$2&amp;"", ""&amp;AA$3)&amp;""]'!A1:A20"")=$E15
      ),
    "&amp;"  """"
    )
  )
), ""-"")
"),21.582506206966176)</f>
        <v>21.58250621</v>
      </c>
      <c r="AD15" s="832">
        <f>IFERROR(__xludf.DUMMYFUNCTION("Iferror(IF(
  IFNA(
    FILTER(
      IMPORTRANGE($F$8,""'Sensitivity [""&amp;IF(AD$3="""",AD$2,AD$2&amp;"", ""&amp;AD$3)&amp;""]'!D1:D20""),
      IMPORTRANGE($F$8,""'Sensitivity [""&amp;IF(AD$3="""",AD$2,AD$2&amp;"", ""&amp;AD$3)&amp;""]'!A1:A20"")=$E15
    ),
    """"
  ) = """",
  "&amp;"""-"",
  AD$5 * ( 1 +
    IFNA(
      FILTER(
        IMPORTRANGE($F$8,""'Sensitivity [""&amp;IF(AD$3="""",AD$2,AD$2&amp;"", ""&amp;AD$3)&amp;""]'!D1:D20""),
        IMPORTRANGE($F$8,""'Sensitivity [""&amp;IF(AD$3="""",AD$2,AD$2&amp;"", ""&amp;AD$3)&amp;""]'!A1:A20"")=$E15
      ),
    "&amp;"  """"
    )
  )
), ""-"")
"),17.28441771052371)</f>
        <v>17.28441771</v>
      </c>
      <c r="AE15" s="843" t="s">
        <v>124</v>
      </c>
      <c r="AF15" s="835">
        <f>IFERROR(__xludf.DUMMYFUNCTION("iferror(IF(
  IFNA(
    FILTER(
      IMPORTRANGE($F$8,""'Sensitivity [""&amp;IF(AD$3="""",AD$2,AD$2&amp;"", ""&amp;AD$3)&amp;""]'!E1:E20""),
      IMPORTRANGE($F$8,""'Sensitivity [""&amp;IF(AD$3="""",AD$2,AD$2&amp;"", ""&amp;AD$3)&amp;""]'!A1:A20"")=$E15
    ),
    """"
  ) = """",
  "&amp;"""-"",
  AD$5 * ( 1 +
    IFNA(
      FILTER(
        IMPORTRANGE($F$8,""'Sensitivity [""&amp;IF(AD$3="""",AD$2,AD$2&amp;"", ""&amp;AD$3)&amp;""]'!E1:E20""),
        IMPORTRANGE($F$8,""'Sensitivity [""&amp;IF(AD$3="""",AD$2,AD$2&amp;"", ""&amp;AD$3)&amp;""]'!A1:A20"")=$E15
      ),
    "&amp;"  """"
    )
  )
), ""-"")
"),18.79470663668602)</f>
        <v>18.79470664</v>
      </c>
      <c r="AG15" s="832">
        <f>IFERROR(__xludf.DUMMYFUNCTION("Iferror(IF(
  IFNA(
    FILTER(
      IMPORTRANGE($F$8,""'Sensitivity [""&amp;IF(AG$3="""",AG$2,AG$2&amp;"", ""&amp;AG$3)&amp;""]'!D1:D20""),
      IMPORTRANGE($F$8,""'Sensitivity [""&amp;IF(AG$3="""",AG$2,AG$2&amp;"", ""&amp;AG$3)&amp;""]'!A1:A20"")=$E15
    ),
    """"
  ) = """",
  "&amp;"""-"",
  AG$5 * ( 1 +
    IFNA(
      FILTER(
        IMPORTRANGE($F$8,""'Sensitivity [""&amp;IF(AG$3="""",AG$2,AG$2&amp;"", ""&amp;AG$3)&amp;""]'!D1:D20""),
        IMPORTRANGE($F$8,""'Sensitivity [""&amp;IF(AG$3="""",AG$2,AG$2&amp;"", ""&amp;AG$3)&amp;""]'!A1:A20"")=$E15
      ),
    "&amp;"  """"
    )
  )
), ""-"")
"),15.270463045714672)</f>
        <v>15.27046305</v>
      </c>
      <c r="AH15" s="843" t="s">
        <v>124</v>
      </c>
      <c r="AI15" s="835">
        <f>IFERROR(__xludf.DUMMYFUNCTION("iferror(IF(
  IFNA(
    FILTER(
      IMPORTRANGE($F$8,""'Sensitivity [""&amp;IF(AG$3="""",AG$2,AG$2&amp;"", ""&amp;AG$3)&amp;""]'!E1:E20""),
      IMPORTRANGE($F$8,""'Sensitivity [""&amp;IF(AG$3="""",AG$2,AG$2&amp;"", ""&amp;AG$3)&amp;""]'!A1:A20"")=$E15
    ),
    """"
  ) = """",
  "&amp;"""-"",
  AG$5 * ( 1 +
    IFNA(
      FILTER(
        IMPORTRANGE($F$8,""'Sensitivity [""&amp;IF(AG$3="""",AG$2,AG$2&amp;"", ""&amp;AG$3)&amp;""]'!E1:E20""),
        IMPORTRANGE($F$8,""'Sensitivity [""&amp;IF(AG$3="""",AG$2,AG$2&amp;"", ""&amp;AG$3)&amp;""]'!A1:A20"")=$E15
      ),
    "&amp;"  """"
    )
  )
), ""-"")
"),17.268467556368947)</f>
        <v>17.26846756</v>
      </c>
      <c r="AJ15" s="832">
        <f>IFERROR(__xludf.DUMMYFUNCTION("Iferror(IF(
  IFNA(
    FILTER(
      IMPORTRANGE($F$8,""'Sensitivity [""&amp;IF(AJ$3="""",AJ$2,AJ$2&amp;"", ""&amp;AJ$3)&amp;""]'!D1:D20""),
      IMPORTRANGE($F$8,""'Sensitivity [""&amp;IF(AJ$3="""",AJ$2,AJ$2&amp;"", ""&amp;AJ$3)&amp;""]'!A1:A20"")=$E15
    ),
    """"
  ) = """",
  "&amp;"""-"",
  AJ$5 * ( 1 +
    IFNA(
      FILTER(
        IMPORTRANGE($F$8,""'Sensitivity [""&amp;IF(AJ$3="""",AJ$2,AJ$2&amp;"", ""&amp;AJ$3)&amp;""]'!D1:D20""),
        IMPORTRANGE($F$8,""'Sensitivity [""&amp;IF(AJ$3="""",AJ$2,AJ$2&amp;"", ""&amp;AJ$3)&amp;""]'!A1:A20"")=$E15
      ),
    "&amp;"  """"
    )
  )
), ""-"")
"),28.802931599388376)</f>
        <v>28.8029316</v>
      </c>
      <c r="AK15" s="843" t="s">
        <v>124</v>
      </c>
      <c r="AL15" s="835">
        <f>IFERROR(__xludf.DUMMYFUNCTION("iferror(IF(
  IFNA(
    FILTER(
      IMPORTRANGE($F$8,""'Sensitivity [""&amp;IF(AJ$3="""",AJ$2,AJ$2&amp;"", ""&amp;AJ$3)&amp;""]'!E1:E20""),
      IMPORTRANGE($F$8,""'Sensitivity [""&amp;IF(AJ$3="""",AJ$2,AJ$2&amp;"", ""&amp;AJ$3)&amp;""]'!A1:A20"")=$E15
    ),
    """"
  ) = """",
  "&amp;"""-"",
  AJ$5 * ( 1 +
    IFNA(
      FILTER(
        IMPORTRANGE($F$8,""'Sensitivity [""&amp;IF(AJ$3="""",AJ$2,AJ$2&amp;"", ""&amp;AJ$3)&amp;""]'!E1:E20""),
        IMPORTRANGE($F$8,""'Sensitivity [""&amp;IF(AJ$3="""",AJ$2,AJ$2&amp;"", ""&amp;AJ$3)&amp;""]'!A1:A20"")=$E15
      ),
    "&amp;"  """"
    )
  )
), ""-"")
"),30.21484001112306)</f>
        <v>30.21484001</v>
      </c>
      <c r="AM15" s="832">
        <f>IFERROR(__xludf.DUMMYFUNCTION("Iferror(IF(
  IFNA(
    FILTER(
      IMPORTRANGE($F$8,""'Sensitivity [""&amp;IF(AM$3="""",AM$2,AM$2&amp;"", ""&amp;AM$3)&amp;""]'!D1:D20""),
      IMPORTRANGE($F$8,""'Sensitivity [""&amp;IF(AM$3="""",AM$2,AM$2&amp;"", ""&amp;AM$3)&amp;""]'!A1:A20"")=$E15
    ),
    """"
  ) = """",
  "&amp;"""-"",
  AM$5 * ( 1 +
    IFNA(
      FILTER(
        IMPORTRANGE($F$8,""'Sensitivity [""&amp;IF(AM$3="""",AM$2,AM$2&amp;"", ""&amp;AM$3)&amp;""]'!D1:D20""),
        IMPORTRANGE($F$8,""'Sensitivity [""&amp;IF(AM$3="""",AM$2,AM$2&amp;"", ""&amp;AM$3)&amp;""]'!A1:A20"")=$E15
      ),
    "&amp;"  """"
    )
  )
), ""-"")
"),19.60835066088335)</f>
        <v>19.60835066</v>
      </c>
      <c r="AN15" s="843" t="s">
        <v>124</v>
      </c>
      <c r="AO15" s="835">
        <f>IFERROR(__xludf.DUMMYFUNCTION("iferror(IF(
  IFNA(
    FILTER(
      IMPORTRANGE($F$8,""'Sensitivity [""&amp;IF(AM$3="""",AM$2,AM$2&amp;"", ""&amp;AM$3)&amp;""]'!E1:E20""),
      IMPORTRANGE($F$8,""'Sensitivity [""&amp;IF(AM$3="""",AM$2,AM$2&amp;"", ""&amp;AM$3)&amp;""]'!A1:A20"")=$E15
    ),
    """"
  ) = """",
  "&amp;"""-"",
  AM$5 * ( 1 +
    IFNA(
      FILTER(
        IMPORTRANGE($F$8,""'Sensitivity [""&amp;IF(AM$3="""",AM$2,AM$2&amp;"", ""&amp;AM$3)&amp;""]'!E1:E20""),
        IMPORTRANGE($F$8,""'Sensitivity [""&amp;IF(AM$3="""",AM$2,AM$2&amp;"", ""&amp;AM$3)&amp;""]'!A1:A20"")=$E15
      ),
    "&amp;"  """"
    )
  )
), ""-"")
"),22.934767290854694)</f>
        <v>22.93476729</v>
      </c>
      <c r="AP15" s="832">
        <f>IFERROR(__xludf.DUMMYFUNCTION("Iferror(IF(
  IFNA(
    FILTER(
      IMPORTRANGE($F$8,""'Sensitivity [""&amp;IF(AP$3="""",AP$2,AP$2&amp;"", ""&amp;AP$3)&amp;""]'!D1:D20""),
      IMPORTRANGE($F$8,""'Sensitivity [""&amp;IF(AP$3="""",AP$2,AP$2&amp;"", ""&amp;AP$3)&amp;""]'!A1:A20"")=$E15
    ),
    """"
  ) = """",
  "&amp;"""-"",
  AP$5 * ( 1 +
    IFNA(
      FILTER(
        IMPORTRANGE($F$8,""'Sensitivity [""&amp;IF(AP$3="""",AP$2,AP$2&amp;"", ""&amp;AP$3)&amp;""]'!D1:D20""),
        IMPORTRANGE($F$8,""'Sensitivity [""&amp;IF(AP$3="""",AP$2,AP$2&amp;"", ""&amp;AP$3)&amp;""]'!A1:A20"")=$E15
      ),
    "&amp;"  """"
    )
  )
), ""-"")
"),21.51410830491762)</f>
        <v>21.5141083</v>
      </c>
      <c r="AQ15" s="843" t="s">
        <v>124</v>
      </c>
      <c r="AR15" s="835">
        <f>IFERROR(__xludf.DUMMYFUNCTION("iferror(IF(
  IFNA(
    FILTER(
      IMPORTRANGE($F$8,""'Sensitivity [""&amp;IF(AP$3="""",AP$2,AP$2&amp;"", ""&amp;AP$3)&amp;""]'!E1:E20""),
      IMPORTRANGE($F$8,""'Sensitivity [""&amp;IF(AP$3="""",AP$2,AP$2&amp;"", ""&amp;AP$3)&amp;""]'!A1:A20"")=$E15
    ),
    """"
  ) = """",
  "&amp;"""-"",
  AP$5 * ( 1 +
    IFNA(
      FILTER(
        IMPORTRANGE($F$8,""'Sensitivity [""&amp;IF(AP$3="""",AP$2,AP$2&amp;"", ""&amp;AP$3)&amp;""]'!E1:E20""),
        IMPORTRANGE($F$8,""'Sensitivity [""&amp;IF(AP$3="""",AP$2,AP$2&amp;"", ""&amp;AP$3)&amp;""]'!A1:A20"")=$E15
      ),
    "&amp;"  """"
    )
  )
), ""-"")
"),23.5630710006241)</f>
        <v>23.563071</v>
      </c>
      <c r="AS15" s="832">
        <f>IFERROR(__xludf.DUMMYFUNCTION("Iferror(IF(
  IFNA(
    FILTER(
      IMPORTRANGE($F$8,""'Sensitivity [""&amp;IF(AS$3="""",AS$2,AS$2&amp;"", ""&amp;AS$3)&amp;""]'!D1:D20""),
      IMPORTRANGE($F$8,""'Sensitivity [""&amp;IF(AS$3="""",AS$2,AS$2&amp;"", ""&amp;AS$3)&amp;""]'!A1:A20"")=$E15
    ),
    """"
  ) = """",
  "&amp;"""-"",
  AS$5 * ( 1 +
    IFNA(
      FILTER(
        IMPORTRANGE($F$8,""'Sensitivity [""&amp;IF(AS$3="""",AS$2,AS$2&amp;"", ""&amp;AS$3)&amp;""]'!D1:D20""),
        IMPORTRANGE($F$8,""'Sensitivity [""&amp;IF(AS$3="""",AS$2,AS$2&amp;"", ""&amp;AS$3)&amp;""]'!A1:A20"")=$E15
      ),
    "&amp;"  """"
    )
  )
), ""-"")
"),22.723093465601767)</f>
        <v>22.72309347</v>
      </c>
      <c r="AT15" s="843" t="s">
        <v>124</v>
      </c>
      <c r="AU15" s="835">
        <f>IFERROR(__xludf.DUMMYFUNCTION("iferror(IF(
  IFNA(
    FILTER(
      IMPORTRANGE($F$8,""'Sensitivity [""&amp;IF(AS$3="""",AS$2,AS$2&amp;"", ""&amp;AS$3)&amp;""]'!E1:E20""),
      IMPORTRANGE($F$8,""'Sensitivity [""&amp;IF(AS$3="""",AS$2,AS$2&amp;"", ""&amp;AS$3)&amp;""]'!A1:A20"")=$E15
    ),
    """"
  ) = """",
  "&amp;"""-"",
  AS$5 * ( 1 +
    IFNA(
      FILTER(
        IMPORTRANGE($F$8,""'Sensitivity [""&amp;IF(AS$3="""",AS$2,AS$2&amp;"", ""&amp;AS$3)&amp;""]'!E1:E20""),
        IMPORTRANGE($F$8,""'Sensitivity [""&amp;IF(AS$3="""",AS$2,AS$2&amp;"", ""&amp;AS$3)&amp;""]'!A1:A20"")=$E15
      ),
    "&amp;"  """"
    )
  )
), ""-"")
"),26.924001501259376)</f>
        <v>26.9240015</v>
      </c>
      <c r="AV15" s="832">
        <f>IFERROR(__xludf.DUMMYFUNCTION("Iferror(IF(
  IFNA(
    FILTER(
      IMPORTRANGE($F$8,""'Sensitivity [""&amp;IF(AV$3="""",AV$2,AV$2&amp;"", ""&amp;AV$3)&amp;""]'!D1:D20""),
      IMPORTRANGE($F$8,""'Sensitivity [""&amp;IF(AV$3="""",AV$2,AV$2&amp;"", ""&amp;AV$3)&amp;""]'!A1:A20"")=$E15
    ),
    """"
  ) = """",
  "&amp;"""-"",
  AV$5 * ( 1 +
    IFNA(
      FILTER(
        IMPORTRANGE($F$8,""'Sensitivity [""&amp;IF(AV$3="""",AV$2,AV$2&amp;"", ""&amp;AV$3)&amp;""]'!D1:D20""),
        IMPORTRANGE($F$8,""'Sensitivity [""&amp;IF(AV$3="""",AV$2,AV$2&amp;"", ""&amp;AV$3)&amp;""]'!A1:A20"")=$E15
      ),
    "&amp;"  """"
    )
  )
), ""-"")
"),15.321973315053828)</f>
        <v>15.32197332</v>
      </c>
      <c r="AW15" s="843" t="s">
        <v>124</v>
      </c>
      <c r="AX15" s="835">
        <f>IFERROR(__xludf.DUMMYFUNCTION("iferror(IF(
  IFNA(
    FILTER(
      IMPORTRANGE($F$8,""'Sensitivity [""&amp;IF(AV$3="""",AV$2,AV$2&amp;"", ""&amp;AV$3)&amp;""]'!E1:E20""),
      IMPORTRANGE($F$8,""'Sensitivity [""&amp;IF(AV$3="""",AV$2,AV$2&amp;"", ""&amp;AV$3)&amp;""]'!A1:A20"")=$E15
    ),
    """"
  ) = """",
  "&amp;"""-"",
  AV$5 * ( 1 +
    IFNA(
      FILTER(
        IMPORTRANGE($F$8,""'Sensitivity [""&amp;IF(AV$3="""",AV$2,AV$2&amp;"", ""&amp;AV$3)&amp;""]'!E1:E20""),
        IMPORTRANGE($F$8,""'Sensitivity [""&amp;IF(AV$3="""",AV$2,AV$2&amp;"", ""&amp;AV$3)&amp;""]'!A1:A20"")=$E15
      ),
    "&amp;"  """"
    )
  )
), ""-"")
"),17.05653633185242)</f>
        <v>17.05653633</v>
      </c>
      <c r="AY15" s="832">
        <f>IFERROR(__xludf.DUMMYFUNCTION("Iferror(IF(
  IFNA(
    FILTER(
      IMPORTRANGE($F$8,""'Sensitivity [""&amp;IF(AY$3="""",AY$2,AY$2&amp;"", ""&amp;AY$3)&amp;""]'!D1:D20""),
      IMPORTRANGE($F$8,""'Sensitivity [""&amp;IF(AY$3="""",AY$2,AY$2&amp;"", ""&amp;AY$3)&amp;""]'!A1:A20"")=$E15
    ),
    """"
  ) = """",
  "&amp;"""-"",
  AY$5 * ( 1 +
    IFNA(
      FILTER(
        IMPORTRANGE($F$8,""'Sensitivity [""&amp;IF(AY$3="""",AY$2,AY$2&amp;"", ""&amp;AY$3)&amp;""]'!D1:D20""),
        IMPORTRANGE($F$8,""'Sensitivity [""&amp;IF(AY$3="""",AY$2,AY$2&amp;"", ""&amp;AY$3)&amp;""]'!A1:A20"")=$E15
      ),
    "&amp;"  """"
    )
  )
), ""-"")
"),29.44267958683519)</f>
        <v>29.44267959</v>
      </c>
      <c r="AZ15" s="843" t="s">
        <v>124</v>
      </c>
      <c r="BA15" s="835">
        <f>IFERROR(__xludf.DUMMYFUNCTION("iferror(IF(
  IFNA(
    FILTER(
      IMPORTRANGE($F$8,""'Sensitivity [""&amp;IF(AY$3="""",AY$2,AY$2&amp;"", ""&amp;AY$3)&amp;""]'!E1:E20""),
      IMPORTRANGE($F$8,""'Sensitivity [""&amp;IF(AY$3="""",AY$2,AY$2&amp;"", ""&amp;AY$3)&amp;""]'!A1:A20"")=$E15
    ),
    """"
  ) = """",
  "&amp;"""-"",
  AY$5 * ( 1 +
    IFNA(
      FILTER(
        IMPORTRANGE($F$8,""'Sensitivity [""&amp;IF(AY$3="""",AY$2,AY$2&amp;"", ""&amp;AY$3)&amp;""]'!E1:E20""),
        IMPORTRANGE($F$8,""'Sensitivity [""&amp;IF(AY$3="""",AY$2,AY$2&amp;"", ""&amp;AY$3)&amp;""]'!A1:A20"")=$E15
      ),
    "&amp;"  """"
    )
  )
), ""-"")
"),30.31721462406794)</f>
        <v>30.31721462</v>
      </c>
      <c r="BB15" s="832">
        <f>IFERROR(__xludf.DUMMYFUNCTION("Iferror(IF(
  IFNA(
    FILTER(
      IMPORTRANGE($F$8,""'Sensitivity [""&amp;IF(BB$3="""",BB$2,BB$2&amp;"", ""&amp;BB$3)&amp;""]'!D1:D20""),
      IMPORTRANGE($F$8,""'Sensitivity [""&amp;IF(BB$3="""",BB$2,BB$2&amp;"", ""&amp;BB$3)&amp;""]'!A1:A20"")=$E15
    ),
    """"
  ) = """",
  "&amp;"""-"",
  BB$5 * ( 1 +
    IFNA(
      FILTER(
        IMPORTRANGE($F$8,""'Sensitivity [""&amp;IF(BB$3="""",BB$2,BB$2&amp;"", ""&amp;BB$3)&amp;""]'!D1:D20""),
        IMPORTRANGE($F$8,""'Sensitivity [""&amp;IF(BB$3="""",BB$2,BB$2&amp;"", ""&amp;BB$3)&amp;""]'!A1:A20"")=$E15
      ),
    "&amp;"  """"
    )
  )
), ""-"")
"),9.966423511092668)</f>
        <v>9.966423511</v>
      </c>
      <c r="BC15" s="843" t="s">
        <v>124</v>
      </c>
      <c r="BD15" s="835">
        <f>IFERROR(__xludf.DUMMYFUNCTION("iferror(IF(
  IFNA(
    FILTER(
      IMPORTRANGE($F$8,""'Sensitivity [""&amp;IF(BB$3="""",BB$2,BB$2&amp;"", ""&amp;BB$3)&amp;""]'!E1:E20""),
      IMPORTRANGE($F$8,""'Sensitivity [""&amp;IF(BB$3="""",BB$2,BB$2&amp;"", ""&amp;BB$3)&amp;""]'!A1:A20"")=$E15
    ),
    """"
  ) = """",
  "&amp;"""-"",
  BB$5 * ( 1 +
    IFNA(
      FILTER(
        IMPORTRANGE($F$8,""'Sensitivity [""&amp;IF(BB$3="""",BB$2,BB$2&amp;"", ""&amp;BB$3)&amp;""]'!E1:E20""),
        IMPORTRANGE($F$8,""'Sensitivity [""&amp;IF(BB$3="""",BB$2,BB$2&amp;"", ""&amp;BB$3)&amp;""]'!A1:A20"")=$E15
      ),
    "&amp;"  """"
    )
  )
), ""-"")
"),11.492812697476227)</f>
        <v>11.4928127</v>
      </c>
      <c r="BE15" s="832" t="str">
        <f>IFERROR(__xludf.DUMMYFUNCTION("Iferror(IF(
  IFNA(
    FILTER(
      IMPORTRANGE($F$8,""'Sensitivity [""&amp;IF(BE$3="""",BE$2,BE$2&amp;"", ""&amp;BE$3)&amp;""]'!D1:D20""),
      IMPORTRANGE($F$8,""'Sensitivity [""&amp;IF(BE$3="""",BE$2,BE$2&amp;"", ""&amp;BE$3)&amp;""]'!A1:A20"")=$E15
    ),
    """"
  ) = """",
  "&amp;"""-"",
  BE$5 * ( 1 +
    IFNA(
      FILTER(
        IMPORTRANGE($F$8,""'Sensitivity [""&amp;IF(BE$3="""",BE$2,BE$2&amp;"", ""&amp;BE$3)&amp;""]'!D1:D20""),
        IMPORTRANGE($F$8,""'Sensitivity [""&amp;IF(BE$3="""",BE$2,BE$2&amp;"", ""&amp;BE$3)&amp;""]'!A1:A20"")=$E15
      ),
    "&amp;"  """"
    )
  )
), ""-"")
"),"-")</f>
        <v>-</v>
      </c>
      <c r="BF15" s="843" t="s">
        <v>124</v>
      </c>
      <c r="BG15" s="835" t="str">
        <f>IFERROR(__xludf.DUMMYFUNCTION("iferror(IF(
  IFNA(
    FILTER(
      IMPORTRANGE($F$8,""'Sensitivity [""&amp;IF(BE$3="""",BE$2,BE$2&amp;"", ""&amp;BE$3)&amp;""]'!E1:E20""),
      IMPORTRANGE($F$8,""'Sensitivity [""&amp;IF(BE$3="""",BE$2,BE$2&amp;"", ""&amp;BE$3)&amp;""]'!A1:A20"")=$E15
    ),
    """"
  ) = """",
  "&amp;"""-"",
  BE$5 * ( 1 +
    IFNA(
      FILTER(
        IMPORTRANGE($F$8,""'Sensitivity [""&amp;IF(BE$3="""",BE$2,BE$2&amp;"", ""&amp;BE$3)&amp;""]'!E1:E20""),
        IMPORTRANGE($F$8,""'Sensitivity [""&amp;IF(BE$3="""",BE$2,BE$2&amp;"", ""&amp;BE$3)&amp;""]'!A1:A20"")=$E15
      ),
    "&amp;"  """"
    )
  )
), ""-"")
"),"-")</f>
        <v>-</v>
      </c>
      <c r="BH15" s="615"/>
    </row>
    <row r="16">
      <c r="A16" s="895"/>
      <c r="B16" s="400"/>
      <c r="C16" s="400"/>
      <c r="D16" s="400"/>
      <c r="E16" s="616" t="str">
        <f t="shared" si="1"/>
        <v>Adjustment to account for developmental benefits (long-term income increases)</v>
      </c>
      <c r="F16" s="830">
        <f>IFERROR(__xludf.DUMMYFUNCTION("Iferror(IF(
  IFNA(
    FILTER(
      IMPORTRANGE($F$8,""'Sensitivity [""&amp;IF(F$3="""",F$2,F$2&amp;"", ""&amp;F$3)&amp;""]'!D1:D20""),
      IMPORTRANGE($F$8,""'Sensitivity [""&amp;IF(F$3="""",F$2,F$2&amp;"", ""&amp;F$3)&amp;""]'!A1:A20"")=$E16
    ),
    """"
  ) = """",
  ""-"",
  "&amp;"F$5 * ( 1 +
    IFNA(
      FILTER(
        IMPORTRANGE($F$8,""'Sensitivity [""&amp;IF(F$3="""",F$2,F$2&amp;"", ""&amp;F$3)&amp;""]'!D1:D20""),
        IMPORTRANGE($F$8,""'Sensitivity [""&amp;IF(F$3="""",F$2,F$2&amp;"", ""&amp;F$3)&amp;""]'!A1:A20"")=$E16
      ),
      """"
    )
  )
)"&amp;", ""-"")
"),16.678915161249392)</f>
        <v>16.67891516</v>
      </c>
      <c r="G16" s="842" t="s">
        <v>124</v>
      </c>
      <c r="H16" s="831">
        <f>IFERROR(__xludf.DUMMYFUNCTION("iferror(IF(
  IFNA(
    FILTER(
      IMPORTRANGE($F$8,""'Sensitivity [""&amp;IF(F$3="""",F$2,F$2&amp;"", ""&amp;F$3)&amp;""]'!E1:E20""),
      IMPORTRANGE($F$8,""'Sensitivity [""&amp;IF(F$3="""",F$2,F$2&amp;"", ""&amp;F$3)&amp;""]'!A1:A20"")=$E16
    ),
    """"
  ) = """",
  ""-"",
  "&amp;"F$5 * ( 1 +
    IFNA(
      FILTER(
        IMPORTRANGE($F$8,""'Sensitivity [""&amp;IF(F$3="""",F$2,F$2&amp;"", ""&amp;F$3)&amp;""]'!E1:E20""),
        IMPORTRANGE($F$8,""'Sensitivity [""&amp;IF(F$3="""",F$2,F$2&amp;"", ""&amp;F$3)&amp;""]'!A1:A20"")=$E16
      ),
      """"
    )
  )
)"&amp;", ""-"")
"),19.408192187635603)</f>
        <v>19.40819219</v>
      </c>
      <c r="I16" s="830">
        <f>IFERROR(__xludf.DUMMYFUNCTION("Iferror(IF(
  IFNA(
    FILTER(
      IMPORTRANGE($F$8,""'Sensitivity [""&amp;IF(I$3="""",I$2,I$2&amp;"", ""&amp;I$3)&amp;""]'!D1:D20""),
      IMPORTRANGE($F$8,""'Sensitivity [""&amp;IF(I$3="""",I$2,I$2&amp;"", ""&amp;I$3)&amp;""]'!A1:A20"")=$E16
    ),
    """"
  ) = """",
  ""-"",
  "&amp;"I$5 * ( 1 +
    IFNA(
      FILTER(
        IMPORTRANGE($F$8,""'Sensitivity [""&amp;IF(I$3="""",I$2,I$2&amp;"", ""&amp;I$3)&amp;""]'!D1:D20""),
        IMPORTRANGE($F$8,""'Sensitivity [""&amp;IF(I$3="""",I$2,I$2&amp;"", ""&amp;I$3)&amp;""]'!A1:A20"")=$E16
      ),
      """"
    )
  )
)"&amp;", ""-"")
"),7.172878701047251)</f>
        <v>7.172878701</v>
      </c>
      <c r="J16" s="842" t="s">
        <v>124</v>
      </c>
      <c r="K16" s="831">
        <f>IFERROR(__xludf.DUMMYFUNCTION("iferror(IF(
  IFNA(
    FILTER(
      IMPORTRANGE($F$8,""'Sensitivity [""&amp;IF(I$3="""",I$2,I$2&amp;"", ""&amp;I$3)&amp;""]'!E1:E20""),
      IMPORTRANGE($F$8,""'Sensitivity [""&amp;IF(I$3="""",I$2,I$2&amp;"", ""&amp;I$3)&amp;""]'!A1:A20"")=$E16
    ),
    """"
  ) = """",
  ""-"",
  "&amp;"I$5 * ( 1 +
    IFNA(
      FILTER(
        IMPORTRANGE($F$8,""'Sensitivity [""&amp;IF(I$3="""",I$2,I$2&amp;"", ""&amp;I$3)&amp;""]'!E1:E20""),
        IMPORTRANGE($F$8,""'Sensitivity [""&amp;IF(I$3="""",I$2,I$2&amp;"", ""&amp;I$3)&amp;""]'!A1:A20"")=$E16
      ),
      """"
    )
  )
)"&amp;", ""-"")
"),8.832718400463119)</f>
        <v>8.8327184</v>
      </c>
      <c r="L16" s="832" t="str">
        <f>IFERROR(__xludf.DUMMYFUNCTION("Iferror(IF(
  IFNA(
    FILTER(
      IMPORTRANGE($F$8,""'Sensitivity [""&amp;IF(L$3="""",L$2,L$2&amp;"", ""&amp;L$3)&amp;""]'!D1:D20""),
      IMPORTRANGE($F$8,""'Sensitivity [""&amp;IF(L$3="""",L$2,L$2&amp;"", ""&amp;L$3)&amp;""]'!A1:A20"")=$E16
    ),
    """"
  ) = """",
  ""-"",
  "&amp;"L$5 * ( 1 +
    IFNA(
      FILTER(
        IMPORTRANGE($F$8,""'Sensitivity [""&amp;IF(L$3="""",L$2,L$2&amp;"", ""&amp;L$3)&amp;""]'!D1:D20""),
        IMPORTRANGE($F$8,""'Sensitivity [""&amp;IF(L$3="""",L$2,L$2&amp;"", ""&amp;L$3)&amp;""]'!A1:A20"")=$E16
      ),
      """"
    )
  )
)"&amp;", ""-"")
"),"-")</f>
        <v>-</v>
      </c>
      <c r="M16" s="843" t="s">
        <v>124</v>
      </c>
      <c r="N16" s="835" t="str">
        <f>IFERROR(__xludf.DUMMYFUNCTION("iferror(IF(
  IFNA(
    FILTER(
      IMPORTRANGE($F$8,""'Sensitivity [""&amp;IF(L$3="""",L$2,L$2&amp;"", ""&amp;L$3)&amp;""]'!E1:E20""),
      IMPORTRANGE($F$8,""'Sensitivity [""&amp;IF(L$3="""",L$2,L$2&amp;"", ""&amp;L$3)&amp;""]'!A1:A20"")=$E16
    ),
    """"
  ) = """",
  ""-"",
  "&amp;"L$5 * ( 1 +
    IFNA(
      FILTER(
        IMPORTRANGE($F$8,""'Sensitivity [""&amp;IF(L$3="""",L$2,L$2&amp;"", ""&amp;L$3)&amp;""]'!E1:E20""),
        IMPORTRANGE($F$8,""'Sensitivity [""&amp;IF(L$3="""",L$2,L$2&amp;"", ""&amp;L$3)&amp;""]'!A1:A20"")=$E16
      ),
      """"
    )
  )
)"&amp;", ""-"")
"),"-")</f>
        <v>-</v>
      </c>
      <c r="O16" s="832" t="str">
        <f>IFERROR(__xludf.DUMMYFUNCTION("Iferror(IF(
  IFNA(
    FILTER(
      IMPORTRANGE($F$8,""'Sensitivity [""&amp;IF(O$3="""",O$2,O$2&amp;"", ""&amp;O$3)&amp;""]'!D1:D20""),
      IMPORTRANGE($F$8,""'Sensitivity [""&amp;IF(O$3="""",O$2,O$2&amp;"", ""&amp;O$3)&amp;""]'!A1:A20"")=$E16
    ),
    """"
  ) = """",
  ""-"",
  "&amp;"O$5 * ( 1 +
    IFNA(
      FILTER(
        IMPORTRANGE($F$8,""'Sensitivity [""&amp;IF(O$3="""",O$2,O$2&amp;"", ""&amp;O$3)&amp;""]'!D1:D20""),
        IMPORTRANGE($F$8,""'Sensitivity [""&amp;IF(O$3="""",O$2,O$2&amp;"", ""&amp;O$3)&amp;""]'!A1:A20"")=$E16
      ),
      """"
    )
  )
)"&amp;", ""-"")
"),"-")</f>
        <v>-</v>
      </c>
      <c r="P16" s="843" t="s">
        <v>124</v>
      </c>
      <c r="Q16" s="835" t="str">
        <f>IFERROR(__xludf.DUMMYFUNCTION("iferror(IF(
  IFNA(
    FILTER(
      IMPORTRANGE($F$8,""'Sensitivity [""&amp;IF(O$3="""",O$2,O$2&amp;"", ""&amp;O$3)&amp;""]'!E1:E20""),
      IMPORTRANGE($F$8,""'Sensitivity [""&amp;IF(O$3="""",O$2,O$2&amp;"", ""&amp;O$3)&amp;""]'!A1:A20"")=$E16
    ),
    """"
  ) = """",
  ""-"",
  "&amp;"O$5 * ( 1 +
    IFNA(
      FILTER(
        IMPORTRANGE($F$8,""'Sensitivity [""&amp;IF(O$3="""",O$2,O$2&amp;"", ""&amp;O$3)&amp;""]'!E1:E20""),
        IMPORTRANGE($F$8,""'Sensitivity [""&amp;IF(O$3="""",O$2,O$2&amp;"", ""&amp;O$3)&amp;""]'!A1:A20"")=$E16
      ),
      """"
    )
  )
)"&amp;", ""-"")
"),"-")</f>
        <v>-</v>
      </c>
      <c r="R16" s="832" t="str">
        <f>IFERROR(__xludf.DUMMYFUNCTION("Iferror(IF(
  IFNA(
    FILTER(
      IMPORTRANGE($F$8,""'Sensitivity [""&amp;IF(R$3="""",R$2,R$2&amp;"", ""&amp;R$3)&amp;""]'!D1:D20""),
      IMPORTRANGE($F$8,""'Sensitivity [""&amp;IF(R$3="""",R$2,R$2&amp;"", ""&amp;R$3)&amp;""]'!A1:A20"")=$E16
    ),
    """"
  ) = """",
  ""-"",
  "&amp;"R$5 * ( 1 +
    IFNA(
      FILTER(
        IMPORTRANGE($F$8,""'Sensitivity [""&amp;IF(R$3="""",R$2,R$2&amp;"", ""&amp;R$3)&amp;""]'!D1:D20""),
        IMPORTRANGE($F$8,""'Sensitivity [""&amp;IF(R$3="""",R$2,R$2&amp;"", ""&amp;R$3)&amp;""]'!A1:A20"")=$E16
      ),
      """"
    )
  )
)"&amp;", ""-"")
"),"-")</f>
        <v>-</v>
      </c>
      <c r="S16" s="843" t="s">
        <v>124</v>
      </c>
      <c r="T16" s="835" t="str">
        <f>IFERROR(__xludf.DUMMYFUNCTION("iferror(IF(
  IFNA(
    FILTER(
      IMPORTRANGE($F$8,""'Sensitivity [""&amp;IF(R$3="""",R$2,R$2&amp;"", ""&amp;R$3)&amp;""]'!E1:E20""),
      IMPORTRANGE($F$8,""'Sensitivity [""&amp;IF(R$3="""",R$2,R$2&amp;"", ""&amp;R$3)&amp;""]'!A1:A20"")=$E16
    ),
    """"
  ) = """",
  ""-"",
  "&amp;"R$5 * ( 1 +
    IFNA(
      FILTER(
        IMPORTRANGE($F$8,""'Sensitivity [""&amp;IF(R$3="""",R$2,R$2&amp;"", ""&amp;R$3)&amp;""]'!E1:E20""),
        IMPORTRANGE($F$8,""'Sensitivity [""&amp;IF(R$3="""",R$2,R$2&amp;"", ""&amp;R$3)&amp;""]'!A1:A20"")=$E16
      ),
      """"
    )
  )
)"&amp;", ""-"")
"),"-")</f>
        <v>-</v>
      </c>
      <c r="U16" s="832" t="str">
        <f>IFERROR(__xludf.DUMMYFUNCTION("Iferror(IF(
  IFNA(
    FILTER(
      IMPORTRANGE($F$8,""'Sensitivity [""&amp;IF(U$3="""",U$2,U$2&amp;"", ""&amp;U$3)&amp;""]'!D1:D20""),
      IMPORTRANGE($F$8,""'Sensitivity [""&amp;IF(U$3="""",U$2,U$2&amp;"", ""&amp;U$3)&amp;""]'!A1:A20"")=$E16
    ),
    """"
  ) = """",
  ""-"",
  "&amp;"U$5 * ( 1 +
    IFNA(
      FILTER(
        IMPORTRANGE($F$8,""'Sensitivity [""&amp;IF(U$3="""",U$2,U$2&amp;"", ""&amp;U$3)&amp;""]'!D1:D20""),
        IMPORTRANGE($F$8,""'Sensitivity [""&amp;IF(U$3="""",U$2,U$2&amp;"", ""&amp;U$3)&amp;""]'!A1:A20"")=$E16
      ),
      """"
    )
  )
)"&amp;", ""-"")
"),"-")</f>
        <v>-</v>
      </c>
      <c r="V16" s="843" t="s">
        <v>124</v>
      </c>
      <c r="W16" s="835" t="str">
        <f>IFERROR(__xludf.DUMMYFUNCTION("iferror(IF(
  IFNA(
    FILTER(
      IMPORTRANGE($F$8,""'Sensitivity [""&amp;IF(U$3="""",U$2,U$2&amp;"", ""&amp;U$3)&amp;""]'!E1:E20""),
      IMPORTRANGE($F$8,""'Sensitivity [""&amp;IF(U$3="""",U$2,U$2&amp;"", ""&amp;U$3)&amp;""]'!A1:A20"")=$E16
    ),
    """"
  ) = """",
  ""-"",
  "&amp;"U$5 * ( 1 +
    IFNA(
      FILTER(
        IMPORTRANGE($F$8,""'Sensitivity [""&amp;IF(U$3="""",U$2,U$2&amp;"", ""&amp;U$3)&amp;""]'!E1:E20""),
        IMPORTRANGE($F$8,""'Sensitivity [""&amp;IF(U$3="""",U$2,U$2&amp;"", ""&amp;U$3)&amp;""]'!A1:A20"")=$E16
      ),
      """"
    )
  )
)"&amp;", ""-"")
"),"-")</f>
        <v>-</v>
      </c>
      <c r="X16" s="832" t="str">
        <f>IFERROR(__xludf.DUMMYFUNCTION("Iferror(IF(
  IFNA(
    FILTER(
      IMPORTRANGE($F$8,""'Sensitivity [""&amp;IF(X$3="""",X$2,X$2&amp;"", ""&amp;X$3)&amp;""]'!D1:D20""),
      IMPORTRANGE($F$8,""'Sensitivity [""&amp;IF(X$3="""",X$2,X$2&amp;"", ""&amp;X$3)&amp;""]'!A1:A20"")=$E16
    ),
    """"
  ) = """",
  ""-"",
  "&amp;"X$5 * ( 1 +
    IFNA(
      FILTER(
        IMPORTRANGE($F$8,""'Sensitivity [""&amp;IF(X$3="""",X$2,X$2&amp;"", ""&amp;X$3)&amp;""]'!D1:D20""),
        IMPORTRANGE($F$8,""'Sensitivity [""&amp;IF(X$3="""",X$2,X$2&amp;"", ""&amp;X$3)&amp;""]'!A1:A20"")=$E16
      ),
      """"
    )
  )
)"&amp;", ""-"")
"),"-")</f>
        <v>-</v>
      </c>
      <c r="Y16" s="843" t="s">
        <v>124</v>
      </c>
      <c r="Z16" s="835" t="str">
        <f>IFERROR(__xludf.DUMMYFUNCTION("iferror(IF(
  IFNA(
    FILTER(
      IMPORTRANGE($F$8,""'Sensitivity [""&amp;IF(X$3="""",X$2,X$2&amp;"", ""&amp;X$3)&amp;""]'!E1:E20""),
      IMPORTRANGE($F$8,""'Sensitivity [""&amp;IF(X$3="""",X$2,X$2&amp;"", ""&amp;X$3)&amp;""]'!A1:A20"")=$E16
    ),
    """"
  ) = """",
  ""-"",
  "&amp;"X$5 * ( 1 +
    IFNA(
      FILTER(
        IMPORTRANGE($F$8,""'Sensitivity [""&amp;IF(X$3="""",X$2,X$2&amp;"", ""&amp;X$3)&amp;""]'!E1:E20""),
        IMPORTRANGE($F$8,""'Sensitivity [""&amp;IF(X$3="""",X$2,X$2&amp;"", ""&amp;X$3)&amp;""]'!A1:A20"")=$E16
      ),
      """"
    )
  )
)"&amp;", ""-"")
"),"-")</f>
        <v>-</v>
      </c>
      <c r="AA16" s="832">
        <f>IFERROR(__xludf.DUMMYFUNCTION("Iferror(IF(
  IFNA(
    FILTER(
      IMPORTRANGE($F$8,""'Sensitivity [""&amp;IF(AA$3="""",AA$2,AA$2&amp;"", ""&amp;AA$3)&amp;""]'!D1:D20""),
      IMPORTRANGE($F$8,""'Sensitivity [""&amp;IF(AA$3="""",AA$2,AA$2&amp;"", ""&amp;AA$3)&amp;""]'!A1:A20"")=$E16
    ),
    """"
  ) = """",
  "&amp;"""-"",
  AA$5 * ( 1 +
    IFNA(
      FILTER(
        IMPORTRANGE($F$8,""'Sensitivity [""&amp;IF(AA$3="""",AA$2,AA$2&amp;"", ""&amp;AA$3)&amp;""]'!D1:D20""),
        IMPORTRANGE($F$8,""'Sensitivity [""&amp;IF(AA$3="""",AA$2,AA$2&amp;"", ""&amp;AA$3)&amp;""]'!A1:A20"")=$E16
      ),
    "&amp;"  """"
    )
  )
), ""-"")
"),19.44598691178998)</f>
        <v>19.44598691</v>
      </c>
      <c r="AB16" s="843" t="s">
        <v>124</v>
      </c>
      <c r="AC16" s="835">
        <f>IFERROR(__xludf.DUMMYFUNCTION("iferror(IF(
  IFNA(
    FILTER(
      IMPORTRANGE($F$8,""'Sensitivity [""&amp;IF(AA$3="""",AA$2,AA$2&amp;"", ""&amp;AA$3)&amp;""]'!E1:E20""),
      IMPORTRANGE($F$8,""'Sensitivity [""&amp;IF(AA$3="""",AA$2,AA$2&amp;"", ""&amp;AA$3)&amp;""]'!A1:A20"")=$E16
    ),
    """"
  ) = """",
  "&amp;"""-"",
  AA$5 * ( 1 +
    IFNA(
      FILTER(
        IMPORTRANGE($F$8,""'Sensitivity [""&amp;IF(AA$3="""",AA$2,AA$2&amp;"", ""&amp;AA$3)&amp;""]'!E1:E20""),
        IMPORTRANGE($F$8,""'Sensitivity [""&amp;IF(AA$3="""",AA$2,AA$2&amp;"", ""&amp;AA$3)&amp;""]'!A1:A20"")=$E16
      ),
    "&amp;"  """"
    )
  )
), ""-"")
"),23.231931266297764)</f>
        <v>23.23193127</v>
      </c>
      <c r="AD16" s="832">
        <f>IFERROR(__xludf.DUMMYFUNCTION("Iferror(IF(
  IFNA(
    FILTER(
      IMPORTRANGE($F$8,""'Sensitivity [""&amp;IF(AD$3="""",AD$2,AD$2&amp;"", ""&amp;AD$3)&amp;""]'!D1:D20""),
      IMPORTRANGE($F$8,""'Sensitivity [""&amp;IF(AD$3="""",AD$2,AD$2&amp;"", ""&amp;AD$3)&amp;""]'!A1:A20"")=$E16
    ),
    """"
  ) = """",
  "&amp;"""-"",
  AD$5 * ( 1 +
    IFNA(
      FILTER(
        IMPORTRANGE($F$8,""'Sensitivity [""&amp;IF(AD$3="""",AD$2,AD$2&amp;"", ""&amp;AD$3)&amp;""]'!D1:D20""),
        IMPORTRANGE($F$8,""'Sensitivity [""&amp;IF(AD$3="""",AD$2,AD$2&amp;"", ""&amp;AD$3)&amp;""]'!A1:A20"")=$E16
      ),
    "&amp;"  """"
    )
  )
), ""-"")
"),16.07040404254569)</f>
        <v>16.07040404</v>
      </c>
      <c r="AE16" s="843" t="s">
        <v>124</v>
      </c>
      <c r="AF16" s="835">
        <f>IFERROR(__xludf.DUMMYFUNCTION("iferror(IF(
  IFNA(
    FILTER(
      IMPORTRANGE($F$8,""'Sensitivity [""&amp;IF(AD$3="""",AD$2,AD$2&amp;"", ""&amp;AD$3)&amp;""]'!E1:E20""),
      IMPORTRANGE($F$8,""'Sensitivity [""&amp;IF(AD$3="""",AD$2,AD$2&amp;"", ""&amp;AD$3)&amp;""]'!A1:A20"")=$E16
    ),
    """"
  ) = """",
  "&amp;"""-"",
  AD$5 * ( 1 +
    IFNA(
      FILTER(
        IMPORTRANGE($F$8,""'Sensitivity [""&amp;IF(AD$3="""",AD$2,AD$2&amp;"", ""&amp;AD$3)&amp;""]'!E1:E20""),
        IMPORTRANGE($F$8,""'Sensitivity [""&amp;IF(AD$3="""",AD$2,AD$2&amp;"", ""&amp;AD$3)&amp;""]'!A1:A20"")=$E16
      ),
    "&amp;"  """"
    )
  )
), ""-"")
"),19.82016498580629)</f>
        <v>19.82016499</v>
      </c>
      <c r="AG16" s="832">
        <f>IFERROR(__xludf.DUMMYFUNCTION("Iferror(IF(
  IFNA(
    FILTER(
      IMPORTRANGE($F$8,""'Sensitivity [""&amp;IF(AG$3="""",AG$2,AG$2&amp;"", ""&amp;AG$3)&amp;""]'!D1:D20""),
      IMPORTRANGE($F$8,""'Sensitivity [""&amp;IF(AG$3="""",AG$2,AG$2&amp;"", ""&amp;AG$3)&amp;""]'!A1:A20"")=$E16
    ),
    """"
  ) = """",
  "&amp;"""-"",
  AG$5 * ( 1 +
    IFNA(
      FILTER(
        IMPORTRANGE($F$8,""'Sensitivity [""&amp;IF(AG$3="""",AG$2,AG$2&amp;"", ""&amp;AG$3)&amp;""]'!D1:D20""),
        IMPORTRANGE($F$8,""'Sensitivity [""&amp;IF(AG$3="""",AG$2,AG$2&amp;"", ""&amp;AG$3)&amp;""]'!A1:A20"")=$E16
      ),
    "&amp;"  """"
    )
  )
), ""-"")
"),14.46862514407959)</f>
        <v>14.46862514</v>
      </c>
      <c r="AH16" s="843" t="s">
        <v>124</v>
      </c>
      <c r="AI16" s="835">
        <f>IFERROR(__xludf.DUMMYFUNCTION("iferror(IF(
  IFNA(
    FILTER(
      IMPORTRANGE($F$8,""'Sensitivity [""&amp;IF(AG$3="""",AG$2,AG$2&amp;"", ""&amp;AG$3)&amp;""]'!E1:E20""),
      IMPORTRANGE($F$8,""'Sensitivity [""&amp;IF(AG$3="""",AG$2,AG$2&amp;"", ""&amp;AG$3)&amp;""]'!A1:A20"")=$E16
    ),
    """"
  ) = """",
  "&amp;"""-"",
  AG$5 * ( 1 +
    IFNA(
      FILTER(
        IMPORTRANGE($F$8,""'Sensitivity [""&amp;IF(AG$3="""",AG$2,AG$2&amp;"", ""&amp;AG$3)&amp;""]'!E1:E20""),
        IMPORTRANGE($F$8,""'Sensitivity [""&amp;IF(AG$3="""",AG$2,AG$2&amp;"", ""&amp;AG$3)&amp;""]'!A1:A20"")=$E16
      ),
    "&amp;"  """"
    )
  )
), ""-"")
"),17.816736747668276)</f>
        <v>17.81673675</v>
      </c>
      <c r="AJ16" s="832">
        <f>IFERROR(__xludf.DUMMYFUNCTION("Iferror(IF(
  IFNA(
    FILTER(
      IMPORTRANGE($F$8,""'Sensitivity [""&amp;IF(AJ$3="""",AJ$2,AJ$2&amp;"", ""&amp;AJ$3)&amp;""]'!D1:D20""),
      IMPORTRANGE($F$8,""'Sensitivity [""&amp;IF(AJ$3="""",AJ$2,AJ$2&amp;"", ""&amp;AJ$3)&amp;""]'!A1:A20"")=$E16
    ),
    """"
  ) = """",
  "&amp;"""-"",
  AJ$5 * ( 1 +
    IFNA(
      FILTER(
        IMPORTRANGE($F$8,""'Sensitivity [""&amp;IF(AJ$3="""",AJ$2,AJ$2&amp;"", ""&amp;AJ$3)&amp;""]'!D1:D20""),
        IMPORTRANGE($F$8,""'Sensitivity [""&amp;IF(AJ$3="""",AJ$2,AJ$2&amp;"", ""&amp;AJ$3)&amp;""]'!A1:A20"")=$E16
      ),
    "&amp;"  """"
    )
  )
), ""-"")
"),26.50354712706961)</f>
        <v>26.50354713</v>
      </c>
      <c r="AK16" s="843" t="s">
        <v>124</v>
      </c>
      <c r="AL16" s="835">
        <f>IFERROR(__xludf.DUMMYFUNCTION("iferror(IF(
  IFNA(
    FILTER(
      IMPORTRANGE($F$8,""'Sensitivity [""&amp;IF(AJ$3="""",AJ$2,AJ$2&amp;"", ""&amp;AJ$3)&amp;""]'!E1:E20""),
      IMPORTRANGE($F$8,""'Sensitivity [""&amp;IF(AJ$3="""",AJ$2,AJ$2&amp;"", ""&amp;AJ$3)&amp;""]'!A1:A20"")=$E16
    ),
    """"
  ) = """",
  "&amp;"""-"",
  AJ$5 * ( 1 +
    IFNA(
      FILTER(
        IMPORTRANGE($F$8,""'Sensitivity [""&amp;IF(AJ$3="""",AJ$2,AJ$2&amp;"", ""&amp;AJ$3)&amp;""]'!E1:E20""),
        IMPORTRANGE($F$8,""'Sensitivity [""&amp;IF(AJ$3="""",AJ$2,AJ$2&amp;"", ""&amp;AJ$3)&amp;""]'!A1:A20"")=$E16
      ),
    "&amp;"  """"
    )
  )
), ""-"")
"),32.29423809600909)</f>
        <v>32.2942381</v>
      </c>
      <c r="AM16" s="832">
        <f>IFERROR(__xludf.DUMMYFUNCTION("Iferror(IF(
  IFNA(
    FILTER(
      IMPORTRANGE($F$8,""'Sensitivity [""&amp;IF(AM$3="""",AM$2,AM$2&amp;"", ""&amp;AM$3)&amp;""]'!D1:D20""),
      IMPORTRANGE($F$8,""'Sensitivity [""&amp;IF(AM$3="""",AM$2,AM$2&amp;"", ""&amp;AM$3)&amp;""]'!A1:A20"")=$E16
    ),
    """"
  ) = """",
  "&amp;"""-"",
  AM$5 * ( 1 +
    IFNA(
      FILTER(
        IMPORTRANGE($F$8,""'Sensitivity [""&amp;IF(AM$3="""",AM$2,AM$2&amp;"", ""&amp;AM$3)&amp;""]'!D1:D20""),
        IMPORTRANGE($F$8,""'Sensitivity [""&amp;IF(AM$3="""",AM$2,AM$2&amp;"", ""&amp;AM$3)&amp;""]'!A1:A20"")=$E16
      ),
    "&amp;"  """"
    )
  )
), ""-"")
"),18.91157695208355)</f>
        <v>18.91157695</v>
      </c>
      <c r="AN16" s="843" t="s">
        <v>124</v>
      </c>
      <c r="AO16" s="835">
        <f>IFERROR(__xludf.DUMMYFUNCTION("iferror(IF(
  IFNA(
    FILTER(
      IMPORTRANGE($F$8,""'Sensitivity [""&amp;IF(AM$3="""",AM$2,AM$2&amp;"", ""&amp;AM$3)&amp;""]'!E1:E20""),
      IMPORTRANGE($F$8,""'Sensitivity [""&amp;IF(AM$3="""",AM$2,AM$2&amp;"", ""&amp;AM$3)&amp;""]'!A1:A20"")=$E16
    ),
    """"
  ) = """",
  "&amp;"""-"",
  AM$5 * ( 1 +
    IFNA(
      FILTER(
        IMPORTRANGE($F$8,""'Sensitivity [""&amp;IF(AM$3="""",AM$2,AM$2&amp;"", ""&amp;AM$3)&amp;""]'!E1:E20""),
        IMPORTRANGE($F$8,""'Sensitivity [""&amp;IF(AM$3="""",AM$2,AM$2&amp;"", ""&amp;AM$3)&amp;""]'!A1:A20"")=$E16
      ),
    "&amp;"  """"
    )
  )
), ""-"")
"),23.21665138020013)</f>
        <v>23.21665138</v>
      </c>
      <c r="AP16" s="832">
        <f>IFERROR(__xludf.DUMMYFUNCTION("Iferror(IF(
  IFNA(
    FILTER(
      IMPORTRANGE($F$8,""'Sensitivity [""&amp;IF(AP$3="""",AP$2,AP$2&amp;"", ""&amp;AP$3)&amp;""]'!D1:D20""),
      IMPORTRANGE($F$8,""'Sensitivity [""&amp;IF(AP$3="""",AP$2,AP$2&amp;"", ""&amp;AP$3)&amp;""]'!A1:A20"")=$E16
    ),
    """"
  ) = """",
  "&amp;"""-"",
  AP$5 * ( 1 +
    IFNA(
      FILTER(
        IMPORTRANGE($F$8,""'Sensitivity [""&amp;IF(AP$3="""",AP$2,AP$2&amp;"", ""&amp;AP$3)&amp;""]'!D1:D20""),
        IMPORTRANGE($F$8,""'Sensitivity [""&amp;IF(AP$3="""",AP$2,AP$2&amp;"", ""&amp;AP$3)&amp;""]'!A1:A20"")=$E16
      ),
    "&amp;"  """"
    )
  )
), ""-"")
"),20.015367927176566)</f>
        <v>20.01536793</v>
      </c>
      <c r="AQ16" s="843" t="s">
        <v>124</v>
      </c>
      <c r="AR16" s="835">
        <f>IFERROR(__xludf.DUMMYFUNCTION("iferror(IF(
  IFNA(
    FILTER(
      IMPORTRANGE($F$8,""'Sensitivity [""&amp;IF(AP$3="""",AP$2,AP$2&amp;"", ""&amp;AP$3)&amp;""]'!E1:E20""),
      IMPORTRANGE($F$8,""'Sensitivity [""&amp;IF(AP$3="""",AP$2,AP$2&amp;"", ""&amp;AP$3)&amp;""]'!A1:A20"")=$E16
    ),
    """"
  ) = """",
  "&amp;"""-"",
  AP$5 * ( 1 +
    IFNA(
      FILTER(
        IMPORTRANGE($F$8,""'Sensitivity [""&amp;IF(AP$3="""",AP$2,AP$2&amp;"", ""&amp;AP$3)&amp;""]'!E1:E20""),
        IMPORTRANGE($F$8,""'Sensitivity [""&amp;IF(AP$3="""",AP$2,AP$2&amp;"", ""&amp;AP$3)&amp;""]'!A1:A20"")=$E16
      ),
    "&amp;"  """"
    )
  )
), ""-"")
"),24.5717118455582)</f>
        <v>24.57171185</v>
      </c>
      <c r="AS16" s="832">
        <f>IFERROR(__xludf.DUMMYFUNCTION("Iferror(IF(
  IFNA(
    FILTER(
      IMPORTRANGE($F$8,""'Sensitivity [""&amp;IF(AS$3="""",AS$2,AS$2&amp;"", ""&amp;AS$3)&amp;""]'!D1:D20""),
      IMPORTRANGE($F$8,""'Sensitivity [""&amp;IF(AS$3="""",AS$2,AS$2&amp;"", ""&amp;AS$3)&amp;""]'!A1:A20"")=$E16
    ),
    """"
  ) = """",
  "&amp;"""-"",
  AS$5 * ( 1 +
    IFNA(
      FILTER(
        IMPORTRANGE($F$8,""'Sensitivity [""&amp;IF(AS$3="""",AS$2,AS$2&amp;"", ""&amp;AS$3)&amp;""]'!D1:D20""),
        IMPORTRANGE($F$8,""'Sensitivity [""&amp;IF(AS$3="""",AS$2,AS$2&amp;"", ""&amp;AS$3)&amp;""]'!A1:A20"")=$E16
      ),
    "&amp;"  """"
    )
  )
), ""-"")
"),21.423701145655542)</f>
        <v>21.42370115</v>
      </c>
      <c r="AT16" s="843" t="s">
        <v>124</v>
      </c>
      <c r="AU16" s="835">
        <f>IFERROR(__xludf.DUMMYFUNCTION("iferror(IF(
  IFNA(
    FILTER(
      IMPORTRANGE($F$8,""'Sensitivity [""&amp;IF(AS$3="""",AS$2,AS$2&amp;"", ""&amp;AS$3)&amp;""]'!E1:E20""),
      IMPORTRANGE($F$8,""'Sensitivity [""&amp;IF(AS$3="""",AS$2,AS$2&amp;"", ""&amp;AS$3)&amp;""]'!A1:A20"")=$E16
    ),
    """"
  ) = """",
  "&amp;"""-"",
  AS$5 * ( 1 +
    IFNA(
      FILTER(
        IMPORTRANGE($F$8,""'Sensitivity [""&amp;IF(AS$3="""",AS$2,AS$2&amp;"", ""&amp;AS$3)&amp;""]'!E1:E20""),
        IMPORTRANGE($F$8,""'Sensitivity [""&amp;IF(AS$3="""",AS$2,AS$2&amp;"", ""&amp;AS$3)&amp;""]'!A1:A20"")=$E16
      ),
    "&amp;"  """"
    )
  )
), ""-"")
"),27.366041609414086)</f>
        <v>27.36604161</v>
      </c>
      <c r="AV16" s="832">
        <f>IFERROR(__xludf.DUMMYFUNCTION("Iferror(IF(
  IFNA(
    FILTER(
      IMPORTRANGE($F$8,""'Sensitivity [""&amp;IF(AV$3="""",AV$2,AV$2&amp;"", ""&amp;AV$3)&amp;""]'!D1:D20""),
      IMPORTRANGE($F$8,""'Sensitivity [""&amp;IF(AV$3="""",AV$2,AV$2&amp;"", ""&amp;AV$3)&amp;""]'!A1:A20"")=$E16
    ),
    """"
  ) = """",
  "&amp;"""-"",
  AV$5 * ( 1 +
    IFNA(
      FILTER(
        IMPORTRANGE($F$8,""'Sensitivity [""&amp;IF(AV$3="""",AV$2,AV$2&amp;"", ""&amp;AV$3)&amp;""]'!D1:D20""),
        IMPORTRANGE($F$8,""'Sensitivity [""&amp;IF(AV$3="""",AV$2,AV$2&amp;"", ""&amp;AV$3)&amp;""]'!A1:A20"")=$E16
      ),
    "&amp;"  """"
    )
  )
), ""-"")
"),14.39805162405034)</f>
        <v>14.39805162</v>
      </c>
      <c r="AW16" s="843" t="s">
        <v>124</v>
      </c>
      <c r="AX16" s="835">
        <f>IFERROR(__xludf.DUMMYFUNCTION("iferror(IF(
  IFNA(
    FILTER(
      IMPORTRANGE($F$8,""'Sensitivity [""&amp;IF(AV$3="""",AV$2,AV$2&amp;"", ""&amp;AV$3)&amp;""]'!E1:E20""),
      IMPORTRANGE($F$8,""'Sensitivity [""&amp;IF(AV$3="""",AV$2,AV$2&amp;"", ""&amp;AV$3)&amp;""]'!A1:A20"")=$E16
    ),
    """"
  ) = """",
  "&amp;"""-"",
  AV$5 * ( 1 +
    IFNA(
      FILTER(
        IMPORTRANGE($F$8,""'Sensitivity [""&amp;IF(AV$3="""",AV$2,AV$2&amp;"", ""&amp;AV$3)&amp;""]'!E1:E20""),
        IMPORTRANGE($F$8,""'Sensitivity [""&amp;IF(AV$3="""",AV$2,AV$2&amp;"", ""&amp;AV$3)&amp;""]'!A1:A20"")=$E16
      ),
    "&amp;"  """"
    )
  )
), ""-"")
"),17.675656871801635)</f>
        <v>17.67565687</v>
      </c>
      <c r="AY16" s="832">
        <f>IFERROR(__xludf.DUMMYFUNCTION("Iferror(IF(
  IFNA(
    FILTER(
      IMPORTRANGE($F$8,""'Sensitivity [""&amp;IF(AY$3="""",AY$2,AY$2&amp;"", ""&amp;AY$3)&amp;""]'!D1:D20""),
      IMPORTRANGE($F$8,""'Sensitivity [""&amp;IF(AY$3="""",AY$2,AY$2&amp;"", ""&amp;AY$3)&amp;""]'!A1:A20"")=$E16
    ),
    """"
  ) = """",
  "&amp;"""-"",
  AY$5 * ( 1 +
    IFNA(
      FILTER(
        IMPORTRANGE($F$8,""'Sensitivity [""&amp;IF(AY$3="""",AY$2,AY$2&amp;"", ""&amp;AY$3)&amp;""]'!D1:D20""),
        IMPORTRANGE($F$8,""'Sensitivity [""&amp;IF(AY$3="""",AY$2,AY$2&amp;"", ""&amp;AY$3)&amp;""]'!A1:A20"")=$E16
      ),
    "&amp;"  """"
    )
  )
), ""-"")
"),27.1376199852297)</f>
        <v>27.13761999</v>
      </c>
      <c r="AZ16" s="843" t="s">
        <v>124</v>
      </c>
      <c r="BA16" s="835">
        <f>IFERROR(__xludf.DUMMYFUNCTION("iferror(IF(
  IFNA(
    FILTER(
      IMPORTRANGE($F$8,""'Sensitivity [""&amp;IF(AY$3="""",AY$2,AY$2&amp;"", ""&amp;AY$3)&amp;""]'!E1:E20""),
      IMPORTRANGE($F$8,""'Sensitivity [""&amp;IF(AY$3="""",AY$2,AY$2&amp;"", ""&amp;AY$3)&amp;""]'!A1:A20"")=$E16
    ),
    """"
  ) = """",
  "&amp;"""-"",
  AY$5 * ( 1 +
    IFNA(
      FILTER(
        IMPORTRANGE($F$8,""'Sensitivity [""&amp;IF(AY$3="""",AY$2,AY$2&amp;"", ""&amp;AY$3)&amp;""]'!E1:E20""),
        IMPORTRANGE($F$8,""'Sensitivity [""&amp;IF(AY$3="""",AY$2,AY$2&amp;"", ""&amp;AY$3)&amp;""]'!A1:A20"")=$E16
      ),
    "&amp;"  """"
    )
  )
), ""-"")
"),32.42105042483203)</f>
        <v>32.42105042</v>
      </c>
      <c r="BB16" s="832">
        <f>IFERROR(__xludf.DUMMYFUNCTION("Iferror(IF(
  IFNA(
    FILTER(
      IMPORTRANGE($F$8,""'Sensitivity [""&amp;IF(BB$3="""",BB$2,BB$2&amp;"", ""&amp;BB$3)&amp;""]'!D1:D20""),
      IMPORTRANGE($F$8,""'Sensitivity [""&amp;IF(BB$3="""",BB$2,BB$2&amp;"", ""&amp;BB$3)&amp;""]'!A1:A20"")=$E16
    ),
    """"
  ) = """",
  "&amp;"""-"",
  BB$5 * ( 1 +
    IFNA(
      FILTER(
        IMPORTRANGE($F$8,""'Sensitivity [""&amp;IF(BB$3="""",BB$2,BB$2&amp;"", ""&amp;BB$3)&amp;""]'!D1:D20""),
        IMPORTRANGE($F$8,""'Sensitivity [""&amp;IF(BB$3="""",BB$2,BB$2&amp;"", ""&amp;BB$3)&amp;""]'!A1:A20"")=$E16
      ),
    "&amp;"  """"
    )
  )
), ""-"")
"),9.242409392885943)</f>
        <v>9.242409393</v>
      </c>
      <c r="BC16" s="843" t="s">
        <v>124</v>
      </c>
      <c r="BD16" s="835">
        <f>IFERROR(__xludf.DUMMYFUNCTION("iferror(IF(
  IFNA(
    FILTER(
      IMPORTRANGE($F$8,""'Sensitivity [""&amp;IF(BB$3="""",BB$2,BB$2&amp;"", ""&amp;BB$3)&amp;""]'!E1:E20""),
      IMPORTRANGE($F$8,""'Sensitivity [""&amp;IF(BB$3="""",BB$2,BB$2&amp;"", ""&amp;BB$3)&amp;""]'!A1:A20"")=$E16
    ),
    """"
  ) = """",
  "&amp;"""-"",
  BB$5 * ( 1 +
    IFNA(
      FILTER(
        IMPORTRANGE($F$8,""'Sensitivity [""&amp;IF(BB$3="""",BB$2,BB$2&amp;"", ""&amp;BB$3)&amp;""]'!E1:E20""),
        IMPORTRANGE($F$8,""'Sensitivity [""&amp;IF(BB$3="""",BB$2,BB$2&amp;"", ""&amp;BB$3)&amp;""]'!A1:A20"")=$E16
      ),
    "&amp;"  """"
    )
  )
), ""-"")
"),11.843976481253899)</f>
        <v>11.84397648</v>
      </c>
      <c r="BE16" s="832" t="str">
        <f>IFERROR(__xludf.DUMMYFUNCTION("Iferror(IF(
  IFNA(
    FILTER(
      IMPORTRANGE($F$8,""'Sensitivity [""&amp;IF(BE$3="""",BE$2,BE$2&amp;"", ""&amp;BE$3)&amp;""]'!D1:D20""),
      IMPORTRANGE($F$8,""'Sensitivity [""&amp;IF(BE$3="""",BE$2,BE$2&amp;"", ""&amp;BE$3)&amp;""]'!A1:A20"")=$E16
    ),
    """"
  ) = """",
  "&amp;"""-"",
  BE$5 * ( 1 +
    IFNA(
      FILTER(
        IMPORTRANGE($F$8,""'Sensitivity [""&amp;IF(BE$3="""",BE$2,BE$2&amp;"", ""&amp;BE$3)&amp;""]'!D1:D20""),
        IMPORTRANGE($F$8,""'Sensitivity [""&amp;IF(BE$3="""",BE$2,BE$2&amp;"", ""&amp;BE$3)&amp;""]'!A1:A20"")=$E16
      ),
    "&amp;"  """"
    )
  )
), ""-"")
"),"-")</f>
        <v>-</v>
      </c>
      <c r="BF16" s="843" t="s">
        <v>124</v>
      </c>
      <c r="BG16" s="835" t="str">
        <f>IFERROR(__xludf.DUMMYFUNCTION("iferror(IF(
  IFNA(
    FILTER(
      IMPORTRANGE($F$8,""'Sensitivity [""&amp;IF(BE$3="""",BE$2,BE$2&amp;"", ""&amp;BE$3)&amp;""]'!E1:E20""),
      IMPORTRANGE($F$8,""'Sensitivity [""&amp;IF(BE$3="""",BE$2,BE$2&amp;"", ""&amp;BE$3)&amp;""]'!A1:A20"")=$E16
    ),
    """"
  ) = """",
  "&amp;"""-"",
  BE$5 * ( 1 +
    IFNA(
      FILTER(
        IMPORTRANGE($F$8,""'Sensitivity [""&amp;IF(BE$3="""",BE$2,BE$2&amp;"", ""&amp;BE$3)&amp;""]'!E1:E20""),
        IMPORTRANGE($F$8,""'Sensitivity [""&amp;IF(BE$3="""",BE$2,BE$2&amp;"", ""&amp;BE$3)&amp;""]'!A1:A20"")=$E16
      ),
    "&amp;"  """"
    )
  )
), ""-"")
"),"-")</f>
        <v>-</v>
      </c>
      <c r="BH16" s="861"/>
    </row>
    <row r="17">
      <c r="A17" s="895"/>
      <c r="B17" s="400"/>
      <c r="C17" s="400"/>
      <c r="D17" s="400"/>
      <c r="E17" s="616" t="str">
        <f t="shared" si="1"/>
        <v>Adjustment for additional program benefits and downsides</v>
      </c>
      <c r="F17" s="830">
        <f>IFERROR(__xludf.DUMMYFUNCTION("Iferror(IF(
  IFNA(
    FILTER(
      IMPORTRANGE($F$8,""'Sensitivity [""&amp;IF(F$3="""",F$2,F$2&amp;"", ""&amp;F$3)&amp;""]'!D1:D20""),
      IMPORTRANGE($F$8,""'Sensitivity [""&amp;IF(F$3="""",F$2,F$2&amp;"", ""&amp;F$3)&amp;""]'!A1:A20"")=$E17
    ),
    """"
  ) = """",
  ""-"",
  "&amp;"F$5 * ( 1 +
    IFNA(
      FILTER(
        IMPORTRANGE($F$8,""'Sensitivity [""&amp;IF(F$3="""",F$2,F$2&amp;"", ""&amp;F$3)&amp;""]'!D1:D20""),
        IMPORTRANGE($F$8,""'Sensitivity [""&amp;IF(F$3="""",F$2,F$2&amp;"", ""&amp;F$3)&amp;""]'!A1:A20"")=$E17
      ),
      """"
    )
  )
)"&amp;", ""-"")
"),15.894220642492888)</f>
        <v>15.89422064</v>
      </c>
      <c r="G17" s="842" t="s">
        <v>124</v>
      </c>
      <c r="H17" s="831">
        <f>IFERROR(__xludf.DUMMYFUNCTION("iferror(IF(
  IFNA(
    FILTER(
      IMPORTRANGE($F$8,""'Sensitivity [""&amp;IF(F$3="""",F$2,F$2&amp;"", ""&amp;F$3)&amp;""]'!E1:E20""),
      IMPORTRANGE($F$8,""'Sensitivity [""&amp;IF(F$3="""",F$2,F$2&amp;"", ""&amp;F$3)&amp;""]'!A1:A20"")=$E17
    ),
    """"
  ) = """",
  ""-"",
  "&amp;"F$5 * ( 1 +
    IFNA(
      FILTER(
        IMPORTRANGE($F$8,""'Sensitivity [""&amp;IF(F$3="""",F$2,F$2&amp;"", ""&amp;F$3)&amp;""]'!E1:E20""),
        IMPORTRANGE($F$8,""'Sensitivity [""&amp;IF(F$3="""",F$2,F$2&amp;"", ""&amp;F$3)&amp;""]'!A1:A20"")=$E17
      ),
      """"
    )
  )
)"&amp;", ""-"")
"),20.284053010419616)</f>
        <v>20.28405301</v>
      </c>
      <c r="I17" s="830">
        <f>IFERROR(__xludf.DUMMYFUNCTION("Iferror(IF(
  IFNA(
    FILTER(
      IMPORTRANGE($F$8,""'Sensitivity [""&amp;IF(I$3="""",I$2,I$2&amp;"", ""&amp;I$3)&amp;""]'!D1:D20""),
      IMPORTRANGE($F$8,""'Sensitivity [""&amp;IF(I$3="""",I$2,I$2&amp;"", ""&amp;I$3)&amp;""]'!A1:A20"")=$E17
    ),
    """"
  ) = """",
  ""-"",
  "&amp;"I$5 * ( 1 +
    IFNA(
      FILTER(
        IMPORTRANGE($F$8,""'Sensitivity [""&amp;IF(I$3="""",I$2,I$2&amp;"", ""&amp;I$3)&amp;""]'!D1:D20""),
        IMPORTRANGE($F$8,""'Sensitivity [""&amp;IF(I$3="""",I$2,I$2&amp;"", ""&amp;I$3)&amp;""]'!A1:A20"")=$E17
      ),
      """"
    )
  )
)"&amp;", ""-"")
"),7.239676796269925)</f>
        <v>7.239676796</v>
      </c>
      <c r="J17" s="842" t="s">
        <v>124</v>
      </c>
      <c r="K17" s="831">
        <f>IFERROR(__xludf.DUMMYFUNCTION("iferror(IF(
  IFNA(
    FILTER(
      IMPORTRANGE($F$8,""'Sensitivity [""&amp;IF(I$3="""",I$2,I$2&amp;"", ""&amp;I$3)&amp;""]'!E1:E20""),
      IMPORTRANGE($F$8,""'Sensitivity [""&amp;IF(I$3="""",I$2,I$2&amp;"", ""&amp;I$3)&amp;""]'!A1:A20"")=$E17
    ),
    """"
  ) = """",
  ""-"",
  "&amp;"I$5 * ( 1 +
    IFNA(
      FILTER(
        IMPORTRANGE($F$8,""'Sensitivity [""&amp;IF(I$3="""",I$2,I$2&amp;"", ""&amp;I$3)&amp;""]'!E1:E20""),
        IMPORTRANGE($F$8,""'Sensitivity [""&amp;IF(I$3="""",I$2,I$2&amp;"", ""&amp;I$3)&amp;""]'!A1:A20"")=$E17
      ),
      """"
    )
  )
)"&amp;", ""-"")
"),8.920316052546873)</f>
        <v>8.920316053</v>
      </c>
      <c r="L17" s="832" t="str">
        <f>IFERROR(__xludf.DUMMYFUNCTION("Iferror(IF(
  IFNA(
    FILTER(
      IMPORTRANGE($F$8,""'Sensitivity [""&amp;IF(L$3="""",L$2,L$2&amp;"", ""&amp;L$3)&amp;""]'!D1:D20""),
      IMPORTRANGE($F$8,""'Sensitivity [""&amp;IF(L$3="""",L$2,L$2&amp;"", ""&amp;L$3)&amp;""]'!A1:A20"")=$E17
    ),
    """"
  ) = """",
  ""-"",
  "&amp;"L$5 * ( 1 +
    IFNA(
      FILTER(
        IMPORTRANGE($F$8,""'Sensitivity [""&amp;IF(L$3="""",L$2,L$2&amp;"", ""&amp;L$3)&amp;""]'!D1:D20""),
        IMPORTRANGE($F$8,""'Sensitivity [""&amp;IF(L$3="""",L$2,L$2&amp;"", ""&amp;L$3)&amp;""]'!A1:A20"")=$E17
      ),
      """"
    )
  )
)"&amp;", ""-"")
"),"-")</f>
        <v>-</v>
      </c>
      <c r="M17" s="843" t="s">
        <v>124</v>
      </c>
      <c r="N17" s="835" t="str">
        <f>IFERROR(__xludf.DUMMYFUNCTION("iferror(IF(
  IFNA(
    FILTER(
      IMPORTRANGE($F$8,""'Sensitivity [""&amp;IF(L$3="""",L$2,L$2&amp;"", ""&amp;L$3)&amp;""]'!E1:E20""),
      IMPORTRANGE($F$8,""'Sensitivity [""&amp;IF(L$3="""",L$2,L$2&amp;"", ""&amp;L$3)&amp;""]'!A1:A20"")=$E17
    ),
    """"
  ) = """",
  ""-"",
  "&amp;"L$5 * ( 1 +
    IFNA(
      FILTER(
        IMPORTRANGE($F$8,""'Sensitivity [""&amp;IF(L$3="""",L$2,L$2&amp;"", ""&amp;L$3)&amp;""]'!E1:E20""),
        IMPORTRANGE($F$8,""'Sensitivity [""&amp;IF(L$3="""",L$2,L$2&amp;"", ""&amp;L$3)&amp;""]'!A1:A20"")=$E17
      ),
      """"
    )
  )
)"&amp;", ""-"")
"),"-")</f>
        <v>-</v>
      </c>
      <c r="O17" s="832" t="str">
        <f>IFERROR(__xludf.DUMMYFUNCTION("Iferror(IF(
  IFNA(
    FILTER(
      IMPORTRANGE($F$8,""'Sensitivity [""&amp;IF(O$3="""",O$2,O$2&amp;"", ""&amp;O$3)&amp;""]'!D1:D20""),
      IMPORTRANGE($F$8,""'Sensitivity [""&amp;IF(O$3="""",O$2,O$2&amp;"", ""&amp;O$3)&amp;""]'!A1:A20"")=$E17
    ),
    """"
  ) = """",
  ""-"",
  "&amp;"O$5 * ( 1 +
    IFNA(
      FILTER(
        IMPORTRANGE($F$8,""'Sensitivity [""&amp;IF(O$3="""",O$2,O$2&amp;"", ""&amp;O$3)&amp;""]'!D1:D20""),
        IMPORTRANGE($F$8,""'Sensitivity [""&amp;IF(O$3="""",O$2,O$2&amp;"", ""&amp;O$3)&amp;""]'!A1:A20"")=$E17
      ),
      """"
    )
  )
)"&amp;", ""-"")
"),"-")</f>
        <v>-</v>
      </c>
      <c r="P17" s="843" t="s">
        <v>124</v>
      </c>
      <c r="Q17" s="835" t="str">
        <f>IFERROR(__xludf.DUMMYFUNCTION("iferror(IF(
  IFNA(
    FILTER(
      IMPORTRANGE($F$8,""'Sensitivity [""&amp;IF(O$3="""",O$2,O$2&amp;"", ""&amp;O$3)&amp;""]'!E1:E20""),
      IMPORTRANGE($F$8,""'Sensitivity [""&amp;IF(O$3="""",O$2,O$2&amp;"", ""&amp;O$3)&amp;""]'!A1:A20"")=$E17
    ),
    """"
  ) = """",
  ""-"",
  "&amp;"O$5 * ( 1 +
    IFNA(
      FILTER(
        IMPORTRANGE($F$8,""'Sensitivity [""&amp;IF(O$3="""",O$2,O$2&amp;"", ""&amp;O$3)&amp;""]'!E1:E20""),
        IMPORTRANGE($F$8,""'Sensitivity [""&amp;IF(O$3="""",O$2,O$2&amp;"", ""&amp;O$3)&amp;""]'!A1:A20"")=$E17
      ),
      """"
    )
  )
)"&amp;", ""-"")
"),"-")</f>
        <v>-</v>
      </c>
      <c r="R17" s="832" t="str">
        <f>IFERROR(__xludf.DUMMYFUNCTION("Iferror(IF(
  IFNA(
    FILTER(
      IMPORTRANGE($F$8,""'Sensitivity [""&amp;IF(R$3="""",R$2,R$2&amp;"", ""&amp;R$3)&amp;""]'!D1:D20""),
      IMPORTRANGE($F$8,""'Sensitivity [""&amp;IF(R$3="""",R$2,R$2&amp;"", ""&amp;R$3)&amp;""]'!A1:A20"")=$E17
    ),
    """"
  ) = """",
  ""-"",
  "&amp;"R$5 * ( 1 +
    IFNA(
      FILTER(
        IMPORTRANGE($F$8,""'Sensitivity [""&amp;IF(R$3="""",R$2,R$2&amp;"", ""&amp;R$3)&amp;""]'!D1:D20""),
        IMPORTRANGE($F$8,""'Sensitivity [""&amp;IF(R$3="""",R$2,R$2&amp;"", ""&amp;R$3)&amp;""]'!A1:A20"")=$E17
      ),
      """"
    )
  )
)"&amp;", ""-"")
"),"-")</f>
        <v>-</v>
      </c>
      <c r="S17" s="843" t="s">
        <v>124</v>
      </c>
      <c r="T17" s="835" t="str">
        <f>IFERROR(__xludf.DUMMYFUNCTION("iferror(IF(
  IFNA(
    FILTER(
      IMPORTRANGE($F$8,""'Sensitivity [""&amp;IF(R$3="""",R$2,R$2&amp;"", ""&amp;R$3)&amp;""]'!E1:E20""),
      IMPORTRANGE($F$8,""'Sensitivity [""&amp;IF(R$3="""",R$2,R$2&amp;"", ""&amp;R$3)&amp;""]'!A1:A20"")=$E17
    ),
    """"
  ) = """",
  ""-"",
  "&amp;"R$5 * ( 1 +
    IFNA(
      FILTER(
        IMPORTRANGE($F$8,""'Sensitivity [""&amp;IF(R$3="""",R$2,R$2&amp;"", ""&amp;R$3)&amp;""]'!E1:E20""),
        IMPORTRANGE($F$8,""'Sensitivity [""&amp;IF(R$3="""",R$2,R$2&amp;"", ""&amp;R$3)&amp;""]'!A1:A20"")=$E17
      ),
      """"
    )
  )
)"&amp;", ""-"")
"),"-")</f>
        <v>-</v>
      </c>
      <c r="U17" s="832" t="str">
        <f>IFERROR(__xludf.DUMMYFUNCTION("Iferror(IF(
  IFNA(
    FILTER(
      IMPORTRANGE($F$8,""'Sensitivity [""&amp;IF(U$3="""",U$2,U$2&amp;"", ""&amp;U$3)&amp;""]'!D1:D20""),
      IMPORTRANGE($F$8,""'Sensitivity [""&amp;IF(U$3="""",U$2,U$2&amp;"", ""&amp;U$3)&amp;""]'!A1:A20"")=$E17
    ),
    """"
  ) = """",
  ""-"",
  "&amp;"U$5 * ( 1 +
    IFNA(
      FILTER(
        IMPORTRANGE($F$8,""'Sensitivity [""&amp;IF(U$3="""",U$2,U$2&amp;"", ""&amp;U$3)&amp;""]'!D1:D20""),
        IMPORTRANGE($F$8,""'Sensitivity [""&amp;IF(U$3="""",U$2,U$2&amp;"", ""&amp;U$3)&amp;""]'!A1:A20"")=$E17
      ),
      """"
    )
  )
)"&amp;", ""-"")
"),"-")</f>
        <v>-</v>
      </c>
      <c r="V17" s="843" t="s">
        <v>124</v>
      </c>
      <c r="W17" s="835" t="str">
        <f>IFERROR(__xludf.DUMMYFUNCTION("iferror(IF(
  IFNA(
    FILTER(
      IMPORTRANGE($F$8,""'Sensitivity [""&amp;IF(U$3="""",U$2,U$2&amp;"", ""&amp;U$3)&amp;""]'!E1:E20""),
      IMPORTRANGE($F$8,""'Sensitivity [""&amp;IF(U$3="""",U$2,U$2&amp;"", ""&amp;U$3)&amp;""]'!A1:A20"")=$E17
    ),
    """"
  ) = """",
  ""-"",
  "&amp;"U$5 * ( 1 +
    IFNA(
      FILTER(
        IMPORTRANGE($F$8,""'Sensitivity [""&amp;IF(U$3="""",U$2,U$2&amp;"", ""&amp;U$3)&amp;""]'!E1:E20""),
        IMPORTRANGE($F$8,""'Sensitivity [""&amp;IF(U$3="""",U$2,U$2&amp;"", ""&amp;U$3)&amp;""]'!A1:A20"")=$E17
      ),
      """"
    )
  )
)"&amp;", ""-"")
"),"-")</f>
        <v>-</v>
      </c>
      <c r="X17" s="832" t="str">
        <f>IFERROR(__xludf.DUMMYFUNCTION("Iferror(IF(
  IFNA(
    FILTER(
      IMPORTRANGE($F$8,""'Sensitivity [""&amp;IF(X$3="""",X$2,X$2&amp;"", ""&amp;X$3)&amp;""]'!D1:D20""),
      IMPORTRANGE($F$8,""'Sensitivity [""&amp;IF(X$3="""",X$2,X$2&amp;"", ""&amp;X$3)&amp;""]'!A1:A20"")=$E17
    ),
    """"
  ) = """",
  ""-"",
  "&amp;"X$5 * ( 1 +
    IFNA(
      FILTER(
        IMPORTRANGE($F$8,""'Sensitivity [""&amp;IF(X$3="""",X$2,X$2&amp;"", ""&amp;X$3)&amp;""]'!D1:D20""),
        IMPORTRANGE($F$8,""'Sensitivity [""&amp;IF(X$3="""",X$2,X$2&amp;"", ""&amp;X$3)&amp;""]'!A1:A20"")=$E17
      ),
      """"
    )
  )
)"&amp;", ""-"")
"),"-")</f>
        <v>-</v>
      </c>
      <c r="Y17" s="843" t="s">
        <v>124</v>
      </c>
      <c r="Z17" s="835" t="str">
        <f>IFERROR(__xludf.DUMMYFUNCTION("iferror(IF(
  IFNA(
    FILTER(
      IMPORTRANGE($F$8,""'Sensitivity [""&amp;IF(X$3="""",X$2,X$2&amp;"", ""&amp;X$3)&amp;""]'!E1:E20""),
      IMPORTRANGE($F$8,""'Sensitivity [""&amp;IF(X$3="""",X$2,X$2&amp;"", ""&amp;X$3)&amp;""]'!A1:A20"")=$E17
    ),
    """"
  ) = """",
  ""-"",
  "&amp;"X$5 * ( 1 +
    IFNA(
      FILTER(
        IMPORTRANGE($F$8,""'Sensitivity [""&amp;IF(X$3="""",X$2,X$2&amp;"", ""&amp;X$3)&amp;""]'!E1:E20""),
        IMPORTRANGE($F$8,""'Sensitivity [""&amp;IF(X$3="""",X$2,X$2&amp;"", ""&amp;X$3)&amp;""]'!A1:A20"")=$E17
      ),
      """"
    )
  )
)"&amp;", ""-"")
"),"-")</f>
        <v>-</v>
      </c>
      <c r="AA17" s="832">
        <f>IFERROR(__xludf.DUMMYFUNCTION("Iferror(IF(
  IFNA(
    FILTER(
      IMPORTRANGE($F$8,""'Sensitivity [""&amp;IF(AA$3="""",AA$2,AA$2&amp;"", ""&amp;AA$3)&amp;""]'!D1:D20""),
      IMPORTRANGE($F$8,""'Sensitivity [""&amp;IF(AA$3="""",AA$2,AA$2&amp;"", ""&amp;AA$3)&amp;""]'!A1:A20"")=$E17
    ),
    """"
  ) = """",
  "&amp;"""-"",
  AA$5 * ( 1 +
    IFNA(
      FILTER(
        IMPORTRANGE($F$8,""'Sensitivity [""&amp;IF(AA$3="""",AA$2,AA$2&amp;"", ""&amp;AA$3)&amp;""]'!D1:D20""),
        IMPORTRANGE($F$8,""'Sensitivity [""&amp;IF(AA$3="""",AA$2,AA$2&amp;"", ""&amp;AA$3)&amp;""]'!A1:A20"")=$E17
      ),
    "&amp;"  """"
    )
  )
), ""-"")
"),19.330640963407596)</f>
        <v>19.33064096</v>
      </c>
      <c r="AB17" s="843" t="s">
        <v>124</v>
      </c>
      <c r="AC17" s="835">
        <f>IFERROR(__xludf.DUMMYFUNCTION("iferror(IF(
  IFNA(
    FILTER(
      IMPORTRANGE($F$8,""'Sensitivity [""&amp;IF(AA$3="""",AA$2,AA$2&amp;"", ""&amp;AA$3)&amp;""]'!E1:E20""),
      IMPORTRANGE($F$8,""'Sensitivity [""&amp;IF(AA$3="""",AA$2,AA$2&amp;"", ""&amp;AA$3)&amp;""]'!A1:A20"")=$E17
    ),
    """"
  ) = """",
  "&amp;"""-"",
  AA$5 * ( 1 +
    IFNA(
      FILTER(
        IMPORTRANGE($F$8,""'Sensitivity [""&amp;IF(AA$3="""",AA$2,AA$2&amp;"", ""&amp;AA$3)&amp;""]'!E1:E20""),
        IMPORTRANGE($F$8,""'Sensitivity [""&amp;IF(AA$3="""",AA$2,AA$2&amp;"", ""&amp;AA$3)&amp;""]'!A1:A20"")=$E17
      ),
    "&amp;"  """"
    )
  )
), ""-"")
"),23.13339000538938)</f>
        <v>23.13339001</v>
      </c>
      <c r="AD17" s="832">
        <f>IFERROR(__xludf.DUMMYFUNCTION("Iferror(IF(
  IFNA(
    FILTER(
      IMPORTRANGE($F$8,""'Sensitivity [""&amp;IF(AD$3="""",AD$2,AD$2&amp;"", ""&amp;AD$3)&amp;""]'!D1:D20""),
      IMPORTRANGE($F$8,""'Sensitivity [""&amp;IF(AD$3="""",AD$2,AD$2&amp;"", ""&amp;AD$3)&amp;""]'!A1:A20"")=$E17
    ),
    """"
  ) = """",
  "&amp;"""-"",
  AD$5 * ( 1 +
    IFNA(
      FILTER(
        IMPORTRANGE($F$8,""'Sensitivity [""&amp;IF(AD$3="""",AD$2,AD$2&amp;"", ""&amp;AD$3)&amp;""]'!D1:D20""),
        IMPORTRANGE($F$8,""'Sensitivity [""&amp;IF(AD$3="""",AD$2,AD$2&amp;"", ""&amp;AD$3)&amp;""]'!A1:A20"")=$E17
      ),
    "&amp;"  """"
    )
  )
), ""-"")
"),16.55537159540423)</f>
        <v>16.5553716</v>
      </c>
      <c r="AE17" s="843" t="s">
        <v>124</v>
      </c>
      <c r="AF17" s="835">
        <f>IFERROR(__xludf.DUMMYFUNCTION("iferror(IF(
  IFNA(
    FILTER(
      IMPORTRANGE($F$8,""'Sensitivity [""&amp;IF(AD$3="""",AD$2,AD$2&amp;"", ""&amp;AD$3)&amp;""]'!E1:E20""),
      IMPORTRANGE($F$8,""'Sensitivity [""&amp;IF(AD$3="""",AD$2,AD$2&amp;"", ""&amp;AD$3)&amp;""]'!A1:A20"")=$E17
    ),
    """"
  ) = """",
  "&amp;"""-"",
  AD$5 * ( 1 +
    IFNA(
      FILTER(
        IMPORTRANGE($F$8,""'Sensitivity [""&amp;IF(AD$3="""",AD$2,AD$2&amp;"", ""&amp;AD$3)&amp;""]'!E1:E20""),
        IMPORTRANGE($F$8,""'Sensitivity [""&amp;IF(AD$3="""",AD$2,AD$2&amp;"", ""&amp;AD$3)&amp;""]'!A1:A20"")=$E17
      ),
    "&amp;"  """"
    )
  )
), ""-"")
"),19.651091487227717)</f>
        <v>19.65109149</v>
      </c>
      <c r="AG17" s="832">
        <f>IFERROR(__xludf.DUMMYFUNCTION("Iferror(IF(
  IFNA(
    FILTER(
      IMPORTRANGE($F$8,""'Sensitivity [""&amp;IF(AG$3="""",AG$2,AG$2&amp;"", ""&amp;AG$3)&amp;""]'!D1:D20""),
      IMPORTRANGE($F$8,""'Sensitivity [""&amp;IF(AG$3="""",AG$2,AG$2&amp;"", ""&amp;AG$3)&amp;""]'!A1:A20"")=$E17
    ),
    """"
  ) = """",
  "&amp;"""-"",
  AG$5 * ( 1 +
    IFNA(
      FILTER(
        IMPORTRANGE($F$8,""'Sensitivity [""&amp;IF(AG$3="""",AG$2,AG$2&amp;"", ""&amp;AG$3)&amp;""]'!D1:D20""),
        IMPORTRANGE($F$8,""'Sensitivity [""&amp;IF(AG$3="""",AG$2,AG$2&amp;"", ""&amp;AG$3)&amp;""]'!A1:A20"")=$E17
      ),
    "&amp;"  """"
    )
  )
), ""-"")
"),14.64733624658194)</f>
        <v>14.64733625</v>
      </c>
      <c r="AH17" s="843" t="s">
        <v>124</v>
      </c>
      <c r="AI17" s="835">
        <f>IFERROR(__xludf.DUMMYFUNCTION("iferror(IF(
  IFNA(
    FILTER(
      IMPORTRANGE($F$8,""'Sensitivity [""&amp;IF(AG$3="""",AG$2,AG$2&amp;"", ""&amp;AG$3)&amp;""]'!E1:E20""),
      IMPORTRANGE($F$8,""'Sensitivity [""&amp;IF(AG$3="""",AG$2,AG$2&amp;"", ""&amp;AG$3)&amp;""]'!A1:A20"")=$E17
    ),
    """"
  ) = """",
  "&amp;"""-"",
  AG$5 * ( 1 +
    IFNA(
      FILTER(
        IMPORTRANGE($F$8,""'Sensitivity [""&amp;IF(AG$3="""",AG$2,AG$2&amp;"", ""&amp;AG$3)&amp;""]'!E1:E20""),
        IMPORTRANGE($F$8,""'Sensitivity [""&amp;IF(AG$3="""",AG$2,AG$2&amp;"", ""&amp;AG$3)&amp;""]'!A1:A20"")=$E17
      ),
    "&amp;"  """"
    )
  )
), ""-"")
"),17.5287794426309)</f>
        <v>17.52877944</v>
      </c>
      <c r="AJ17" s="832">
        <f>IFERROR(__xludf.DUMMYFUNCTION("Iferror(IF(
  IFNA(
    FILTER(
      IMPORTRANGE($F$8,""'Sensitivity [""&amp;IF(AJ$3="""",AJ$2,AJ$2&amp;"", ""&amp;AJ$3)&amp;""]'!D1:D20""),
      IMPORTRANGE($F$8,""'Sensitivity [""&amp;IF(AJ$3="""",AJ$2,AJ$2&amp;"", ""&amp;AJ$3)&amp;""]'!A1:A20"")=$E17
    ),
    """"
  ) = """",
  "&amp;"""-"",
  AJ$5 * ( 1 +
    IFNA(
      FILTER(
        IMPORTRANGE($F$8,""'Sensitivity [""&amp;IF(AJ$3="""",AJ$2,AJ$2&amp;"", ""&amp;AJ$3)&amp;""]'!D1:D20""),
        IMPORTRANGE($F$8,""'Sensitivity [""&amp;IF(AJ$3="""",AJ$2,AJ$2&amp;"", ""&amp;AJ$3)&amp;""]'!A1:A20"")=$E17
      ),
    "&amp;"  """"
    )
  )
), ""-"")
"),26.986570620940668)</f>
        <v>26.98657062</v>
      </c>
      <c r="AK17" s="843" t="s">
        <v>124</v>
      </c>
      <c r="AL17" s="835">
        <f>IFERROR(__xludf.DUMMYFUNCTION("iferror(IF(
  IFNA(
    FILTER(
      IMPORTRANGE($F$8,""'Sensitivity [""&amp;IF(AJ$3="""",AJ$2,AJ$2&amp;"", ""&amp;AJ$3)&amp;""]'!E1:E20""),
      IMPORTRANGE($F$8,""'Sensitivity [""&amp;IF(AJ$3="""",AJ$2,AJ$2&amp;"", ""&amp;AJ$3)&amp;""]'!A1:A20"")=$E17
    ),
    """"
  ) = """",
  "&amp;"""-"",
  AJ$5 * ( 1 +
    IFNA(
      FILTER(
        IMPORTRANGE($F$8,""'Sensitivity [""&amp;IF(AJ$3="""",AJ$2,AJ$2&amp;"", ""&amp;AJ$3)&amp;""]'!E1:E20""),
        IMPORTRANGE($F$8,""'Sensitivity [""&amp;IF(AJ$3="""",AJ$2,AJ$2&amp;"", ""&amp;AJ$3)&amp;""]'!A1:A20"")=$E17
      ),
    "&amp;"  """"
    )
  )
), ""-"")
"),32.252242937221816)</f>
        <v>32.25224294</v>
      </c>
      <c r="AM17" s="832">
        <f>IFERROR(__xludf.DUMMYFUNCTION("Iferror(IF(
  IFNA(
    FILTER(
      IMPORTRANGE($F$8,""'Sensitivity [""&amp;IF(AM$3="""",AM$2,AM$2&amp;"", ""&amp;AM$3)&amp;""]'!D1:D20""),
      IMPORTRANGE($F$8,""'Sensitivity [""&amp;IF(AM$3="""",AM$2,AM$2&amp;"", ""&amp;AM$3)&amp;""]'!A1:A20"")=$E17
    ),
    """"
  ) = """",
  "&amp;"""-"",
  AM$5 * ( 1 +
    IFNA(
      FILTER(
        IMPORTRANGE($F$8,""'Sensitivity [""&amp;IF(AM$3="""",AM$2,AM$2&amp;"", ""&amp;AM$3)&amp;""]'!D1:D20""),
        IMPORTRANGE($F$8,""'Sensitivity [""&amp;IF(AM$3="""",AM$2,AM$2&amp;"", ""&amp;AM$3)&amp;""]'!A1:A20"")=$E17
      ),
    "&amp;"  """"
    )
  )
), ""-"")
"),19.194943193932296)</f>
        <v>19.19494319</v>
      </c>
      <c r="AN17" s="843" t="s">
        <v>124</v>
      </c>
      <c r="AO17" s="835">
        <f>IFERROR(__xludf.DUMMYFUNCTION("iferror(IF(
  IFNA(
    FILTER(
      IMPORTRANGE($F$8,""'Sensitivity [""&amp;IF(AM$3="""",AM$2,AM$2&amp;"", ""&amp;AM$3)&amp;""]'!E1:E20""),
      IMPORTRANGE($F$8,""'Sensitivity [""&amp;IF(AM$3="""",AM$2,AM$2&amp;"", ""&amp;AM$3)&amp;""]'!A1:A20"")=$E17
    ),
    """"
  ) = """",
  "&amp;"""-"",
  AM$5 * ( 1 +
    IFNA(
      FILTER(
        IMPORTRANGE($F$8,""'Sensitivity [""&amp;IF(AM$3="""",AM$2,AM$2&amp;"", ""&amp;AM$3)&amp;""]'!E1:E20""),
        IMPORTRANGE($F$8,""'Sensitivity [""&amp;IF(AM$3="""",AM$2,AM$2&amp;"", ""&amp;AM$3)&amp;""]'!A1:A20"")=$E17
      ),
    "&amp;"  """"
    )
  )
), ""-"")
"),22.813661992788372)</f>
        <v>22.81366199</v>
      </c>
      <c r="AP17" s="832">
        <f>IFERROR(__xludf.DUMMYFUNCTION("Iferror(IF(
  IFNA(
    FILTER(
      IMPORTRANGE($F$8,""'Sensitivity [""&amp;IF(AP$3="""",AP$2,AP$2&amp;"", ""&amp;AP$3)&amp;""]'!D1:D20""),
      IMPORTRANGE($F$8,""'Sensitivity [""&amp;IF(AP$3="""",AP$2,AP$2&amp;"", ""&amp;AP$3)&amp;""]'!A1:A20"")=$E17
    ),
    """"
  ) = """",
  "&amp;"""-"",
  AP$5 * ( 1 +
    IFNA(
      FILTER(
        IMPORTRANGE($F$8,""'Sensitivity [""&amp;IF(AP$3="""",AP$2,AP$2&amp;"", ""&amp;AP$3)&amp;""]'!D1:D20""),
        IMPORTRANGE($F$8,""'Sensitivity [""&amp;IF(AP$3="""",AP$2,AP$2&amp;"", ""&amp;AP$3)&amp;""]'!A1:A20"")=$E17
      ),
    "&amp;"  """"
    )
  )
), ""-"")
"),20.549212322865746)</f>
        <v>20.54921232</v>
      </c>
      <c r="AQ17" s="843" t="s">
        <v>124</v>
      </c>
      <c r="AR17" s="835">
        <f>IFERROR(__xludf.DUMMYFUNCTION("iferror(IF(
  IFNA(
    FILTER(
      IMPORTRANGE($F$8,""'Sensitivity [""&amp;IF(AP$3="""",AP$2,AP$2&amp;"", ""&amp;AP$3)&amp;""]'!E1:E20""),
      IMPORTRANGE($F$8,""'Sensitivity [""&amp;IF(AP$3="""",AP$2,AP$2&amp;"", ""&amp;AP$3)&amp;""]'!A1:A20"")=$E17
    ),
    """"
  ) = """",
  "&amp;"""-"",
  AP$5 * ( 1 +
    IFNA(
      FILTER(
        IMPORTRANGE($F$8,""'Sensitivity [""&amp;IF(AP$3="""",AP$2,AP$2&amp;"", ""&amp;AP$3)&amp;""]'!E1:E20""),
        IMPORTRANGE($F$8,""'Sensitivity [""&amp;IF(AP$3="""",AP$2,AP$2&amp;"", ""&amp;AP$3)&amp;""]'!A1:A20"")=$E17
      ),
    "&amp;"  """"
    )
  )
), ""-"")
"),24.224681193622285)</f>
        <v>24.22468119</v>
      </c>
      <c r="AS17" s="832">
        <f>IFERROR(__xludf.DUMMYFUNCTION("Iferror(IF(
  IFNA(
    FILTER(
      IMPORTRANGE($F$8,""'Sensitivity [""&amp;IF(AS$3="""",AS$2,AS$2&amp;"", ""&amp;AS$3)&amp;""]'!D1:D20""),
      IMPORTRANGE($F$8,""'Sensitivity [""&amp;IF(AS$3="""",AS$2,AS$2&amp;"", ""&amp;AS$3)&amp;""]'!A1:A20"")=$E17
    ),
    """"
  ) = """",
  "&amp;"""-"",
  AS$5 * ( 1 +
    IFNA(
      FILTER(
        IMPORTRANGE($F$8,""'Sensitivity [""&amp;IF(AS$3="""",AS$2,AS$2&amp;"", ""&amp;AS$3)&amp;""]'!D1:D20""),
        IMPORTRANGE($F$8,""'Sensitivity [""&amp;IF(AS$3="""",AS$2,AS$2&amp;"", ""&amp;AS$3)&amp;""]'!A1:A20"")=$E17
      ),
    "&amp;"  """"
    )
  )
), ""-"")
"),22.27518321373263)</f>
        <v>22.27518321</v>
      </c>
      <c r="AT17" s="843" t="s">
        <v>124</v>
      </c>
      <c r="AU17" s="835">
        <f>IFERROR(__xludf.DUMMYFUNCTION("iferror(IF(
  IFNA(
    FILTER(
      IMPORTRANGE($F$8,""'Sensitivity [""&amp;IF(AS$3="""",AS$2,AS$2&amp;"", ""&amp;AS$3)&amp;""]'!E1:E20""),
      IMPORTRANGE($F$8,""'Sensitivity [""&amp;IF(AS$3="""",AS$2,AS$2&amp;"", ""&amp;AS$3)&amp;""]'!A1:A20"")=$E17
    ),
    """"
  ) = """",
  "&amp;"""-"",
  AS$5 * ( 1 +
    IFNA(
      FILTER(
        IMPORTRANGE($F$8,""'Sensitivity [""&amp;IF(AS$3="""",AS$2,AS$2&amp;"", ""&amp;AS$3)&amp;""]'!E1:E20""),
        IMPORTRANGE($F$8,""'Sensitivity [""&amp;IF(AS$3="""",AS$2,AS$2&amp;"", ""&amp;AS$3)&amp;""]'!A1:A20"")=$E17
      ),
    "&amp;"  """"
    )
  )
), ""-"")
"),26.440461375650127)</f>
        <v>26.44046138</v>
      </c>
      <c r="AV17" s="832">
        <f>IFERROR(__xludf.DUMMYFUNCTION("Iferror(IF(
  IFNA(
    FILTER(
      IMPORTRANGE($F$8,""'Sensitivity [""&amp;IF(AV$3="""",AV$2,AV$2&amp;"", ""&amp;AV$3)&amp;""]'!D1:D20""),
      IMPORTRANGE($F$8,""'Sensitivity [""&amp;IF(AV$3="""",AV$2,AV$2&amp;"", ""&amp;AV$3)&amp;""]'!A1:A20"")=$E17
    ),
    """"
  ) = """",
  "&amp;"""-"",
  AV$5 * ( 1 +
    IFNA(
      FILTER(
        IMPORTRANGE($F$8,""'Sensitivity [""&amp;IF(AV$3="""",AV$2,AV$2&amp;"", ""&amp;AV$3)&amp;""]'!D1:D20""),
        IMPORTRANGE($F$8,""'Sensitivity [""&amp;IF(AV$3="""",AV$2,AV$2&amp;"", ""&amp;AV$3)&amp;""]'!A1:A20"")=$E17
      ),
    "&amp;"  """"
    )
  )
), ""-"")
"),14.594870275587214)</f>
        <v>14.59487028</v>
      </c>
      <c r="AW17" s="843" t="s">
        <v>124</v>
      </c>
      <c r="AX17" s="835">
        <f>IFERROR(__xludf.DUMMYFUNCTION("iferror(IF(
  IFNA(
    FILTER(
      IMPORTRANGE($F$8,""'Sensitivity [""&amp;IF(AV$3="""",AV$2,AV$2&amp;"", ""&amp;AV$3)&amp;""]'!E1:E20""),
      IMPORTRANGE($F$8,""'Sensitivity [""&amp;IF(AV$3="""",AV$2,AV$2&amp;"", ""&amp;AV$3)&amp;""]'!A1:A20"")=$E17
    ),
    """"
  ) = """",
  "&amp;"""-"",
  AV$5 * ( 1 +
    IFNA(
      FILTER(
        IMPORTRANGE($F$8,""'Sensitivity [""&amp;IF(AV$3="""",AV$2,AV$2&amp;"", ""&amp;AV$3)&amp;""]'!E1:E20""),
        IMPORTRANGE($F$8,""'Sensitivity [""&amp;IF(AV$3="""",AV$2,AV$2&amp;"", ""&amp;AV$3)&amp;""]'!A1:A20"")=$E17
      ),
    "&amp;"  """"
    )
  )
), ""-"")
"),17.346362212788005)</f>
        <v>17.34636221</v>
      </c>
      <c r="AY17" s="832">
        <f>IFERROR(__xludf.DUMMYFUNCTION("Iferror(IF(
  IFNA(
    FILTER(
      IMPORTRANGE($F$8,""'Sensitivity [""&amp;IF(AY$3="""",AY$2,AY$2&amp;"", ""&amp;AY$3)&amp;""]'!D1:D20""),
      IMPORTRANGE($F$8,""'Sensitivity [""&amp;IF(AY$3="""",AY$2,AY$2&amp;"", ""&amp;AY$3)&amp;""]'!A1:A20"")=$E17
    ),
    """"
  ) = """",
  "&amp;"""-"",
  AY$5 * ( 1 +
    IFNA(
      FILTER(
        IMPORTRANGE($F$8,""'Sensitivity [""&amp;IF(AY$3="""",AY$2,AY$2&amp;"", ""&amp;AY$3)&amp;""]'!D1:D20""),
        IMPORTRANGE($F$8,""'Sensitivity [""&amp;IF(AY$3="""",AY$2,AY$2&amp;"", ""&amp;AY$3)&amp;""]'!A1:A20"")=$E17
      ),
    "&amp;"  """"
    )
  )
), ""-"")
"),27.15373292491874)</f>
        <v>27.15373292</v>
      </c>
      <c r="AZ17" s="843" t="s">
        <v>124</v>
      </c>
      <c r="BA17" s="835">
        <f>IFERROR(__xludf.DUMMYFUNCTION("iferror(IF(
  IFNA(
    FILTER(
      IMPORTRANGE($F$8,""'Sensitivity [""&amp;IF(AY$3="""",AY$2,AY$2&amp;"", ""&amp;AY$3)&amp;""]'!E1:E20""),
      IMPORTRANGE($F$8,""'Sensitivity [""&amp;IF(AY$3="""",AY$2,AY$2&amp;"", ""&amp;AY$3)&amp;""]'!A1:A20"")=$E17
    ),
    """"
  ) = """",
  "&amp;"""-"",
  AY$5 * ( 1 +
    IFNA(
      FILTER(
        IMPORTRANGE($F$8,""'Sensitivity [""&amp;IF(AY$3="""",AY$2,AY$2&amp;"", ""&amp;AY$3)&amp;""]'!E1:E20""),
        IMPORTRANGE($F$8,""'Sensitivity [""&amp;IF(AY$3="""",AY$2,AY$2&amp;"", ""&amp;AY$3)&amp;""]'!A1:A20"")=$E17
      ),
    "&amp;"  """"
    )
  )
), ""-"")
"),32.49545087736165)</f>
        <v>32.49545088</v>
      </c>
      <c r="BB17" s="832">
        <f>IFERROR(__xludf.DUMMYFUNCTION("Iferror(IF(
  IFNA(
    FILTER(
      IMPORTRANGE($F$8,""'Sensitivity [""&amp;IF(BB$3="""",BB$2,BB$2&amp;"", ""&amp;BB$3)&amp;""]'!D1:D20""),
      IMPORTRANGE($F$8,""'Sensitivity [""&amp;IF(BB$3="""",BB$2,BB$2&amp;"", ""&amp;BB$3)&amp;""]'!A1:A20"")=$E17
    ),
    """"
  ) = """",
  "&amp;"""-"",
  BB$5 * ( 1 +
    IFNA(
      FILTER(
        IMPORTRANGE($F$8,""'Sensitivity [""&amp;IF(BB$3="""",BB$2,BB$2&amp;"", ""&amp;BB$3)&amp;""]'!D1:D20""),
        IMPORTRANGE($F$8,""'Sensitivity [""&amp;IF(BB$3="""",BB$2,BB$2&amp;"", ""&amp;BB$3)&amp;""]'!A1:A20"")=$E17
      ),
    "&amp;"  """"
    )
  )
), ""-"")
"),9.558599005139847)</f>
        <v>9.558599005</v>
      </c>
      <c r="BC17" s="843" t="s">
        <v>124</v>
      </c>
      <c r="BD17" s="835">
        <f>IFERROR(__xludf.DUMMYFUNCTION("iferror(IF(
  IFNA(
    FILTER(
      IMPORTRANGE($F$8,""'Sensitivity [""&amp;IF(BB$3="""",BB$2,BB$2&amp;"", ""&amp;BB$3)&amp;""]'!E1:E20""),
      IMPORTRANGE($F$8,""'Sensitivity [""&amp;IF(BB$3="""",BB$2,BB$2&amp;"", ""&amp;BB$3)&amp;""]'!A1:A20"")=$E17
    ),
    """"
  ) = """",
  "&amp;"""-"",
  BB$5 * ( 1 +
    IFNA(
      FILTER(
        IMPORTRANGE($F$8,""'Sensitivity [""&amp;IF(BB$3="""",BB$2,BB$2&amp;"", ""&amp;BB$3)&amp;""]'!E1:E20""),
        IMPORTRANGE($F$8,""'Sensitivity [""&amp;IF(BB$3="""",BB$2,BB$2&amp;"", ""&amp;BB$3)&amp;""]'!A1:A20"")=$E17
      ),
    "&amp;"  """"
    )
  )
), ""-"")
"),11.601034689998778)</f>
        <v>11.60103469</v>
      </c>
      <c r="BE17" s="832" t="str">
        <f>IFERROR(__xludf.DUMMYFUNCTION("Iferror(IF(
  IFNA(
    FILTER(
      IMPORTRANGE($F$8,""'Sensitivity [""&amp;IF(BE$3="""",BE$2,BE$2&amp;"", ""&amp;BE$3)&amp;""]'!D1:D20""),
      IMPORTRANGE($F$8,""'Sensitivity [""&amp;IF(BE$3="""",BE$2,BE$2&amp;"", ""&amp;BE$3)&amp;""]'!A1:A20"")=$E17
    ),
    """"
  ) = """",
  "&amp;"""-"",
  BE$5 * ( 1 +
    IFNA(
      FILTER(
        IMPORTRANGE($F$8,""'Sensitivity [""&amp;IF(BE$3="""",BE$2,BE$2&amp;"", ""&amp;BE$3)&amp;""]'!D1:D20""),
        IMPORTRANGE($F$8,""'Sensitivity [""&amp;IF(BE$3="""",BE$2,BE$2&amp;"", ""&amp;BE$3)&amp;""]'!A1:A20"")=$E17
      ),
    "&amp;"  """"
    )
  )
), ""-"")
"),"-")</f>
        <v>-</v>
      </c>
      <c r="BF17" s="843" t="s">
        <v>124</v>
      </c>
      <c r="BG17" s="835" t="str">
        <f>IFERROR(__xludf.DUMMYFUNCTION("iferror(IF(
  IFNA(
    FILTER(
      IMPORTRANGE($F$8,""'Sensitivity [""&amp;IF(BE$3="""",BE$2,BE$2&amp;"", ""&amp;BE$3)&amp;""]'!E1:E20""),
      IMPORTRANGE($F$8,""'Sensitivity [""&amp;IF(BE$3="""",BE$2,BE$2&amp;"", ""&amp;BE$3)&amp;""]'!A1:A20"")=$E17
    ),
    """"
  ) = """",
  "&amp;"""-"",
  BE$5 * ( 1 +
    IFNA(
      FILTER(
        IMPORTRANGE($F$8,""'Sensitivity [""&amp;IF(BE$3="""",BE$2,BE$2&amp;"", ""&amp;BE$3)&amp;""]'!E1:E20""),
        IMPORTRANGE($F$8,""'Sensitivity [""&amp;IF(BE$3="""",BE$2,BE$2&amp;"", ""&amp;BE$3)&amp;""]'!A1:A20"")=$E17
      ),
    "&amp;"  """"
    )
  )
), ""-"")
"),"-")</f>
        <v>-</v>
      </c>
      <c r="BH17" s="615"/>
    </row>
    <row r="18">
      <c r="A18" s="895"/>
      <c r="B18" s="400"/>
      <c r="C18" s="400"/>
      <c r="D18" s="400"/>
      <c r="E18" s="627" t="str">
        <f t="shared" si="1"/>
        <v>Adjustment for grantee-level factors</v>
      </c>
      <c r="F18" s="830">
        <f>IFERROR(__xludf.DUMMYFUNCTION("Iferror(IF(
  IFNA(
    FILTER(
      IMPORTRANGE($F$8,""'Sensitivity [""&amp;IF(F$3="""",F$2,F$2&amp;"", ""&amp;F$3)&amp;""]'!D1:D20""),
      IMPORTRANGE($F$8,""'Sensitivity [""&amp;IF(F$3="""",F$2,F$2&amp;"", ""&amp;F$3)&amp;""]'!A1:A20"")=$E18
    ),
    """"
  ) = """",
  ""-"",
  "&amp;"F$5 * ( 1 +
    IFNA(
      FILTER(
        IMPORTRANGE($F$8,""'Sensitivity [""&amp;IF(F$3="""",F$2,F$2&amp;"", ""&amp;F$3)&amp;""]'!D1:D20""),
        IMPORTRANGE($F$8,""'Sensitivity [""&amp;IF(F$3="""",F$2,F$2&amp;"", ""&amp;F$3)&amp;""]'!A1:A20"")=$E18
      ),
      """"
    )
  )
)"&amp;", ""-"")
"),16.468668619490572)</f>
        <v>16.46866862</v>
      </c>
      <c r="G18" s="842" t="s">
        <v>124</v>
      </c>
      <c r="H18" s="831">
        <f>IFERROR(__xludf.DUMMYFUNCTION("iferror(IF(
  IFNA(
    FILTER(
      IMPORTRANGE($F$8,""'Sensitivity [""&amp;IF(F$3="""",F$2,F$2&amp;"", ""&amp;F$3)&amp;""]'!E1:E20""),
      IMPORTRANGE($F$8,""'Sensitivity [""&amp;IF(F$3="""",F$2,F$2&amp;"", ""&amp;F$3)&amp;""]'!A1:A20"")=$E18
    ),
    """"
  ) = """",
  ""-"",
  "&amp;"F$5 * ( 1 +
    IFNA(
      FILTER(
        IMPORTRANGE($F$8,""'Sensitivity [""&amp;IF(F$3="""",F$2,F$2&amp;"", ""&amp;F$3)&amp;""]'!E1:E20""),
        IMPORTRANGE($F$8,""'Sensitivity [""&amp;IF(F$3="""",F$2,F$2&amp;"", ""&amp;F$3)&amp;""]'!A1:A20"")=$E18
      ),
      """"
    )
  )
)"&amp;", ""-"")
"),19.04809864423003)</f>
        <v>19.04809864</v>
      </c>
      <c r="I18" s="830">
        <f>IFERROR(__xludf.DUMMYFUNCTION("Iferror(IF(
  IFNA(
    FILTER(
      IMPORTRANGE($F$8,""'Sensitivity [""&amp;IF(I$3="""",I$2,I$2&amp;"", ""&amp;I$3)&amp;""]'!D1:D20""),
      IMPORTRANGE($F$8,""'Sensitivity [""&amp;IF(I$3="""",I$2,I$2&amp;"", ""&amp;I$3)&amp;""]'!A1:A20"")=$E18
    ),
    """"
  ) = """",
  ""-"",
  "&amp;"I$5 * ( 1 +
    IFNA(
      FILTER(
        IMPORTRANGE($F$8,""'Sensitivity [""&amp;IF(I$3="""",I$2,I$2&amp;"", ""&amp;I$3)&amp;""]'!D1:D20""),
        IMPORTRANGE($F$8,""'Sensitivity [""&amp;IF(I$3="""",I$2,I$2&amp;"", ""&amp;I$3)&amp;""]'!A1:A20"")=$E18
      ),
      """"
    )
  )
)"&amp;", ""-"")
"),7.3453684457813235)</f>
        <v>7.345368446</v>
      </c>
      <c r="J18" s="842" t="s">
        <v>124</v>
      </c>
      <c r="K18" s="831">
        <f>IFERROR(__xludf.DUMMYFUNCTION("iferror(IF(
  IFNA(
    FILTER(
      IMPORTRANGE($F$8,""'Sensitivity [""&amp;IF(I$3="""",I$2,I$2&amp;"", ""&amp;I$3)&amp;""]'!E1:E20""),
      IMPORTRANGE($F$8,""'Sensitivity [""&amp;IF(I$3="""",I$2,I$2&amp;"", ""&amp;I$3)&amp;""]'!A1:A20"")=$E18
    ),
    """"
  ) = """",
  ""-"",
  "&amp;"I$5 * ( 1 +
    IFNA(
      FILTER(
        IMPORTRANGE($F$8,""'Sensitivity [""&amp;IF(I$3="""",I$2,I$2&amp;"", ""&amp;I$3)&amp;""]'!E1:E20""),
        IMPORTRANGE($F$8,""'Sensitivity [""&amp;IF(I$3="""",I$2,I$2&amp;"", ""&amp;I$3)&amp;""]'!A1:A20"")=$E18
      ),
      """"
    )
  )
)"&amp;", ""-"")
"),8.4958478409037)</f>
        <v>8.495847841</v>
      </c>
      <c r="L18" s="832" t="str">
        <f>IFERROR(__xludf.DUMMYFUNCTION("Iferror(IF(
  IFNA(
    FILTER(
      IMPORTRANGE($F$8,""'Sensitivity [""&amp;IF(L$3="""",L$2,L$2&amp;"", ""&amp;L$3)&amp;""]'!D1:D20""),
      IMPORTRANGE($F$8,""'Sensitivity [""&amp;IF(L$3="""",L$2,L$2&amp;"", ""&amp;L$3)&amp;""]'!A1:A20"")=$E18
    ),
    """"
  ) = """",
  ""-"",
  "&amp;"L$5 * ( 1 +
    IFNA(
      FILTER(
        IMPORTRANGE($F$8,""'Sensitivity [""&amp;IF(L$3="""",L$2,L$2&amp;"", ""&amp;L$3)&amp;""]'!D1:D20""),
        IMPORTRANGE($F$8,""'Sensitivity [""&amp;IF(L$3="""",L$2,L$2&amp;"", ""&amp;L$3)&amp;""]'!A1:A20"")=$E18
      ),
      """"
    )
  )
)"&amp;", ""-"")
"),"-")</f>
        <v>-</v>
      </c>
      <c r="M18" s="843" t="s">
        <v>124</v>
      </c>
      <c r="N18" s="835" t="str">
        <f>IFERROR(__xludf.DUMMYFUNCTION("iferror(IF(
  IFNA(
    FILTER(
      IMPORTRANGE($F$8,""'Sensitivity [""&amp;IF(L$3="""",L$2,L$2&amp;"", ""&amp;L$3)&amp;""]'!E1:E20""),
      IMPORTRANGE($F$8,""'Sensitivity [""&amp;IF(L$3="""",L$2,L$2&amp;"", ""&amp;L$3)&amp;""]'!A1:A20"")=$E18
    ),
    """"
  ) = """",
  ""-"",
  "&amp;"L$5 * ( 1 +
    IFNA(
      FILTER(
        IMPORTRANGE($F$8,""'Sensitivity [""&amp;IF(L$3="""",L$2,L$2&amp;"", ""&amp;L$3)&amp;""]'!E1:E20""),
        IMPORTRANGE($F$8,""'Sensitivity [""&amp;IF(L$3="""",L$2,L$2&amp;"", ""&amp;L$3)&amp;""]'!A1:A20"")=$E18
      ),
      """"
    )
  )
)"&amp;", ""-"")
"),"-")</f>
        <v>-</v>
      </c>
      <c r="O18" s="832" t="str">
        <f>IFERROR(__xludf.DUMMYFUNCTION("Iferror(IF(
  IFNA(
    FILTER(
      IMPORTRANGE($F$8,""'Sensitivity [""&amp;IF(O$3="""",O$2,O$2&amp;"", ""&amp;O$3)&amp;""]'!D1:D20""),
      IMPORTRANGE($F$8,""'Sensitivity [""&amp;IF(O$3="""",O$2,O$2&amp;"", ""&amp;O$3)&amp;""]'!A1:A20"")=$E18
    ),
    """"
  ) = """",
  ""-"",
  "&amp;"O$5 * ( 1 +
    IFNA(
      FILTER(
        IMPORTRANGE($F$8,""'Sensitivity [""&amp;IF(O$3="""",O$2,O$2&amp;"", ""&amp;O$3)&amp;""]'!D1:D20""),
        IMPORTRANGE($F$8,""'Sensitivity [""&amp;IF(O$3="""",O$2,O$2&amp;"", ""&amp;O$3)&amp;""]'!A1:A20"")=$E18
      ),
      """"
    )
  )
)"&amp;", ""-"")
"),"-")</f>
        <v>-</v>
      </c>
      <c r="P18" s="843" t="s">
        <v>124</v>
      </c>
      <c r="Q18" s="835" t="str">
        <f>IFERROR(__xludf.DUMMYFUNCTION("iferror(IF(
  IFNA(
    FILTER(
      IMPORTRANGE($F$8,""'Sensitivity [""&amp;IF(O$3="""",O$2,O$2&amp;"", ""&amp;O$3)&amp;""]'!E1:E20""),
      IMPORTRANGE($F$8,""'Sensitivity [""&amp;IF(O$3="""",O$2,O$2&amp;"", ""&amp;O$3)&amp;""]'!A1:A20"")=$E18
    ),
    """"
  ) = """",
  ""-"",
  "&amp;"O$5 * ( 1 +
    IFNA(
      FILTER(
        IMPORTRANGE($F$8,""'Sensitivity [""&amp;IF(O$3="""",O$2,O$2&amp;"", ""&amp;O$3)&amp;""]'!E1:E20""),
        IMPORTRANGE($F$8,""'Sensitivity [""&amp;IF(O$3="""",O$2,O$2&amp;"", ""&amp;O$3)&amp;""]'!A1:A20"")=$E18
      ),
      """"
    )
  )
)"&amp;", ""-"")
"),"-")</f>
        <v>-</v>
      </c>
      <c r="R18" s="832" t="str">
        <f>IFERROR(__xludf.DUMMYFUNCTION("Iferror(IF(
  IFNA(
    FILTER(
      IMPORTRANGE($F$8,""'Sensitivity [""&amp;IF(R$3="""",R$2,R$2&amp;"", ""&amp;R$3)&amp;""]'!D1:D20""),
      IMPORTRANGE($F$8,""'Sensitivity [""&amp;IF(R$3="""",R$2,R$2&amp;"", ""&amp;R$3)&amp;""]'!A1:A20"")=$E18
    ),
    """"
  ) = """",
  ""-"",
  "&amp;"R$5 * ( 1 +
    IFNA(
      FILTER(
        IMPORTRANGE($F$8,""'Sensitivity [""&amp;IF(R$3="""",R$2,R$2&amp;"", ""&amp;R$3)&amp;""]'!D1:D20""),
        IMPORTRANGE($F$8,""'Sensitivity [""&amp;IF(R$3="""",R$2,R$2&amp;"", ""&amp;R$3)&amp;""]'!A1:A20"")=$E18
      ),
      """"
    )
  )
)"&amp;", ""-"")
"),"-")</f>
        <v>-</v>
      </c>
      <c r="S18" s="843" t="s">
        <v>124</v>
      </c>
      <c r="T18" s="835" t="str">
        <f>IFERROR(__xludf.DUMMYFUNCTION("iferror(IF(
  IFNA(
    FILTER(
      IMPORTRANGE($F$8,""'Sensitivity [""&amp;IF(R$3="""",R$2,R$2&amp;"", ""&amp;R$3)&amp;""]'!E1:E20""),
      IMPORTRANGE($F$8,""'Sensitivity [""&amp;IF(R$3="""",R$2,R$2&amp;"", ""&amp;R$3)&amp;""]'!A1:A20"")=$E18
    ),
    """"
  ) = """",
  ""-"",
  "&amp;"R$5 * ( 1 +
    IFNA(
      FILTER(
        IMPORTRANGE($F$8,""'Sensitivity [""&amp;IF(R$3="""",R$2,R$2&amp;"", ""&amp;R$3)&amp;""]'!E1:E20""),
        IMPORTRANGE($F$8,""'Sensitivity [""&amp;IF(R$3="""",R$2,R$2&amp;"", ""&amp;R$3)&amp;""]'!A1:A20"")=$E18
      ),
      """"
    )
  )
)"&amp;", ""-"")
"),"-")</f>
        <v>-</v>
      </c>
      <c r="U18" s="832" t="str">
        <f>IFERROR(__xludf.DUMMYFUNCTION("Iferror(IF(
  IFNA(
    FILTER(
      IMPORTRANGE($F$8,""'Sensitivity [""&amp;IF(U$3="""",U$2,U$2&amp;"", ""&amp;U$3)&amp;""]'!D1:D20""),
      IMPORTRANGE($F$8,""'Sensitivity [""&amp;IF(U$3="""",U$2,U$2&amp;"", ""&amp;U$3)&amp;""]'!A1:A20"")=$E18
    ),
    """"
  ) = """",
  ""-"",
  "&amp;"U$5 * ( 1 +
    IFNA(
      FILTER(
        IMPORTRANGE($F$8,""'Sensitivity [""&amp;IF(U$3="""",U$2,U$2&amp;"", ""&amp;U$3)&amp;""]'!D1:D20""),
        IMPORTRANGE($F$8,""'Sensitivity [""&amp;IF(U$3="""",U$2,U$2&amp;"", ""&amp;U$3)&amp;""]'!A1:A20"")=$E18
      ),
      """"
    )
  )
)"&amp;", ""-"")
"),"-")</f>
        <v>-</v>
      </c>
      <c r="V18" s="843" t="s">
        <v>124</v>
      </c>
      <c r="W18" s="835" t="str">
        <f>IFERROR(__xludf.DUMMYFUNCTION("iferror(IF(
  IFNA(
    FILTER(
      IMPORTRANGE($F$8,""'Sensitivity [""&amp;IF(U$3="""",U$2,U$2&amp;"", ""&amp;U$3)&amp;""]'!E1:E20""),
      IMPORTRANGE($F$8,""'Sensitivity [""&amp;IF(U$3="""",U$2,U$2&amp;"", ""&amp;U$3)&amp;""]'!A1:A20"")=$E18
    ),
    """"
  ) = """",
  ""-"",
  "&amp;"U$5 * ( 1 +
    IFNA(
      FILTER(
        IMPORTRANGE($F$8,""'Sensitivity [""&amp;IF(U$3="""",U$2,U$2&amp;"", ""&amp;U$3)&amp;""]'!E1:E20""),
        IMPORTRANGE($F$8,""'Sensitivity [""&amp;IF(U$3="""",U$2,U$2&amp;"", ""&amp;U$3)&amp;""]'!A1:A20"")=$E18
      ),
      """"
    )
  )
)"&amp;", ""-"")
"),"-")</f>
        <v>-</v>
      </c>
      <c r="X18" s="832" t="str">
        <f>IFERROR(__xludf.DUMMYFUNCTION("Iferror(IF(
  IFNA(
    FILTER(
      IMPORTRANGE($F$8,""'Sensitivity [""&amp;IF(X$3="""",X$2,X$2&amp;"", ""&amp;X$3)&amp;""]'!D1:D20""),
      IMPORTRANGE($F$8,""'Sensitivity [""&amp;IF(X$3="""",X$2,X$2&amp;"", ""&amp;X$3)&amp;""]'!A1:A20"")=$E18
    ),
    """"
  ) = """",
  ""-"",
  "&amp;"X$5 * ( 1 +
    IFNA(
      FILTER(
        IMPORTRANGE($F$8,""'Sensitivity [""&amp;IF(X$3="""",X$2,X$2&amp;"", ""&amp;X$3)&amp;""]'!D1:D20""),
        IMPORTRANGE($F$8,""'Sensitivity [""&amp;IF(X$3="""",X$2,X$2&amp;"", ""&amp;X$3)&amp;""]'!A1:A20"")=$E18
      ),
      """"
    )
  )
)"&amp;", ""-"")
"),"-")</f>
        <v>-</v>
      </c>
      <c r="Y18" s="843" t="s">
        <v>124</v>
      </c>
      <c r="Z18" s="835" t="str">
        <f>IFERROR(__xludf.DUMMYFUNCTION("iferror(IF(
  IFNA(
    FILTER(
      IMPORTRANGE($F$8,""'Sensitivity [""&amp;IF(X$3="""",X$2,X$2&amp;"", ""&amp;X$3)&amp;""]'!E1:E20""),
      IMPORTRANGE($F$8,""'Sensitivity [""&amp;IF(X$3="""",X$2,X$2&amp;"", ""&amp;X$3)&amp;""]'!A1:A20"")=$E18
    ),
    """"
  ) = """",
  ""-"",
  "&amp;"X$5 * ( 1 +
    IFNA(
      FILTER(
        IMPORTRANGE($F$8,""'Sensitivity [""&amp;IF(X$3="""",X$2,X$2&amp;"", ""&amp;X$3)&amp;""]'!E1:E20""),
        IMPORTRANGE($F$8,""'Sensitivity [""&amp;IF(X$3="""",X$2,X$2&amp;"", ""&amp;X$3)&amp;""]'!A1:A20"")=$E18
      ),
      """"
    )
  )
)"&amp;", ""-"")
"),"-")</f>
        <v>-</v>
      </c>
      <c r="AA18" s="832">
        <f>IFERROR(__xludf.DUMMYFUNCTION("Iferror(IF(
  IFNA(
    FILTER(
      IMPORTRANGE($F$8,""'Sensitivity [""&amp;IF(AA$3="""",AA$2,AA$2&amp;"", ""&amp;AA$3)&amp;""]'!D1:D20""),
      IMPORTRANGE($F$8,""'Sensitivity [""&amp;IF(AA$3="""",AA$2,AA$2&amp;"", ""&amp;AA$3)&amp;""]'!A1:A20"")=$E18
    ),
    """"
  ) = """",
  "&amp;"""-"",
  AA$5 * ( 1 +
    IFNA(
      FILTER(
        IMPORTRANGE($F$8,""'Sensitivity [""&amp;IF(AA$3="""",AA$2,AA$2&amp;"", ""&amp;AA$3)&amp;""]'!D1:D20""),
        IMPORTRANGE($F$8,""'Sensitivity [""&amp;IF(AA$3="""",AA$2,AA$2&amp;"", ""&amp;AA$3)&amp;""]'!A1:A20"")=$E18
      ),
    "&amp;"  """"
    )
  )
), ""-"")
"),19.383541835028666)</f>
        <v>19.38354184</v>
      </c>
      <c r="AB18" s="843" t="s">
        <v>124</v>
      </c>
      <c r="AC18" s="835">
        <f>IFERROR(__xludf.DUMMYFUNCTION("iferror(IF(
  IFNA(
    FILTER(
      IMPORTRANGE($F$8,""'Sensitivity [""&amp;IF(AA$3="""",AA$2,AA$2&amp;"", ""&amp;AA$3)&amp;""]'!E1:E20""),
      IMPORTRANGE($F$8,""'Sensitivity [""&amp;IF(AA$3="""",AA$2,AA$2&amp;"", ""&amp;AA$3)&amp;""]'!A1:A20"")=$E18
    ),
    """"
  ) = """",
  "&amp;"""-"",
  AA$5 * ( 1 +
    IFNA(
      FILTER(
        IMPORTRANGE($F$8,""'Sensitivity [""&amp;IF(AA$3="""",AA$2,AA$2&amp;"", ""&amp;AA$3)&amp;""]'!E1:E20""),
        IMPORTRANGE($F$8,""'Sensitivity [""&amp;IF(AA$3="""",AA$2,AA$2&amp;"", ""&amp;AA$3)&amp;""]'!A1:A20"")=$E18
      ),
    "&amp;"  """"
    )
  )
), ""-"")
"),22.41951826702114)</f>
        <v>22.41951827</v>
      </c>
      <c r="AD18" s="832">
        <f>IFERROR(__xludf.DUMMYFUNCTION("Iferror(IF(
  IFNA(
    FILTER(
      IMPORTRANGE($F$8,""'Sensitivity [""&amp;IF(AD$3="""",AD$2,AD$2&amp;"", ""&amp;AD$3)&amp;""]'!D1:D20""),
      IMPORTRANGE($F$8,""'Sensitivity [""&amp;IF(AD$3="""",AD$2,AD$2&amp;"", ""&amp;AD$3)&amp;""]'!A1:A20"")=$E18
    ),
    """"
  ) = """",
  "&amp;"""-"",
  AD$5 * ( 1 +
    IFNA(
      FILTER(
        IMPORTRANGE($F$8,""'Sensitivity [""&amp;IF(AD$3="""",AD$2,AD$2&amp;"", ""&amp;AD$3)&amp;""]'!D1:D20""),
        IMPORTRANGE($F$8,""'Sensitivity [""&amp;IF(AD$3="""",AD$2,AD$2&amp;"", ""&amp;AD$3)&amp;""]'!A1:A20"")=$E18
      ),
    "&amp;"  """"
    )
  )
), ""-"")
"),16.470124278436725)</f>
        <v>16.47012428</v>
      </c>
      <c r="AE18" s="843" t="s">
        <v>124</v>
      </c>
      <c r="AF18" s="835">
        <f>IFERROR(__xludf.DUMMYFUNCTION("iferror(IF(
  IFNA(
    FILTER(
      IMPORTRANGE($F$8,""'Sensitivity [""&amp;IF(AD$3="""",AD$2,AD$2&amp;"", ""&amp;AD$3)&amp;""]'!E1:E20""),
      IMPORTRANGE($F$8,""'Sensitivity [""&amp;IF(AD$3="""",AD$2,AD$2&amp;"", ""&amp;AD$3)&amp;""]'!A1:A20"")=$E18
    ),
    """"
  ) = """",
  "&amp;"""-"",
  AD$5 * ( 1 +
    IFNA(
      FILTER(
        IMPORTRANGE($F$8,""'Sensitivity [""&amp;IF(AD$3="""",AD$2,AD$2&amp;"", ""&amp;AD$3)&amp;""]'!E1:E20""),
        IMPORTRANGE($F$8,""'Sensitivity [""&amp;IF(AD$3="""",AD$2,AD$2&amp;"", ""&amp;AD$3)&amp;""]'!A1:A20"")=$E18
      ),
    "&amp;"  """"
    )
  )
), ""-"")
"),19.049782297950927)</f>
        <v>19.0497823</v>
      </c>
      <c r="AG18" s="832">
        <f>IFERROR(__xludf.DUMMYFUNCTION("Iferror(IF(
  IFNA(
    FILTER(
      IMPORTRANGE($F$8,""'Sensitivity [""&amp;IF(AG$3="""",AG$2,AG$2&amp;"", ""&amp;AG$3)&amp;""]'!D1:D20""),
      IMPORTRANGE($F$8,""'Sensitivity [""&amp;IF(AG$3="""",AG$2,AG$2&amp;"", ""&amp;AG$3)&amp;""]'!A1:A20"")=$E18
    ),
    """"
  ) = """",
  "&amp;"""-"",
  AG$5 * ( 1 +
    IFNA(
      FILTER(
        IMPORTRANGE($F$8,""'Sensitivity [""&amp;IF(AG$3="""",AG$2,AG$2&amp;"", ""&amp;AG$3)&amp;""]'!D1:D20""),
        IMPORTRANGE($F$8,""'Sensitivity [""&amp;IF(AG$3="""",AG$2,AG$2&amp;"", ""&amp;AG$3)&amp;""]'!A1:A20"")=$E18
      ),
    "&amp;"  """"
    )
  )
), ""-"")
"),14.68926664334598)</f>
        <v>14.68926664</v>
      </c>
      <c r="AH18" s="843" t="s">
        <v>124</v>
      </c>
      <c r="AI18" s="835">
        <f>IFERROR(__xludf.DUMMYFUNCTION("iferror(IF(
  IFNA(
    FILTER(
      IMPORTRANGE($F$8,""'Sensitivity [""&amp;IF(AG$3="""",AG$2,AG$2&amp;"", ""&amp;AG$3)&amp;""]'!E1:E20""),
      IMPORTRANGE($F$8,""'Sensitivity [""&amp;IF(AG$3="""",AG$2,AG$2&amp;"", ""&amp;AG$3)&amp;""]'!A1:A20"")=$E18
    ),
    """"
  ) = """",
  "&amp;"""-"",
  AG$5 * ( 1 +
    IFNA(
      FILTER(
        IMPORTRANGE($F$8,""'Sensitivity [""&amp;IF(AG$3="""",AG$2,AG$2&amp;"", ""&amp;AG$3)&amp;""]'!E1:E20""),
        IMPORTRANGE($F$8,""'Sensitivity [""&amp;IF(AG$3="""",AG$2,AG$2&amp;"", ""&amp;AG$3)&amp;""]'!A1:A20"")=$E18
      ),
    "&amp;"  """"
    )
  )
), ""-"")
"),16.989995153749597)</f>
        <v>16.98999515</v>
      </c>
      <c r="AJ18" s="832">
        <f>IFERROR(__xludf.DUMMYFUNCTION("Iferror(IF(
  IFNA(
    FILTER(
      IMPORTRANGE($F$8,""'Sensitivity [""&amp;IF(AJ$3="""",AJ$2,AJ$2&amp;"", ""&amp;AJ$3)&amp;""]'!D1:D20""),
      IMPORTRANGE($F$8,""'Sensitivity [""&amp;IF(AJ$3="""",AJ$2,AJ$2&amp;"", ""&amp;AJ$3)&amp;""]'!A1:A20"")=$E18
    ),
    """"
  ) = """",
  "&amp;"""-"",
  AJ$5 * ( 1 +
    IFNA(
      FILTER(
        IMPORTRANGE($F$8,""'Sensitivity [""&amp;IF(AJ$3="""",AJ$2,AJ$2&amp;"", ""&amp;AJ$3)&amp;""]'!D1:D20""),
        IMPORTRANGE($F$8,""'Sensitivity [""&amp;IF(AJ$3="""",AJ$2,AJ$2&amp;"", ""&amp;AJ$3)&amp;""]'!A1:A20"")=$E18
      ),
    "&amp;"  """"
    )
  )
), ""-"")
"),26.867649899544066)</f>
        <v>26.8676499</v>
      </c>
      <c r="AK18" s="843" t="s">
        <v>124</v>
      </c>
      <c r="AL18" s="835">
        <f>IFERROR(__xludf.DUMMYFUNCTION("iferror(IF(
  IFNA(
    FILTER(
      IMPORTRANGE($F$8,""'Sensitivity [""&amp;IF(AJ$3="""",AJ$2,AJ$2&amp;"", ""&amp;AJ$3)&amp;""]'!E1:E20""),
      IMPORTRANGE($F$8,""'Sensitivity [""&amp;IF(AJ$3="""",AJ$2,AJ$2&amp;"", ""&amp;AJ$3)&amp;""]'!A1:A20"")=$E18
    ),
    """"
  ) = """",
  "&amp;"""-"",
  AJ$5 * ( 1 +
    IFNA(
      FILTER(
        IMPORTRANGE($F$8,""'Sensitivity [""&amp;IF(AJ$3="""",AJ$2,AJ$2&amp;"", ""&amp;AJ$3)&amp;""]'!E1:E20""),
        IMPORTRANGE($F$8,""'Sensitivity [""&amp;IF(AJ$3="""",AJ$2,AJ$2&amp;"", ""&amp;AJ$3)&amp;""]'!A1:A20"")=$E18
      ),
    "&amp;"  """"
    )
  )
), ""-"")
"),31.07583602838843)</f>
        <v>31.07583603</v>
      </c>
      <c r="AM18" s="832">
        <f>IFERROR(__xludf.DUMMYFUNCTION("Iferror(IF(
  IFNA(
    FILTER(
      IMPORTRANGE($F$8,""'Sensitivity [""&amp;IF(AM$3="""",AM$2,AM$2&amp;"", ""&amp;AM$3)&amp;""]'!D1:D20""),
      IMPORTRANGE($F$8,""'Sensitivity [""&amp;IF(AM$3="""",AM$2,AM$2&amp;"", ""&amp;AM$3)&amp;""]'!A1:A20"")=$E18
    ),
    """"
  ) = """",
  "&amp;"""-"",
  AM$5 * ( 1 +
    IFNA(
      FILTER(
        IMPORTRANGE($F$8,""'Sensitivity [""&amp;IF(AM$3="""",AM$2,AM$2&amp;"", ""&amp;AM$3)&amp;""]'!D1:D20""),
        IMPORTRANGE($F$8,""'Sensitivity [""&amp;IF(AM$3="""",AM$2,AM$2&amp;"", ""&amp;AM$3)&amp;""]'!A1:A20"")=$E18
      ),
    "&amp;"  """"
    )
  )
), ""-"")
"),19.198540172957554)</f>
        <v>19.19854017</v>
      </c>
      <c r="AN18" s="843" t="s">
        <v>124</v>
      </c>
      <c r="AO18" s="835">
        <f>IFERROR(__xludf.DUMMYFUNCTION("iferror(IF(
  IFNA(
    FILTER(
      IMPORTRANGE($F$8,""'Sensitivity [""&amp;IF(AM$3="""",AM$2,AM$2&amp;"", ""&amp;AM$3)&amp;""]'!E1:E20""),
      IMPORTRANGE($F$8,""'Sensitivity [""&amp;IF(AM$3="""",AM$2,AM$2&amp;"", ""&amp;AM$3)&amp;""]'!A1:A20"")=$E18
    ),
    """"
  ) = """",
  "&amp;"""-"",
  AM$5 * ( 1 +
    IFNA(
      FILTER(
        IMPORTRANGE($F$8,""'Sensitivity [""&amp;IF(AM$3="""",AM$2,AM$2&amp;"", ""&amp;AM$3)&amp;""]'!E1:E20""),
        IMPORTRANGE($F$8,""'Sensitivity [""&amp;IF(AM$3="""",AM$2,AM$2&amp;"", ""&amp;AM$3)&amp;""]'!A1:A20"")=$E18
      ),
    "&amp;"  """"
    )
  )
), ""-"")
"),22.20554044101102)</f>
        <v>22.20554044</v>
      </c>
      <c r="AP18" s="832">
        <f>IFERROR(__xludf.DUMMYFUNCTION("Iferror(IF(
  IFNA(
    FILTER(
      IMPORTRANGE($F$8,""'Sensitivity [""&amp;IF(AP$3="""",AP$2,AP$2&amp;"", ""&amp;AP$3)&amp;""]'!D1:D20""),
      IMPORTRANGE($F$8,""'Sensitivity [""&amp;IF(AP$3="""",AP$2,AP$2&amp;"", ""&amp;AP$3)&amp;""]'!A1:A20"")=$E18
    ),
    """"
  ) = """",
  "&amp;"""-"",
  AP$5 * ( 1 +
    IFNA(
      FILTER(
        IMPORTRANGE($F$8,""'Sensitivity [""&amp;IF(AP$3="""",AP$2,AP$2&amp;"", ""&amp;AP$3)&amp;""]'!D1:D20""),
        IMPORTRANGE($F$8,""'Sensitivity [""&amp;IF(AP$3="""",AP$2,AP$2&amp;"", ""&amp;AP$3)&amp;""]'!A1:A20"")=$E18
      ),
    "&amp;"  """"
    )
  )
), ""-"")
"),20.38697018305355)</f>
        <v>20.38697018</v>
      </c>
      <c r="AQ18" s="843" t="s">
        <v>124</v>
      </c>
      <c r="AR18" s="835">
        <f>IFERROR(__xludf.DUMMYFUNCTION("iferror(IF(
  IFNA(
    FILTER(
      IMPORTRANGE($F$8,""'Sensitivity [""&amp;IF(AP$3="""",AP$2,AP$2&amp;"", ""&amp;AP$3)&amp;""]'!E1:E20""),
      IMPORTRANGE($F$8,""'Sensitivity [""&amp;IF(AP$3="""",AP$2,AP$2&amp;"", ""&amp;AP$3)&amp;""]'!A1:A20"")=$E18
    ),
    """"
  ) = """",
  "&amp;"""-"",
  AP$5 * ( 1 +
    IFNA(
      FILTER(
        IMPORTRANGE($F$8,""'Sensitivity [""&amp;IF(AP$3="""",AP$2,AP$2&amp;"", ""&amp;AP$3)&amp;""]'!E1:E20""),
        IMPORTRANGE($F$8,""'Sensitivity [""&amp;IF(AP$3="""",AP$2,AP$2&amp;"", ""&amp;AP$3)&amp;""]'!A1:A20"")=$E18
      ),
    "&amp;"  """"
    )
  )
), ""-"")
"),23.58011009124273)</f>
        <v>23.58011009</v>
      </c>
      <c r="AS18" s="832">
        <f>IFERROR(__xludf.DUMMYFUNCTION("Iferror(IF(
  IFNA(
    FILTER(
      IMPORTRANGE($F$8,""'Sensitivity [""&amp;IF(AS$3="""",AS$2,AS$2&amp;"", ""&amp;AS$3)&amp;""]'!D1:D20""),
      IMPORTRANGE($F$8,""'Sensitivity [""&amp;IF(AS$3="""",AS$2,AS$2&amp;"", ""&amp;AS$3)&amp;""]'!A1:A20"")=$E18
    ),
    """"
  ) = """",
  "&amp;"""-"",
  AS$5 * ( 1 +
    IFNA(
      FILTER(
        IMPORTRANGE($F$8,""'Sensitivity [""&amp;IF(AS$3="""",AS$2,AS$2&amp;"", ""&amp;AS$3)&amp;""]'!D1:D20""),
        IMPORTRANGE($F$8,""'Sensitivity [""&amp;IF(AS$3="""",AS$2,AS$2&amp;"", ""&amp;AS$3)&amp;""]'!A1:A20"")=$E18
      ),
    "&amp;"  """"
    )
  )
), ""-"")
"),22.18715550224212)</f>
        <v>22.1871555</v>
      </c>
      <c r="AT18" s="843" t="s">
        <v>124</v>
      </c>
      <c r="AU18" s="835">
        <f>IFERROR(__xludf.DUMMYFUNCTION("iferror(IF(
  IFNA(
    FILTER(
      IMPORTRANGE($F$8,""'Sensitivity [""&amp;IF(AS$3="""",AS$2,AS$2&amp;"", ""&amp;AS$3)&amp;""]'!E1:E20""),
      IMPORTRANGE($F$8,""'Sensitivity [""&amp;IF(AS$3="""",AS$2,AS$2&amp;"", ""&amp;AS$3)&amp;""]'!A1:A20"")=$E18
    ),
    """"
  ) = """",
  "&amp;"""-"",
  AS$5 * ( 1 +
    IFNA(
      FILTER(
        IMPORTRANGE($F$8,""'Sensitivity [""&amp;IF(AS$3="""",AS$2,AS$2&amp;"", ""&amp;AS$3)&amp;""]'!E1:E20""),
        IMPORTRANGE($F$8,""'Sensitivity [""&amp;IF(AS$3="""",AS$2,AS$2&amp;"", ""&amp;AS$3)&amp;""]'!A1:A20"")=$E18
      ),
    "&amp;"  """"
    )
  )
), ""-"")
"),25.662252147171614)</f>
        <v>25.66225215</v>
      </c>
      <c r="AV18" s="832">
        <f>IFERROR(__xludf.DUMMYFUNCTION("Iferror(IF(
  IFNA(
    FILTER(
      IMPORTRANGE($F$8,""'Sensitivity [""&amp;IF(AV$3="""",AV$2,AV$2&amp;"", ""&amp;AV$3)&amp;""]'!D1:D20""),
      IMPORTRANGE($F$8,""'Sensitivity [""&amp;IF(AV$3="""",AV$2,AV$2&amp;"", ""&amp;AV$3)&amp;""]'!A1:A20"")=$E18
    ),
    """"
  ) = """",
  "&amp;"""-"",
  AV$5 * ( 1 +
    IFNA(
      FILTER(
        IMPORTRANGE($F$8,""'Sensitivity [""&amp;IF(AV$3="""",AV$2,AV$2&amp;"", ""&amp;AV$3)&amp;""]'!D1:D20""),
        IMPORTRANGE($F$8,""'Sensitivity [""&amp;IF(AV$3="""",AV$2,AV$2&amp;"", ""&amp;AV$3)&amp;""]'!A1:A20"")=$E18
      ),
    "&amp;"  """"
    )
  )
), ""-"")
"),14.633786648541385)</f>
        <v>14.63378665</v>
      </c>
      <c r="AW18" s="843" t="s">
        <v>124</v>
      </c>
      <c r="AX18" s="835">
        <f>IFERROR(__xludf.DUMMYFUNCTION("iferror(IF(
  IFNA(
    FILTER(
      IMPORTRANGE($F$8,""'Sensitivity [""&amp;IF(AV$3="""",AV$2,AV$2&amp;"", ""&amp;AV$3)&amp;""]'!E1:E20""),
      IMPORTRANGE($F$8,""'Sensitivity [""&amp;IF(AV$3="""",AV$2,AV$2&amp;"", ""&amp;AV$3)&amp;""]'!A1:A20"")=$E18
    ),
    """"
  ) = """",
  "&amp;"""-"",
  AV$5 * ( 1 +
    IFNA(
      FILTER(
        IMPORTRANGE($F$8,""'Sensitivity [""&amp;IF(AV$3="""",AV$2,AV$2&amp;"", ""&amp;AV$3)&amp;""]'!E1:E20""),
        IMPORTRANGE($F$8,""'Sensitivity [""&amp;IF(AV$3="""",AV$2,AV$2&amp;"", ""&amp;AV$3)&amp;""]'!A1:A20"")=$E18
      ),
    "&amp;"  """"
    )
  )
), ""-"")
"),16.925825521204473)</f>
        <v>16.92582552</v>
      </c>
      <c r="AY18" s="832">
        <f>IFERROR(__xludf.DUMMYFUNCTION("Iferror(IF(
  IFNA(
    FILTER(
      IMPORTRANGE($F$8,""'Sensitivity [""&amp;IF(AY$3="""",AY$2,AY$2&amp;"", ""&amp;AY$3)&amp;""]'!D1:D20""),
      IMPORTRANGE($F$8,""'Sensitivity [""&amp;IF(AY$3="""",AY$2,AY$2&amp;"", ""&amp;AY$3)&amp;""]'!A1:A20"")=$E18
    ),
    """"
  ) = """",
  "&amp;"""-"",
  AY$5 * ( 1 +
    IFNA(
      FILTER(
        IMPORTRANGE($F$8,""'Sensitivity [""&amp;IF(AY$3="""",AY$2,AY$2&amp;"", ""&amp;AY$3)&amp;""]'!D1:D20""),
        IMPORTRANGE($F$8,""'Sensitivity [""&amp;IF(AY$3="""",AY$2,AY$2&amp;"", ""&amp;AY$3)&amp;""]'!A1:A20"")=$E18
      ),
    "&amp;"  """"
    )
  )
), ""-"")
"),27.32691449223283)</f>
        <v>27.32691449</v>
      </c>
      <c r="AZ18" s="843" t="s">
        <v>124</v>
      </c>
      <c r="BA18" s="835">
        <f>IFERROR(__xludf.DUMMYFUNCTION("iferror(IF(
  IFNA(
    FILTER(
      IMPORTRANGE($F$8,""'Sensitivity [""&amp;IF(AY$3="""",AY$2,AY$2&amp;"", ""&amp;AY$3)&amp;""]'!E1:E20""),
      IMPORTRANGE($F$8,""'Sensitivity [""&amp;IF(AY$3="""",AY$2,AY$2&amp;"", ""&amp;AY$3)&amp;""]'!A1:A20"")=$E18
    ),
    """"
  ) = """",
  "&amp;"""-"",
  AY$5 * ( 1 +
    IFNA(
      FILTER(
        IMPORTRANGE($F$8,""'Sensitivity [""&amp;IF(AY$3="""",AY$2,AY$2&amp;"", ""&amp;AY$3)&amp;""]'!E1:E20""),
        IMPORTRANGE($F$8,""'Sensitivity [""&amp;IF(AY$3="""",AY$2,AY$2&amp;"", ""&amp;AY$3)&amp;""]'!A1:A20"")=$E18
      ),
    "&amp;"  """"
    )
  )
), ""-"")
"),31.607033629570594)</f>
        <v>31.60703363</v>
      </c>
      <c r="BB18" s="832">
        <f>IFERROR(__xludf.DUMMYFUNCTION("Iferror(IF(
  IFNA(
    FILTER(
      IMPORTRANGE($F$8,""'Sensitivity [""&amp;IF(BB$3="""",BB$2,BB$2&amp;"", ""&amp;BB$3)&amp;""]'!D1:D20""),
      IMPORTRANGE($F$8,""'Sensitivity [""&amp;IF(BB$3="""",BB$2,BB$2&amp;"", ""&amp;BB$3)&amp;""]'!A1:A20"")=$E18
    ),
    """"
  ) = """",
  "&amp;"""-"",
  BB$5 * ( 1 +
    IFNA(
      FILTER(
        IMPORTRANGE($F$8,""'Sensitivity [""&amp;IF(BB$3="""",BB$2,BB$2&amp;"", ""&amp;BB$3)&amp;""]'!D1:D20""),
        IMPORTRANGE($F$8,""'Sensitivity [""&amp;IF(BB$3="""",BB$2,BB$2&amp;"", ""&amp;BB$3)&amp;""]'!A1:A20"")=$E18
      ),
    "&amp;"  """"
    )
  )
), ""-"")
"),9.674109485901111)</f>
        <v>9.674109486</v>
      </c>
      <c r="BC18" s="843" t="s">
        <v>124</v>
      </c>
      <c r="BD18" s="835">
        <f>IFERROR(__xludf.DUMMYFUNCTION("iferror(IF(
  IFNA(
    FILTER(
      IMPORTRANGE($F$8,""'Sensitivity [""&amp;IF(BB$3="""",BB$2,BB$2&amp;"", ""&amp;BB$3)&amp;""]'!E1:E20""),
      IMPORTRANGE($F$8,""'Sensitivity [""&amp;IF(BB$3="""",BB$2,BB$2&amp;"", ""&amp;BB$3)&amp;""]'!A1:A20"")=$E18
    ),
    """"
  ) = """",
  "&amp;"""-"",
  BB$5 * ( 1 +
    IFNA(
      FILTER(
        IMPORTRANGE($F$8,""'Sensitivity [""&amp;IF(BB$3="""",BB$2,BB$2&amp;"", ""&amp;BB$3)&amp;""]'!E1:E20""),
        IMPORTRANGE($F$8,""'Sensitivity [""&amp;IF(BB$3="""",BB$2,BB$2&amp;"", ""&amp;BB$3)&amp;""]'!A1:A20"")=$E18
      ),
    "&amp;"  """"
    )
  )
), ""-"")
"),11.189331453572377)</f>
        <v>11.18933145</v>
      </c>
      <c r="BE18" s="832" t="str">
        <f>IFERROR(__xludf.DUMMYFUNCTION("Iferror(IF(
  IFNA(
    FILTER(
      IMPORTRANGE($F$8,""'Sensitivity [""&amp;IF(BE$3="""",BE$2,BE$2&amp;"", ""&amp;BE$3)&amp;""]'!D1:D20""),
      IMPORTRANGE($F$8,""'Sensitivity [""&amp;IF(BE$3="""",BE$2,BE$2&amp;"", ""&amp;BE$3)&amp;""]'!A1:A20"")=$E18
    ),
    """"
  ) = """",
  "&amp;"""-"",
  BE$5 * ( 1 +
    IFNA(
      FILTER(
        IMPORTRANGE($F$8,""'Sensitivity [""&amp;IF(BE$3="""",BE$2,BE$2&amp;"", ""&amp;BE$3)&amp;""]'!D1:D20""),
        IMPORTRANGE($F$8,""'Sensitivity [""&amp;IF(BE$3="""",BE$2,BE$2&amp;"", ""&amp;BE$3)&amp;""]'!A1:A20"")=$E18
      ),
    "&amp;"  """"
    )
  )
), ""-"")
"),"-")</f>
        <v>-</v>
      </c>
      <c r="BF18" s="843" t="s">
        <v>124</v>
      </c>
      <c r="BG18" s="835" t="str">
        <f>IFERROR(__xludf.DUMMYFUNCTION("iferror(IF(
  IFNA(
    FILTER(
      IMPORTRANGE($F$8,""'Sensitivity [""&amp;IF(BE$3="""",BE$2,BE$2&amp;"", ""&amp;BE$3)&amp;""]'!E1:E20""),
      IMPORTRANGE($F$8,""'Sensitivity [""&amp;IF(BE$3="""",BE$2,BE$2&amp;"", ""&amp;BE$3)&amp;""]'!A1:A20"")=$E18
    ),
    """"
  ) = """",
  "&amp;"""-"",
  BE$5 * ( 1 +
    IFNA(
      FILTER(
        IMPORTRANGE($F$8,""'Sensitivity [""&amp;IF(BE$3="""",BE$2,BE$2&amp;"", ""&amp;BE$3)&amp;""]'!E1:E20""),
        IMPORTRANGE($F$8,""'Sensitivity [""&amp;IF(BE$3="""",BE$2,BE$2&amp;"", ""&amp;BE$3)&amp;""]'!A1:A20"")=$E18
      ),
    "&amp;"  """"
    )
  )
), ""-"")
"),"-")</f>
        <v>-</v>
      </c>
      <c r="BH18" s="885"/>
    </row>
    <row r="19">
      <c r="A19" s="895"/>
      <c r="B19" s="400"/>
      <c r="C19" s="400"/>
      <c r="D19" s="400"/>
      <c r="E19" s="627" t="str">
        <f t="shared" si="1"/>
        <v>Adjustment for leverage</v>
      </c>
      <c r="F19" s="830" t="str">
        <f>IFERROR(__xludf.DUMMYFUNCTION("Iferror(IF(
  IFNA(
    FILTER(
      IMPORTRANGE($F$8,""'Sensitivity [""&amp;IF(F$3="""",F$2,F$2&amp;"", ""&amp;F$3)&amp;""]'!D1:D20""),
      IMPORTRANGE($F$8,""'Sensitivity [""&amp;IF(F$3="""",F$2,F$2&amp;"", ""&amp;F$3)&amp;""]'!A1:A20"")=$E19
    ),
    """"
  ) = """",
  ""-"",
  "&amp;"F$5 * ( 1 +
    IFNA(
      FILTER(
        IMPORTRANGE($F$8,""'Sensitivity [""&amp;IF(F$3="""",F$2,F$2&amp;"", ""&amp;F$3)&amp;""]'!D1:D20""),
        IMPORTRANGE($F$8,""'Sensitivity [""&amp;IF(F$3="""",F$2,F$2&amp;"", ""&amp;F$3)&amp;""]'!A1:A20"")=$E19
      ),
      """"
    )
  )
)"&amp;", ""-"")
"),"-")</f>
        <v>-</v>
      </c>
      <c r="G19" s="842" t="s">
        <v>124</v>
      </c>
      <c r="H19" s="831" t="str">
        <f>IFERROR(__xludf.DUMMYFUNCTION("iferror(IF(
  IFNA(
    FILTER(
      IMPORTRANGE($F$8,""'Sensitivity [""&amp;IF(F$3="""",F$2,F$2&amp;"", ""&amp;F$3)&amp;""]'!E1:E20""),
      IMPORTRANGE($F$8,""'Sensitivity [""&amp;IF(F$3="""",F$2,F$2&amp;"", ""&amp;F$3)&amp;""]'!A1:A20"")=$E19
    ),
    """"
  ) = """",
  ""-"",
  "&amp;"F$5 * ( 1 +
    IFNA(
      FILTER(
        IMPORTRANGE($F$8,""'Sensitivity [""&amp;IF(F$3="""",F$2,F$2&amp;"", ""&amp;F$3)&amp;""]'!E1:E20""),
        IMPORTRANGE($F$8,""'Sensitivity [""&amp;IF(F$3="""",F$2,F$2&amp;"", ""&amp;F$3)&amp;""]'!A1:A20"")=$E19
      ),
      """"
    )
  )
)"&amp;", ""-"")
"),"-")</f>
        <v>-</v>
      </c>
      <c r="I19" s="830" t="str">
        <f>IFERROR(__xludf.DUMMYFUNCTION("Iferror(IF(
  IFNA(
    FILTER(
      IMPORTRANGE($F$8,""'Sensitivity [""&amp;IF(I$3="""",I$2,I$2&amp;"", ""&amp;I$3)&amp;""]'!D1:D20""),
      IMPORTRANGE($F$8,""'Sensitivity [""&amp;IF(I$3="""",I$2,I$2&amp;"", ""&amp;I$3)&amp;""]'!A1:A20"")=$E19
    ),
    """"
  ) = """",
  ""-"",
  "&amp;"I$5 * ( 1 +
    IFNA(
      FILTER(
        IMPORTRANGE($F$8,""'Sensitivity [""&amp;IF(I$3="""",I$2,I$2&amp;"", ""&amp;I$3)&amp;""]'!D1:D20""),
        IMPORTRANGE($F$8,""'Sensitivity [""&amp;IF(I$3="""",I$2,I$2&amp;"", ""&amp;I$3)&amp;""]'!A1:A20"")=$E19
      ),
      """"
    )
  )
)"&amp;", ""-"")
"),"-")</f>
        <v>-</v>
      </c>
      <c r="J19" s="842" t="s">
        <v>124</v>
      </c>
      <c r="K19" s="831" t="str">
        <f>IFERROR(__xludf.DUMMYFUNCTION("iferror(IF(
  IFNA(
    FILTER(
      IMPORTRANGE($F$8,""'Sensitivity [""&amp;IF(I$3="""",I$2,I$2&amp;"", ""&amp;I$3)&amp;""]'!E1:E20""),
      IMPORTRANGE($F$8,""'Sensitivity [""&amp;IF(I$3="""",I$2,I$2&amp;"", ""&amp;I$3)&amp;""]'!A1:A20"")=$E19
    ),
    """"
  ) = """",
  ""-"",
  "&amp;"I$5 * ( 1 +
    IFNA(
      FILTER(
        IMPORTRANGE($F$8,""'Sensitivity [""&amp;IF(I$3="""",I$2,I$2&amp;"", ""&amp;I$3)&amp;""]'!E1:E20""),
        IMPORTRANGE($F$8,""'Sensitivity [""&amp;IF(I$3="""",I$2,I$2&amp;"", ""&amp;I$3)&amp;""]'!A1:A20"")=$E19
      ),
      """"
    )
  )
)"&amp;", ""-"")
"),"-")</f>
        <v>-</v>
      </c>
      <c r="L19" s="832" t="str">
        <f>IFERROR(__xludf.DUMMYFUNCTION("Iferror(IF(
  IFNA(
    FILTER(
      IMPORTRANGE($F$8,""'Sensitivity [""&amp;IF(L$3="""",L$2,L$2&amp;"", ""&amp;L$3)&amp;""]'!D1:D20""),
      IMPORTRANGE($F$8,""'Sensitivity [""&amp;IF(L$3="""",L$2,L$2&amp;"", ""&amp;L$3)&amp;""]'!A1:A20"")=$E19
    ),
    """"
  ) = """",
  ""-"",
  "&amp;"L$5 * ( 1 +
    IFNA(
      FILTER(
        IMPORTRANGE($F$8,""'Sensitivity [""&amp;IF(L$3="""",L$2,L$2&amp;"", ""&amp;L$3)&amp;""]'!D1:D20""),
        IMPORTRANGE($F$8,""'Sensitivity [""&amp;IF(L$3="""",L$2,L$2&amp;"", ""&amp;L$3)&amp;""]'!A1:A20"")=$E19
      ),
      """"
    )
  )
)"&amp;", ""-"")
"),"-")</f>
        <v>-</v>
      </c>
      <c r="M19" s="843" t="s">
        <v>124</v>
      </c>
      <c r="N19" s="835" t="str">
        <f>IFERROR(__xludf.DUMMYFUNCTION("iferror(IF(
  IFNA(
    FILTER(
      IMPORTRANGE($F$8,""'Sensitivity [""&amp;IF(L$3="""",L$2,L$2&amp;"", ""&amp;L$3)&amp;""]'!E1:E20""),
      IMPORTRANGE($F$8,""'Sensitivity [""&amp;IF(L$3="""",L$2,L$2&amp;"", ""&amp;L$3)&amp;""]'!A1:A20"")=$E19
    ),
    """"
  ) = """",
  ""-"",
  "&amp;"L$5 * ( 1 +
    IFNA(
      FILTER(
        IMPORTRANGE($F$8,""'Sensitivity [""&amp;IF(L$3="""",L$2,L$2&amp;"", ""&amp;L$3)&amp;""]'!E1:E20""),
        IMPORTRANGE($F$8,""'Sensitivity [""&amp;IF(L$3="""",L$2,L$2&amp;"", ""&amp;L$3)&amp;""]'!A1:A20"")=$E19
      ),
      """"
    )
  )
)"&amp;", ""-"")
"),"-")</f>
        <v>-</v>
      </c>
      <c r="O19" s="832" t="str">
        <f>IFERROR(__xludf.DUMMYFUNCTION("Iferror(IF(
  IFNA(
    FILTER(
      IMPORTRANGE($F$8,""'Sensitivity [""&amp;IF(O$3="""",O$2,O$2&amp;"", ""&amp;O$3)&amp;""]'!D1:D20""),
      IMPORTRANGE($F$8,""'Sensitivity [""&amp;IF(O$3="""",O$2,O$2&amp;"", ""&amp;O$3)&amp;""]'!A1:A20"")=$E19
    ),
    """"
  ) = """",
  ""-"",
  "&amp;"O$5 * ( 1 +
    IFNA(
      FILTER(
        IMPORTRANGE($F$8,""'Sensitivity [""&amp;IF(O$3="""",O$2,O$2&amp;"", ""&amp;O$3)&amp;""]'!D1:D20""),
        IMPORTRANGE($F$8,""'Sensitivity [""&amp;IF(O$3="""",O$2,O$2&amp;"", ""&amp;O$3)&amp;""]'!A1:A20"")=$E19
      ),
      """"
    )
  )
)"&amp;", ""-"")
"),"-")</f>
        <v>-</v>
      </c>
      <c r="P19" s="843" t="s">
        <v>124</v>
      </c>
      <c r="Q19" s="835" t="str">
        <f>IFERROR(__xludf.DUMMYFUNCTION("iferror(IF(
  IFNA(
    FILTER(
      IMPORTRANGE($F$8,""'Sensitivity [""&amp;IF(O$3="""",O$2,O$2&amp;"", ""&amp;O$3)&amp;""]'!E1:E20""),
      IMPORTRANGE($F$8,""'Sensitivity [""&amp;IF(O$3="""",O$2,O$2&amp;"", ""&amp;O$3)&amp;""]'!A1:A20"")=$E19
    ),
    """"
  ) = """",
  ""-"",
  "&amp;"O$5 * ( 1 +
    IFNA(
      FILTER(
        IMPORTRANGE($F$8,""'Sensitivity [""&amp;IF(O$3="""",O$2,O$2&amp;"", ""&amp;O$3)&amp;""]'!E1:E20""),
        IMPORTRANGE($F$8,""'Sensitivity [""&amp;IF(O$3="""",O$2,O$2&amp;"", ""&amp;O$3)&amp;""]'!A1:A20"")=$E19
      ),
      """"
    )
  )
)"&amp;", ""-"")
"),"-")</f>
        <v>-</v>
      </c>
      <c r="R19" s="832" t="str">
        <f>IFERROR(__xludf.DUMMYFUNCTION("Iferror(IF(
  IFNA(
    FILTER(
      IMPORTRANGE($F$8,""'Sensitivity [""&amp;IF(R$3="""",R$2,R$2&amp;"", ""&amp;R$3)&amp;""]'!D1:D20""),
      IMPORTRANGE($F$8,""'Sensitivity [""&amp;IF(R$3="""",R$2,R$2&amp;"", ""&amp;R$3)&amp;""]'!A1:A20"")=$E19
    ),
    """"
  ) = """",
  ""-"",
  "&amp;"R$5 * ( 1 +
    IFNA(
      FILTER(
        IMPORTRANGE($F$8,""'Sensitivity [""&amp;IF(R$3="""",R$2,R$2&amp;"", ""&amp;R$3)&amp;""]'!D1:D20""),
        IMPORTRANGE($F$8,""'Sensitivity [""&amp;IF(R$3="""",R$2,R$2&amp;"", ""&amp;R$3)&amp;""]'!A1:A20"")=$E19
      ),
      """"
    )
  )
)"&amp;", ""-"")
"),"-")</f>
        <v>-</v>
      </c>
      <c r="S19" s="843" t="s">
        <v>124</v>
      </c>
      <c r="T19" s="835" t="str">
        <f>IFERROR(__xludf.DUMMYFUNCTION("iferror(IF(
  IFNA(
    FILTER(
      IMPORTRANGE($F$8,""'Sensitivity [""&amp;IF(R$3="""",R$2,R$2&amp;"", ""&amp;R$3)&amp;""]'!E1:E20""),
      IMPORTRANGE($F$8,""'Sensitivity [""&amp;IF(R$3="""",R$2,R$2&amp;"", ""&amp;R$3)&amp;""]'!A1:A20"")=$E19
    ),
    """"
  ) = """",
  ""-"",
  "&amp;"R$5 * ( 1 +
    IFNA(
      FILTER(
        IMPORTRANGE($F$8,""'Sensitivity [""&amp;IF(R$3="""",R$2,R$2&amp;"", ""&amp;R$3)&amp;""]'!E1:E20""),
        IMPORTRANGE($F$8,""'Sensitivity [""&amp;IF(R$3="""",R$2,R$2&amp;"", ""&amp;R$3)&amp;""]'!A1:A20"")=$E19
      ),
      """"
    )
  )
)"&amp;", ""-"")
"),"-")</f>
        <v>-</v>
      </c>
      <c r="U19" s="832" t="str">
        <f>IFERROR(__xludf.DUMMYFUNCTION("Iferror(IF(
  IFNA(
    FILTER(
      IMPORTRANGE($F$8,""'Sensitivity [""&amp;IF(U$3="""",U$2,U$2&amp;"", ""&amp;U$3)&amp;""]'!D1:D20""),
      IMPORTRANGE($F$8,""'Sensitivity [""&amp;IF(U$3="""",U$2,U$2&amp;"", ""&amp;U$3)&amp;""]'!A1:A20"")=$E19
    ),
    """"
  ) = """",
  ""-"",
  "&amp;"U$5 * ( 1 +
    IFNA(
      FILTER(
        IMPORTRANGE($F$8,""'Sensitivity [""&amp;IF(U$3="""",U$2,U$2&amp;"", ""&amp;U$3)&amp;""]'!D1:D20""),
        IMPORTRANGE($F$8,""'Sensitivity [""&amp;IF(U$3="""",U$2,U$2&amp;"", ""&amp;U$3)&amp;""]'!A1:A20"")=$E19
      ),
      """"
    )
  )
)"&amp;", ""-"")
"),"-")</f>
        <v>-</v>
      </c>
      <c r="V19" s="843" t="s">
        <v>124</v>
      </c>
      <c r="W19" s="835" t="str">
        <f>IFERROR(__xludf.DUMMYFUNCTION("iferror(IF(
  IFNA(
    FILTER(
      IMPORTRANGE($F$8,""'Sensitivity [""&amp;IF(U$3="""",U$2,U$2&amp;"", ""&amp;U$3)&amp;""]'!E1:E20""),
      IMPORTRANGE($F$8,""'Sensitivity [""&amp;IF(U$3="""",U$2,U$2&amp;"", ""&amp;U$3)&amp;""]'!A1:A20"")=$E19
    ),
    """"
  ) = """",
  ""-"",
  "&amp;"U$5 * ( 1 +
    IFNA(
      FILTER(
        IMPORTRANGE($F$8,""'Sensitivity [""&amp;IF(U$3="""",U$2,U$2&amp;"", ""&amp;U$3)&amp;""]'!E1:E20""),
        IMPORTRANGE($F$8,""'Sensitivity [""&amp;IF(U$3="""",U$2,U$2&amp;"", ""&amp;U$3)&amp;""]'!A1:A20"")=$E19
      ),
      """"
    )
  )
)"&amp;", ""-"")
"),"-")</f>
        <v>-</v>
      </c>
      <c r="X19" s="832" t="str">
        <f>IFERROR(__xludf.DUMMYFUNCTION("Iferror(IF(
  IFNA(
    FILTER(
      IMPORTRANGE($F$8,""'Sensitivity [""&amp;IF(X$3="""",X$2,X$2&amp;"", ""&amp;X$3)&amp;""]'!D1:D20""),
      IMPORTRANGE($F$8,""'Sensitivity [""&amp;IF(X$3="""",X$2,X$2&amp;"", ""&amp;X$3)&amp;""]'!A1:A20"")=$E19
    ),
    """"
  ) = """",
  ""-"",
  "&amp;"X$5 * ( 1 +
    IFNA(
      FILTER(
        IMPORTRANGE($F$8,""'Sensitivity [""&amp;IF(X$3="""",X$2,X$2&amp;"", ""&amp;X$3)&amp;""]'!D1:D20""),
        IMPORTRANGE($F$8,""'Sensitivity [""&amp;IF(X$3="""",X$2,X$2&amp;"", ""&amp;X$3)&amp;""]'!A1:A20"")=$E19
      ),
      """"
    )
  )
)"&amp;", ""-"")
"),"-")</f>
        <v>-</v>
      </c>
      <c r="Y19" s="843" t="s">
        <v>124</v>
      </c>
      <c r="Z19" s="835" t="str">
        <f>IFERROR(__xludf.DUMMYFUNCTION("iferror(IF(
  IFNA(
    FILTER(
      IMPORTRANGE($F$8,""'Sensitivity [""&amp;IF(X$3="""",X$2,X$2&amp;"", ""&amp;X$3)&amp;""]'!E1:E20""),
      IMPORTRANGE($F$8,""'Sensitivity [""&amp;IF(X$3="""",X$2,X$2&amp;"", ""&amp;X$3)&amp;""]'!A1:A20"")=$E19
    ),
    """"
  ) = """",
  ""-"",
  "&amp;"X$5 * ( 1 +
    IFNA(
      FILTER(
        IMPORTRANGE($F$8,""'Sensitivity [""&amp;IF(X$3="""",X$2,X$2&amp;"", ""&amp;X$3)&amp;""]'!E1:E20""),
        IMPORTRANGE($F$8,""'Sensitivity [""&amp;IF(X$3="""",X$2,X$2&amp;"", ""&amp;X$3)&amp;""]'!A1:A20"")=$E19
      ),
      """"
    )
  )
)"&amp;", ""-"")
"),"-")</f>
        <v>-</v>
      </c>
      <c r="AA19" s="832" t="str">
        <f>IFERROR(__xludf.DUMMYFUNCTION("Iferror(IF(
  IFNA(
    FILTER(
      IMPORTRANGE($F$8,""'Sensitivity [""&amp;IF(AA$3="""",AA$2,AA$2&amp;"", ""&amp;AA$3)&amp;""]'!D1:D20""),
      IMPORTRANGE($F$8,""'Sensitivity [""&amp;IF(AA$3="""",AA$2,AA$2&amp;"", ""&amp;AA$3)&amp;""]'!A1:A20"")=$E19
    ),
    """"
  ) = """",
  "&amp;"""-"",
  AA$5 * ( 1 +
    IFNA(
      FILTER(
        IMPORTRANGE($F$8,""'Sensitivity [""&amp;IF(AA$3="""",AA$2,AA$2&amp;"", ""&amp;AA$3)&amp;""]'!D1:D20""),
        IMPORTRANGE($F$8,""'Sensitivity [""&amp;IF(AA$3="""",AA$2,AA$2&amp;"", ""&amp;AA$3)&amp;""]'!A1:A20"")=$E19
      ),
    "&amp;"  """"
    )
  )
), ""-"")
"),"-")</f>
        <v>-</v>
      </c>
      <c r="AB19" s="843" t="s">
        <v>124</v>
      </c>
      <c r="AC19" s="835" t="str">
        <f>IFERROR(__xludf.DUMMYFUNCTION("iferror(IF(
  IFNA(
    FILTER(
      IMPORTRANGE($F$8,""'Sensitivity [""&amp;IF(AA$3="""",AA$2,AA$2&amp;"", ""&amp;AA$3)&amp;""]'!E1:E20""),
      IMPORTRANGE($F$8,""'Sensitivity [""&amp;IF(AA$3="""",AA$2,AA$2&amp;"", ""&amp;AA$3)&amp;""]'!A1:A20"")=$E19
    ),
    """"
  ) = """",
  "&amp;"""-"",
  AA$5 * ( 1 +
    IFNA(
      FILTER(
        IMPORTRANGE($F$8,""'Sensitivity [""&amp;IF(AA$3="""",AA$2,AA$2&amp;"", ""&amp;AA$3)&amp;""]'!E1:E20""),
        IMPORTRANGE($F$8,""'Sensitivity [""&amp;IF(AA$3="""",AA$2,AA$2&amp;"", ""&amp;AA$3)&amp;""]'!A1:A20"")=$E19
      ),
    "&amp;"  """"
    )
  )
), ""-"")
"),"-")</f>
        <v>-</v>
      </c>
      <c r="AD19" s="832" t="str">
        <f>IFERROR(__xludf.DUMMYFUNCTION("Iferror(IF(
  IFNA(
    FILTER(
      IMPORTRANGE($F$8,""'Sensitivity [""&amp;IF(AD$3="""",AD$2,AD$2&amp;"", ""&amp;AD$3)&amp;""]'!D1:D20""),
      IMPORTRANGE($F$8,""'Sensitivity [""&amp;IF(AD$3="""",AD$2,AD$2&amp;"", ""&amp;AD$3)&amp;""]'!A1:A20"")=$E19
    ),
    """"
  ) = """",
  "&amp;"""-"",
  AD$5 * ( 1 +
    IFNA(
      FILTER(
        IMPORTRANGE($F$8,""'Sensitivity [""&amp;IF(AD$3="""",AD$2,AD$2&amp;"", ""&amp;AD$3)&amp;""]'!D1:D20""),
        IMPORTRANGE($F$8,""'Sensitivity [""&amp;IF(AD$3="""",AD$2,AD$2&amp;"", ""&amp;AD$3)&amp;""]'!A1:A20"")=$E19
      ),
    "&amp;"  """"
    )
  )
), ""-"")
"),"-")</f>
        <v>-</v>
      </c>
      <c r="AE19" s="843" t="s">
        <v>124</v>
      </c>
      <c r="AF19" s="835" t="str">
        <f>IFERROR(__xludf.DUMMYFUNCTION("iferror(IF(
  IFNA(
    FILTER(
      IMPORTRANGE($F$8,""'Sensitivity [""&amp;IF(AD$3="""",AD$2,AD$2&amp;"", ""&amp;AD$3)&amp;""]'!E1:E20""),
      IMPORTRANGE($F$8,""'Sensitivity [""&amp;IF(AD$3="""",AD$2,AD$2&amp;"", ""&amp;AD$3)&amp;""]'!A1:A20"")=$E19
    ),
    """"
  ) = """",
  "&amp;"""-"",
  AD$5 * ( 1 +
    IFNA(
      FILTER(
        IMPORTRANGE($F$8,""'Sensitivity [""&amp;IF(AD$3="""",AD$2,AD$2&amp;"", ""&amp;AD$3)&amp;""]'!E1:E20""),
        IMPORTRANGE($F$8,""'Sensitivity [""&amp;IF(AD$3="""",AD$2,AD$2&amp;"", ""&amp;AD$3)&amp;""]'!A1:A20"")=$E19
      ),
    "&amp;"  """"
    )
  )
), ""-"")
"),"-")</f>
        <v>-</v>
      </c>
      <c r="AG19" s="832" t="str">
        <f>IFERROR(__xludf.DUMMYFUNCTION("Iferror(IF(
  IFNA(
    FILTER(
      IMPORTRANGE($F$8,""'Sensitivity [""&amp;IF(AG$3="""",AG$2,AG$2&amp;"", ""&amp;AG$3)&amp;""]'!D1:D20""),
      IMPORTRANGE($F$8,""'Sensitivity [""&amp;IF(AG$3="""",AG$2,AG$2&amp;"", ""&amp;AG$3)&amp;""]'!A1:A20"")=$E19
    ),
    """"
  ) = """",
  "&amp;"""-"",
  AG$5 * ( 1 +
    IFNA(
      FILTER(
        IMPORTRANGE($F$8,""'Sensitivity [""&amp;IF(AG$3="""",AG$2,AG$2&amp;"", ""&amp;AG$3)&amp;""]'!D1:D20""),
        IMPORTRANGE($F$8,""'Sensitivity [""&amp;IF(AG$3="""",AG$2,AG$2&amp;"", ""&amp;AG$3)&amp;""]'!A1:A20"")=$E19
      ),
    "&amp;"  """"
    )
  )
), ""-"")
"),"-")</f>
        <v>-</v>
      </c>
      <c r="AH19" s="843" t="s">
        <v>124</v>
      </c>
      <c r="AI19" s="835" t="str">
        <f>IFERROR(__xludf.DUMMYFUNCTION("iferror(IF(
  IFNA(
    FILTER(
      IMPORTRANGE($F$8,""'Sensitivity [""&amp;IF(AG$3="""",AG$2,AG$2&amp;"", ""&amp;AG$3)&amp;""]'!E1:E20""),
      IMPORTRANGE($F$8,""'Sensitivity [""&amp;IF(AG$3="""",AG$2,AG$2&amp;"", ""&amp;AG$3)&amp;""]'!A1:A20"")=$E19
    ),
    """"
  ) = """",
  "&amp;"""-"",
  AG$5 * ( 1 +
    IFNA(
      FILTER(
        IMPORTRANGE($F$8,""'Sensitivity [""&amp;IF(AG$3="""",AG$2,AG$2&amp;"", ""&amp;AG$3)&amp;""]'!E1:E20""),
        IMPORTRANGE($F$8,""'Sensitivity [""&amp;IF(AG$3="""",AG$2,AG$2&amp;"", ""&amp;AG$3)&amp;""]'!A1:A20"")=$E19
      ),
    "&amp;"  """"
    )
  )
), ""-"")
"),"-")</f>
        <v>-</v>
      </c>
      <c r="AJ19" s="832" t="str">
        <f>IFERROR(__xludf.DUMMYFUNCTION("Iferror(IF(
  IFNA(
    FILTER(
      IMPORTRANGE($F$8,""'Sensitivity [""&amp;IF(AJ$3="""",AJ$2,AJ$2&amp;"", ""&amp;AJ$3)&amp;""]'!D1:D20""),
      IMPORTRANGE($F$8,""'Sensitivity [""&amp;IF(AJ$3="""",AJ$2,AJ$2&amp;"", ""&amp;AJ$3)&amp;""]'!A1:A20"")=$E19
    ),
    """"
  ) = """",
  "&amp;"""-"",
  AJ$5 * ( 1 +
    IFNA(
      FILTER(
        IMPORTRANGE($F$8,""'Sensitivity [""&amp;IF(AJ$3="""",AJ$2,AJ$2&amp;"", ""&amp;AJ$3)&amp;""]'!D1:D20""),
        IMPORTRANGE($F$8,""'Sensitivity [""&amp;IF(AJ$3="""",AJ$2,AJ$2&amp;"", ""&amp;AJ$3)&amp;""]'!A1:A20"")=$E19
      ),
    "&amp;"  """"
    )
  )
), ""-"")
"),"-")</f>
        <v>-</v>
      </c>
      <c r="AK19" s="843" t="s">
        <v>124</v>
      </c>
      <c r="AL19" s="835" t="str">
        <f>IFERROR(__xludf.DUMMYFUNCTION("iferror(IF(
  IFNA(
    FILTER(
      IMPORTRANGE($F$8,""'Sensitivity [""&amp;IF(AJ$3="""",AJ$2,AJ$2&amp;"", ""&amp;AJ$3)&amp;""]'!E1:E20""),
      IMPORTRANGE($F$8,""'Sensitivity [""&amp;IF(AJ$3="""",AJ$2,AJ$2&amp;"", ""&amp;AJ$3)&amp;""]'!A1:A20"")=$E19
    ),
    """"
  ) = """",
  "&amp;"""-"",
  AJ$5 * ( 1 +
    IFNA(
      FILTER(
        IMPORTRANGE($F$8,""'Sensitivity [""&amp;IF(AJ$3="""",AJ$2,AJ$2&amp;"", ""&amp;AJ$3)&amp;""]'!E1:E20""),
        IMPORTRANGE($F$8,""'Sensitivity [""&amp;IF(AJ$3="""",AJ$2,AJ$2&amp;"", ""&amp;AJ$3)&amp;""]'!A1:A20"")=$E19
      ),
    "&amp;"  """"
    )
  )
), ""-"")
"),"-")</f>
        <v>-</v>
      </c>
      <c r="AM19" s="832" t="str">
        <f>IFERROR(__xludf.DUMMYFUNCTION("Iferror(IF(
  IFNA(
    FILTER(
      IMPORTRANGE($F$8,""'Sensitivity [""&amp;IF(AM$3="""",AM$2,AM$2&amp;"", ""&amp;AM$3)&amp;""]'!D1:D20""),
      IMPORTRANGE($F$8,""'Sensitivity [""&amp;IF(AM$3="""",AM$2,AM$2&amp;"", ""&amp;AM$3)&amp;""]'!A1:A20"")=$E19
    ),
    """"
  ) = """",
  "&amp;"""-"",
  AM$5 * ( 1 +
    IFNA(
      FILTER(
        IMPORTRANGE($F$8,""'Sensitivity [""&amp;IF(AM$3="""",AM$2,AM$2&amp;"", ""&amp;AM$3)&amp;""]'!D1:D20""),
        IMPORTRANGE($F$8,""'Sensitivity [""&amp;IF(AM$3="""",AM$2,AM$2&amp;"", ""&amp;AM$3)&amp;""]'!A1:A20"")=$E19
      ),
    "&amp;"  """"
    )
  )
), ""-"")
"),"-")</f>
        <v>-</v>
      </c>
      <c r="AN19" s="843" t="s">
        <v>124</v>
      </c>
      <c r="AO19" s="835" t="str">
        <f>IFERROR(__xludf.DUMMYFUNCTION("iferror(IF(
  IFNA(
    FILTER(
      IMPORTRANGE($F$8,""'Sensitivity [""&amp;IF(AM$3="""",AM$2,AM$2&amp;"", ""&amp;AM$3)&amp;""]'!E1:E20""),
      IMPORTRANGE($F$8,""'Sensitivity [""&amp;IF(AM$3="""",AM$2,AM$2&amp;"", ""&amp;AM$3)&amp;""]'!A1:A20"")=$E19
    ),
    """"
  ) = """",
  "&amp;"""-"",
  AM$5 * ( 1 +
    IFNA(
      FILTER(
        IMPORTRANGE($F$8,""'Sensitivity [""&amp;IF(AM$3="""",AM$2,AM$2&amp;"", ""&amp;AM$3)&amp;""]'!E1:E20""),
        IMPORTRANGE($F$8,""'Sensitivity [""&amp;IF(AM$3="""",AM$2,AM$2&amp;"", ""&amp;AM$3)&amp;""]'!A1:A20"")=$E19
      ),
    "&amp;"  """"
    )
  )
), ""-"")
"),"-")</f>
        <v>-</v>
      </c>
      <c r="AP19" s="832" t="str">
        <f>IFERROR(__xludf.DUMMYFUNCTION("Iferror(IF(
  IFNA(
    FILTER(
      IMPORTRANGE($F$8,""'Sensitivity [""&amp;IF(AP$3="""",AP$2,AP$2&amp;"", ""&amp;AP$3)&amp;""]'!D1:D20""),
      IMPORTRANGE($F$8,""'Sensitivity [""&amp;IF(AP$3="""",AP$2,AP$2&amp;"", ""&amp;AP$3)&amp;""]'!A1:A20"")=$E19
    ),
    """"
  ) = """",
  "&amp;"""-"",
  AP$5 * ( 1 +
    IFNA(
      FILTER(
        IMPORTRANGE($F$8,""'Sensitivity [""&amp;IF(AP$3="""",AP$2,AP$2&amp;"", ""&amp;AP$3)&amp;""]'!D1:D20""),
        IMPORTRANGE($F$8,""'Sensitivity [""&amp;IF(AP$3="""",AP$2,AP$2&amp;"", ""&amp;AP$3)&amp;""]'!A1:A20"")=$E19
      ),
    "&amp;"  """"
    )
  )
), ""-"")
"),"-")</f>
        <v>-</v>
      </c>
      <c r="AQ19" s="843" t="s">
        <v>124</v>
      </c>
      <c r="AR19" s="835" t="str">
        <f>IFERROR(__xludf.DUMMYFUNCTION("iferror(IF(
  IFNA(
    FILTER(
      IMPORTRANGE($F$8,""'Sensitivity [""&amp;IF(AP$3="""",AP$2,AP$2&amp;"", ""&amp;AP$3)&amp;""]'!E1:E20""),
      IMPORTRANGE($F$8,""'Sensitivity [""&amp;IF(AP$3="""",AP$2,AP$2&amp;"", ""&amp;AP$3)&amp;""]'!A1:A20"")=$E19
    ),
    """"
  ) = """",
  "&amp;"""-"",
  AP$5 * ( 1 +
    IFNA(
      FILTER(
        IMPORTRANGE($F$8,""'Sensitivity [""&amp;IF(AP$3="""",AP$2,AP$2&amp;"", ""&amp;AP$3)&amp;""]'!E1:E20""),
        IMPORTRANGE($F$8,""'Sensitivity [""&amp;IF(AP$3="""",AP$2,AP$2&amp;"", ""&amp;AP$3)&amp;""]'!A1:A20"")=$E19
      ),
    "&amp;"  """"
    )
  )
), ""-"")
"),"-")</f>
        <v>-</v>
      </c>
      <c r="AS19" s="832" t="str">
        <f>IFERROR(__xludf.DUMMYFUNCTION("Iferror(IF(
  IFNA(
    FILTER(
      IMPORTRANGE($F$8,""'Sensitivity [""&amp;IF(AS$3="""",AS$2,AS$2&amp;"", ""&amp;AS$3)&amp;""]'!D1:D20""),
      IMPORTRANGE($F$8,""'Sensitivity [""&amp;IF(AS$3="""",AS$2,AS$2&amp;"", ""&amp;AS$3)&amp;""]'!A1:A20"")=$E19
    ),
    """"
  ) = """",
  "&amp;"""-"",
  AS$5 * ( 1 +
    IFNA(
      FILTER(
        IMPORTRANGE($F$8,""'Sensitivity [""&amp;IF(AS$3="""",AS$2,AS$2&amp;"", ""&amp;AS$3)&amp;""]'!D1:D20""),
        IMPORTRANGE($F$8,""'Sensitivity [""&amp;IF(AS$3="""",AS$2,AS$2&amp;"", ""&amp;AS$3)&amp;""]'!A1:A20"")=$E19
      ),
    "&amp;"  """"
    )
  )
), ""-"")
"),"-")</f>
        <v>-</v>
      </c>
      <c r="AT19" s="843" t="s">
        <v>124</v>
      </c>
      <c r="AU19" s="835" t="str">
        <f>IFERROR(__xludf.DUMMYFUNCTION("iferror(IF(
  IFNA(
    FILTER(
      IMPORTRANGE($F$8,""'Sensitivity [""&amp;IF(AS$3="""",AS$2,AS$2&amp;"", ""&amp;AS$3)&amp;""]'!E1:E20""),
      IMPORTRANGE($F$8,""'Sensitivity [""&amp;IF(AS$3="""",AS$2,AS$2&amp;"", ""&amp;AS$3)&amp;""]'!A1:A20"")=$E19
    ),
    """"
  ) = """",
  "&amp;"""-"",
  AS$5 * ( 1 +
    IFNA(
      FILTER(
        IMPORTRANGE($F$8,""'Sensitivity [""&amp;IF(AS$3="""",AS$2,AS$2&amp;"", ""&amp;AS$3)&amp;""]'!E1:E20""),
        IMPORTRANGE($F$8,""'Sensitivity [""&amp;IF(AS$3="""",AS$2,AS$2&amp;"", ""&amp;AS$3)&amp;""]'!A1:A20"")=$E19
      ),
    "&amp;"  """"
    )
  )
), ""-"")
"),"-")</f>
        <v>-</v>
      </c>
      <c r="AV19" s="832" t="str">
        <f>IFERROR(__xludf.DUMMYFUNCTION("Iferror(IF(
  IFNA(
    FILTER(
      IMPORTRANGE($F$8,""'Sensitivity [""&amp;IF(AV$3="""",AV$2,AV$2&amp;"", ""&amp;AV$3)&amp;""]'!D1:D20""),
      IMPORTRANGE($F$8,""'Sensitivity [""&amp;IF(AV$3="""",AV$2,AV$2&amp;"", ""&amp;AV$3)&amp;""]'!A1:A20"")=$E19
    ),
    """"
  ) = """",
  "&amp;"""-"",
  AV$5 * ( 1 +
    IFNA(
      FILTER(
        IMPORTRANGE($F$8,""'Sensitivity [""&amp;IF(AV$3="""",AV$2,AV$2&amp;"", ""&amp;AV$3)&amp;""]'!D1:D20""),
        IMPORTRANGE($F$8,""'Sensitivity [""&amp;IF(AV$3="""",AV$2,AV$2&amp;"", ""&amp;AV$3)&amp;""]'!A1:A20"")=$E19
      ),
    "&amp;"  """"
    )
  )
), ""-"")
"),"-")</f>
        <v>-</v>
      </c>
      <c r="AW19" s="843" t="s">
        <v>124</v>
      </c>
      <c r="AX19" s="835" t="str">
        <f>IFERROR(__xludf.DUMMYFUNCTION("iferror(IF(
  IFNA(
    FILTER(
      IMPORTRANGE($F$8,""'Sensitivity [""&amp;IF(AV$3="""",AV$2,AV$2&amp;"", ""&amp;AV$3)&amp;""]'!E1:E20""),
      IMPORTRANGE($F$8,""'Sensitivity [""&amp;IF(AV$3="""",AV$2,AV$2&amp;"", ""&amp;AV$3)&amp;""]'!A1:A20"")=$E19
    ),
    """"
  ) = """",
  "&amp;"""-"",
  AV$5 * ( 1 +
    IFNA(
      FILTER(
        IMPORTRANGE($F$8,""'Sensitivity [""&amp;IF(AV$3="""",AV$2,AV$2&amp;"", ""&amp;AV$3)&amp;""]'!E1:E20""),
        IMPORTRANGE($F$8,""'Sensitivity [""&amp;IF(AV$3="""",AV$2,AV$2&amp;"", ""&amp;AV$3)&amp;""]'!A1:A20"")=$E19
      ),
    "&amp;"  """"
    )
  )
), ""-"")
"),"-")</f>
        <v>-</v>
      </c>
      <c r="AY19" s="832" t="str">
        <f>IFERROR(__xludf.DUMMYFUNCTION("Iferror(IF(
  IFNA(
    FILTER(
      IMPORTRANGE($F$8,""'Sensitivity [""&amp;IF(AY$3="""",AY$2,AY$2&amp;"", ""&amp;AY$3)&amp;""]'!D1:D20""),
      IMPORTRANGE($F$8,""'Sensitivity [""&amp;IF(AY$3="""",AY$2,AY$2&amp;"", ""&amp;AY$3)&amp;""]'!A1:A20"")=$E19
    ),
    """"
  ) = """",
  "&amp;"""-"",
  AY$5 * ( 1 +
    IFNA(
      FILTER(
        IMPORTRANGE($F$8,""'Sensitivity [""&amp;IF(AY$3="""",AY$2,AY$2&amp;"", ""&amp;AY$3)&amp;""]'!D1:D20""),
        IMPORTRANGE($F$8,""'Sensitivity [""&amp;IF(AY$3="""",AY$2,AY$2&amp;"", ""&amp;AY$3)&amp;""]'!A1:A20"")=$E19
      ),
    "&amp;"  """"
    )
  )
), ""-"")
"),"-")</f>
        <v>-</v>
      </c>
      <c r="AZ19" s="843" t="s">
        <v>124</v>
      </c>
      <c r="BA19" s="835" t="str">
        <f>IFERROR(__xludf.DUMMYFUNCTION("iferror(IF(
  IFNA(
    FILTER(
      IMPORTRANGE($F$8,""'Sensitivity [""&amp;IF(AY$3="""",AY$2,AY$2&amp;"", ""&amp;AY$3)&amp;""]'!E1:E20""),
      IMPORTRANGE($F$8,""'Sensitivity [""&amp;IF(AY$3="""",AY$2,AY$2&amp;"", ""&amp;AY$3)&amp;""]'!A1:A20"")=$E19
    ),
    """"
  ) = """",
  "&amp;"""-"",
  AY$5 * ( 1 +
    IFNA(
      FILTER(
        IMPORTRANGE($F$8,""'Sensitivity [""&amp;IF(AY$3="""",AY$2,AY$2&amp;"", ""&amp;AY$3)&amp;""]'!E1:E20""),
        IMPORTRANGE($F$8,""'Sensitivity [""&amp;IF(AY$3="""",AY$2,AY$2&amp;"", ""&amp;AY$3)&amp;""]'!A1:A20"")=$E19
      ),
    "&amp;"  """"
    )
  )
), ""-"")
"),"-")</f>
        <v>-</v>
      </c>
      <c r="BB19" s="832" t="str">
        <f>IFERROR(__xludf.DUMMYFUNCTION("Iferror(IF(
  IFNA(
    FILTER(
      IMPORTRANGE($F$8,""'Sensitivity [""&amp;IF(BB$3="""",BB$2,BB$2&amp;"", ""&amp;BB$3)&amp;""]'!D1:D20""),
      IMPORTRANGE($F$8,""'Sensitivity [""&amp;IF(BB$3="""",BB$2,BB$2&amp;"", ""&amp;BB$3)&amp;""]'!A1:A20"")=$E19
    ),
    """"
  ) = """",
  "&amp;"""-"",
  BB$5 * ( 1 +
    IFNA(
      FILTER(
        IMPORTRANGE($F$8,""'Sensitivity [""&amp;IF(BB$3="""",BB$2,BB$2&amp;"", ""&amp;BB$3)&amp;""]'!D1:D20""),
        IMPORTRANGE($F$8,""'Sensitivity [""&amp;IF(BB$3="""",BB$2,BB$2&amp;"", ""&amp;BB$3)&amp;""]'!A1:A20"")=$E19
      ),
    "&amp;"  """"
    )
  )
), ""-"")
"),"-")</f>
        <v>-</v>
      </c>
      <c r="BC19" s="843" t="s">
        <v>124</v>
      </c>
      <c r="BD19" s="835" t="str">
        <f>IFERROR(__xludf.DUMMYFUNCTION("iferror(IF(
  IFNA(
    FILTER(
      IMPORTRANGE($F$8,""'Sensitivity [""&amp;IF(BB$3="""",BB$2,BB$2&amp;"", ""&amp;BB$3)&amp;""]'!E1:E20""),
      IMPORTRANGE($F$8,""'Sensitivity [""&amp;IF(BB$3="""",BB$2,BB$2&amp;"", ""&amp;BB$3)&amp;""]'!A1:A20"")=$E19
    ),
    """"
  ) = """",
  "&amp;"""-"",
  BB$5 * ( 1 +
    IFNA(
      FILTER(
        IMPORTRANGE($F$8,""'Sensitivity [""&amp;IF(BB$3="""",BB$2,BB$2&amp;"", ""&amp;BB$3)&amp;""]'!E1:E20""),
        IMPORTRANGE($F$8,""'Sensitivity [""&amp;IF(BB$3="""",BB$2,BB$2&amp;"", ""&amp;BB$3)&amp;""]'!A1:A20"")=$E19
      ),
    "&amp;"  """"
    )
  )
), ""-"")
"),"-")</f>
        <v>-</v>
      </c>
      <c r="BE19" s="832" t="str">
        <f>IFERROR(__xludf.DUMMYFUNCTION("Iferror(IF(
  IFNA(
    FILTER(
      IMPORTRANGE($F$8,""'Sensitivity [""&amp;IF(BE$3="""",BE$2,BE$2&amp;"", ""&amp;BE$3)&amp;""]'!D1:D20""),
      IMPORTRANGE($F$8,""'Sensitivity [""&amp;IF(BE$3="""",BE$2,BE$2&amp;"", ""&amp;BE$3)&amp;""]'!A1:A20"")=$E19
    ),
    """"
  ) = """",
  "&amp;"""-"",
  BE$5 * ( 1 +
    IFNA(
      FILTER(
        IMPORTRANGE($F$8,""'Sensitivity [""&amp;IF(BE$3="""",BE$2,BE$2&amp;"", ""&amp;BE$3)&amp;""]'!D1:D20""),
        IMPORTRANGE($F$8,""'Sensitivity [""&amp;IF(BE$3="""",BE$2,BE$2&amp;"", ""&amp;BE$3)&amp;""]'!A1:A20"")=$E19
      ),
    "&amp;"  """"
    )
  )
), ""-"")
"),"-")</f>
        <v>-</v>
      </c>
      <c r="BF19" s="843" t="s">
        <v>124</v>
      </c>
      <c r="BG19" s="835" t="str">
        <f>IFERROR(__xludf.DUMMYFUNCTION("iferror(IF(
  IFNA(
    FILTER(
      IMPORTRANGE($F$8,""'Sensitivity [""&amp;IF(BE$3="""",BE$2,BE$2&amp;"", ""&amp;BE$3)&amp;""]'!E1:E20""),
      IMPORTRANGE($F$8,""'Sensitivity [""&amp;IF(BE$3="""",BE$2,BE$2&amp;"", ""&amp;BE$3)&amp;""]'!A1:A20"")=$E19
    ),
    """"
  ) = """",
  "&amp;"""-"",
  BE$5 * ( 1 +
    IFNA(
      FILTER(
        IMPORTRANGE($F$8,""'Sensitivity [""&amp;IF(BE$3="""",BE$2,BE$2&amp;"", ""&amp;BE$3)&amp;""]'!E1:E20""),
        IMPORTRANGE($F$8,""'Sensitivity [""&amp;IF(BE$3="""",BE$2,BE$2&amp;"", ""&amp;BE$3)&amp;""]'!A1:A20"")=$E19
      ),
    "&amp;"  """"
    )
  )
), ""-"")
"),"-")</f>
        <v>-</v>
      </c>
      <c r="BH19" s="223"/>
    </row>
    <row r="20">
      <c r="A20" s="895"/>
      <c r="B20" s="400"/>
      <c r="C20" s="400"/>
      <c r="D20" s="400"/>
      <c r="E20" s="627" t="str">
        <f t="shared" si="1"/>
        <v>Adjustment for funging</v>
      </c>
      <c r="F20" s="830">
        <f>IFERROR(__xludf.DUMMYFUNCTION("Iferror(IF(
  IFNA(
    FILTER(
      IMPORTRANGE($F$8,""'Sensitivity [""&amp;IF(F$3="""",F$2,F$2&amp;"", ""&amp;F$3)&amp;""]'!D1:D20""),
      IMPORTRANGE($F$8,""'Sensitivity [""&amp;IF(F$3="""",F$2,F$2&amp;"", ""&amp;F$3)&amp;""]'!A1:A20"")=$E20
    ),
    """"
  ) = """",
  ""-"",
  "&amp;"F$5 * ( 1 +
    IFNA(
      FILTER(
        IMPORTRANGE($F$8,""'Sensitivity [""&amp;IF(F$3="""",F$2,F$2&amp;"", ""&amp;F$3)&amp;""]'!D1:D20""),
        IMPORTRANGE($F$8,""'Sensitivity [""&amp;IF(F$3="""",F$2,F$2&amp;"", ""&amp;F$3)&amp;""]'!A1:A20"")=$E20
      ),
      """"
    )
  )
)"&amp;", ""-"")
"),11.179368348063146)</f>
        <v>11.17936835</v>
      </c>
      <c r="G20" s="842" t="s">
        <v>124</v>
      </c>
      <c r="H20" s="831">
        <f>IFERROR(__xludf.DUMMYFUNCTION("iferror(IF(
  IFNA(
    FILTER(
      IMPORTRANGE($F$8,""'Sensitivity [""&amp;IF(F$3="""",F$2,F$2&amp;"", ""&amp;F$3)&amp;""]'!E1:E20""),
      IMPORTRANGE($F$8,""'Sensitivity [""&amp;IF(F$3="""",F$2,F$2&amp;"", ""&amp;F$3)&amp;""]'!A1:A20"")=$E20
    ),
    """"
  ) = """",
  ""-"",
  "&amp;"F$5 * ( 1 +
    IFNA(
      FILTER(
        IMPORTRANGE($F$8,""'Sensitivity [""&amp;IF(F$3="""",F$2,F$2&amp;"", ""&amp;F$3)&amp;""]'!E1:E20""),
        IMPORTRANGE($F$8,""'Sensitivity [""&amp;IF(F$3="""",F$2,F$2&amp;"", ""&amp;F$3)&amp;""]'!A1:A20"")=$E20
      ),
      """"
    )
  )
)"&amp;", ""-"")
"),24.01253569636231)</f>
        <v>24.0125357</v>
      </c>
      <c r="I20" s="830">
        <f>IFERROR(__xludf.DUMMYFUNCTION("Iferror(IF(
  IFNA(
    FILTER(
      IMPORTRANGE($F$8,""'Sensitivity [""&amp;IF(I$3="""",I$2,I$2&amp;"", ""&amp;I$3)&amp;""]'!D1:D20""),
      IMPORTRANGE($F$8,""'Sensitivity [""&amp;IF(I$3="""",I$2,I$2&amp;"", ""&amp;I$3)&amp;""]'!A1:A20"")=$E20
    ),
    """"
  ) = """",
  ""-"",
  "&amp;"I$5 * ( 1 +
    IFNA(
      FILTER(
        IMPORTRANGE($F$8,""'Sensitivity [""&amp;IF(I$3="""",I$2,I$2&amp;"", ""&amp;I$3)&amp;""]'!D1:D20""),
        IMPORTRANGE($F$8,""'Sensitivity [""&amp;IF(I$3="""",I$2,I$2&amp;"", ""&amp;I$3)&amp;""]'!A1:A20"")=$E20
      ),
      """"
    )
  )
)"&amp;", ""-"")
"),6.165969926913169)</f>
        <v>6.165969927</v>
      </c>
      <c r="J20" s="842" t="s">
        <v>124</v>
      </c>
      <c r="K20" s="831">
        <f>IFERROR(__xludf.DUMMYFUNCTION("iferror(IF(
  IFNA(
    FILTER(
      IMPORTRANGE($F$8,""'Sensitivity [""&amp;IF(I$3="""",I$2,I$2&amp;"", ""&amp;I$3)&amp;""]'!E1:E20""),
      IMPORTRANGE($F$8,""'Sensitivity [""&amp;IF(I$3="""",I$2,I$2&amp;"", ""&amp;I$3)&amp;""]'!A1:A20"")=$E20
    ),
    """"
  ) = """",
  ""-"",
  "&amp;"I$5 * ( 1 +
    IFNA(
      FILTER(
        IMPORTRANGE($F$8,""'Sensitivity [""&amp;IF(I$3="""",I$2,I$2&amp;"", ""&amp;I$3)&amp;""]'!E1:E20""),
        IMPORTRANGE($F$8,""'Sensitivity [""&amp;IF(I$3="""",I$2,I$2&amp;"", ""&amp;I$3)&amp;""]'!A1:A20"")=$E20
      ),
      """"
    )
  )
)"&amp;", ""-"")
"),9.463252153421495)</f>
        <v>9.463252153</v>
      </c>
      <c r="L20" s="832" t="str">
        <f>IFERROR(__xludf.DUMMYFUNCTION("Iferror(IF(
  IFNA(
    FILTER(
      IMPORTRANGE($F$8,""'Sensitivity [""&amp;IF(L$3="""",L$2,L$2&amp;"", ""&amp;L$3)&amp;""]'!D1:D20""),
      IMPORTRANGE($F$8,""'Sensitivity [""&amp;IF(L$3="""",L$2,L$2&amp;"", ""&amp;L$3)&amp;""]'!A1:A20"")=$E20
    ),
    """"
  ) = """",
  ""-"",
  "&amp;"L$5 * ( 1 +
    IFNA(
      FILTER(
        IMPORTRANGE($F$8,""'Sensitivity [""&amp;IF(L$3="""",L$2,L$2&amp;"", ""&amp;L$3)&amp;""]'!D1:D20""),
        IMPORTRANGE($F$8,""'Sensitivity [""&amp;IF(L$3="""",L$2,L$2&amp;"", ""&amp;L$3)&amp;""]'!A1:A20"")=$E20
      ),
      """"
    )
  )
)"&amp;", ""-"")
"),"-")</f>
        <v>-</v>
      </c>
      <c r="M20" s="843" t="s">
        <v>124</v>
      </c>
      <c r="N20" s="835" t="str">
        <f>IFERROR(__xludf.DUMMYFUNCTION("iferror(IF(
  IFNA(
    FILTER(
      IMPORTRANGE($F$8,""'Sensitivity [""&amp;IF(L$3="""",L$2,L$2&amp;"", ""&amp;L$3)&amp;""]'!E1:E20""),
      IMPORTRANGE($F$8,""'Sensitivity [""&amp;IF(L$3="""",L$2,L$2&amp;"", ""&amp;L$3)&amp;""]'!A1:A20"")=$E20
    ),
    """"
  ) = """",
  ""-"",
  "&amp;"L$5 * ( 1 +
    IFNA(
      FILTER(
        IMPORTRANGE($F$8,""'Sensitivity [""&amp;IF(L$3="""",L$2,L$2&amp;"", ""&amp;L$3)&amp;""]'!E1:E20""),
        IMPORTRANGE($F$8,""'Sensitivity [""&amp;IF(L$3="""",L$2,L$2&amp;"", ""&amp;L$3)&amp;""]'!A1:A20"")=$E20
      ),
      """"
    )
  )
)"&amp;", ""-"")
"),"-")</f>
        <v>-</v>
      </c>
      <c r="O20" s="832" t="str">
        <f>IFERROR(__xludf.DUMMYFUNCTION("Iferror(IF(
  IFNA(
    FILTER(
      IMPORTRANGE($F$8,""'Sensitivity [""&amp;IF(O$3="""",O$2,O$2&amp;"", ""&amp;O$3)&amp;""]'!D1:D20""),
      IMPORTRANGE($F$8,""'Sensitivity [""&amp;IF(O$3="""",O$2,O$2&amp;"", ""&amp;O$3)&amp;""]'!A1:A20"")=$E20
    ),
    """"
  ) = """",
  ""-"",
  "&amp;"O$5 * ( 1 +
    IFNA(
      FILTER(
        IMPORTRANGE($F$8,""'Sensitivity [""&amp;IF(O$3="""",O$2,O$2&amp;"", ""&amp;O$3)&amp;""]'!D1:D20""),
        IMPORTRANGE($F$8,""'Sensitivity [""&amp;IF(O$3="""",O$2,O$2&amp;"", ""&amp;O$3)&amp;""]'!A1:A20"")=$E20
      ),
      """"
    )
  )
)"&amp;", ""-"")
"),"-")</f>
        <v>-</v>
      </c>
      <c r="P20" s="843" t="s">
        <v>124</v>
      </c>
      <c r="Q20" s="835" t="str">
        <f>IFERROR(__xludf.DUMMYFUNCTION("iferror(IF(
  IFNA(
    FILTER(
      IMPORTRANGE($F$8,""'Sensitivity [""&amp;IF(O$3="""",O$2,O$2&amp;"", ""&amp;O$3)&amp;""]'!E1:E20""),
      IMPORTRANGE($F$8,""'Sensitivity [""&amp;IF(O$3="""",O$2,O$2&amp;"", ""&amp;O$3)&amp;""]'!A1:A20"")=$E20
    ),
    """"
  ) = """",
  ""-"",
  "&amp;"O$5 * ( 1 +
    IFNA(
      FILTER(
        IMPORTRANGE($F$8,""'Sensitivity [""&amp;IF(O$3="""",O$2,O$2&amp;"", ""&amp;O$3)&amp;""]'!E1:E20""),
        IMPORTRANGE($F$8,""'Sensitivity [""&amp;IF(O$3="""",O$2,O$2&amp;"", ""&amp;O$3)&amp;""]'!A1:A20"")=$E20
      ),
      """"
    )
  )
)"&amp;", ""-"")
"),"-")</f>
        <v>-</v>
      </c>
      <c r="R20" s="832" t="str">
        <f>IFERROR(__xludf.DUMMYFUNCTION("Iferror(IF(
  IFNA(
    FILTER(
      IMPORTRANGE($F$8,""'Sensitivity [""&amp;IF(R$3="""",R$2,R$2&amp;"", ""&amp;R$3)&amp;""]'!D1:D20""),
      IMPORTRANGE($F$8,""'Sensitivity [""&amp;IF(R$3="""",R$2,R$2&amp;"", ""&amp;R$3)&amp;""]'!A1:A20"")=$E20
    ),
    """"
  ) = """",
  ""-"",
  "&amp;"R$5 * ( 1 +
    IFNA(
      FILTER(
        IMPORTRANGE($F$8,""'Sensitivity [""&amp;IF(R$3="""",R$2,R$2&amp;"", ""&amp;R$3)&amp;""]'!D1:D20""),
        IMPORTRANGE($F$8,""'Sensitivity [""&amp;IF(R$3="""",R$2,R$2&amp;"", ""&amp;R$3)&amp;""]'!A1:A20"")=$E20
      ),
      """"
    )
  )
)"&amp;", ""-"")
"),"-")</f>
        <v>-</v>
      </c>
      <c r="S20" s="843" t="s">
        <v>124</v>
      </c>
      <c r="T20" s="835" t="str">
        <f>IFERROR(__xludf.DUMMYFUNCTION("iferror(IF(
  IFNA(
    FILTER(
      IMPORTRANGE($F$8,""'Sensitivity [""&amp;IF(R$3="""",R$2,R$2&amp;"", ""&amp;R$3)&amp;""]'!E1:E20""),
      IMPORTRANGE($F$8,""'Sensitivity [""&amp;IF(R$3="""",R$2,R$2&amp;"", ""&amp;R$3)&amp;""]'!A1:A20"")=$E20
    ),
    """"
  ) = """",
  ""-"",
  "&amp;"R$5 * ( 1 +
    IFNA(
      FILTER(
        IMPORTRANGE($F$8,""'Sensitivity [""&amp;IF(R$3="""",R$2,R$2&amp;"", ""&amp;R$3)&amp;""]'!E1:E20""),
        IMPORTRANGE($F$8,""'Sensitivity [""&amp;IF(R$3="""",R$2,R$2&amp;"", ""&amp;R$3)&amp;""]'!A1:A20"")=$E20
      ),
      """"
    )
  )
)"&amp;", ""-"")
"),"-")</f>
        <v>-</v>
      </c>
      <c r="U20" s="832" t="str">
        <f>IFERROR(__xludf.DUMMYFUNCTION("Iferror(IF(
  IFNA(
    FILTER(
      IMPORTRANGE($F$8,""'Sensitivity [""&amp;IF(U$3="""",U$2,U$2&amp;"", ""&amp;U$3)&amp;""]'!D1:D20""),
      IMPORTRANGE($F$8,""'Sensitivity [""&amp;IF(U$3="""",U$2,U$2&amp;"", ""&amp;U$3)&amp;""]'!A1:A20"")=$E20
    ),
    """"
  ) = """",
  ""-"",
  "&amp;"U$5 * ( 1 +
    IFNA(
      FILTER(
        IMPORTRANGE($F$8,""'Sensitivity [""&amp;IF(U$3="""",U$2,U$2&amp;"", ""&amp;U$3)&amp;""]'!D1:D20""),
        IMPORTRANGE($F$8,""'Sensitivity [""&amp;IF(U$3="""",U$2,U$2&amp;"", ""&amp;U$3)&amp;""]'!A1:A20"")=$E20
      ),
      """"
    )
  )
)"&amp;", ""-"")
"),"-")</f>
        <v>-</v>
      </c>
      <c r="V20" s="843" t="s">
        <v>124</v>
      </c>
      <c r="W20" s="835" t="str">
        <f>IFERROR(__xludf.DUMMYFUNCTION("iferror(IF(
  IFNA(
    FILTER(
      IMPORTRANGE($F$8,""'Sensitivity [""&amp;IF(U$3="""",U$2,U$2&amp;"", ""&amp;U$3)&amp;""]'!E1:E20""),
      IMPORTRANGE($F$8,""'Sensitivity [""&amp;IF(U$3="""",U$2,U$2&amp;"", ""&amp;U$3)&amp;""]'!A1:A20"")=$E20
    ),
    """"
  ) = """",
  ""-"",
  "&amp;"U$5 * ( 1 +
    IFNA(
      FILTER(
        IMPORTRANGE($F$8,""'Sensitivity [""&amp;IF(U$3="""",U$2,U$2&amp;"", ""&amp;U$3)&amp;""]'!E1:E20""),
        IMPORTRANGE($F$8,""'Sensitivity [""&amp;IF(U$3="""",U$2,U$2&amp;"", ""&amp;U$3)&amp;""]'!A1:A20"")=$E20
      ),
      """"
    )
  )
)"&amp;", ""-"")
"),"-")</f>
        <v>-</v>
      </c>
      <c r="X20" s="832" t="str">
        <f>IFERROR(__xludf.DUMMYFUNCTION("Iferror(IF(
  IFNA(
    FILTER(
      IMPORTRANGE($F$8,""'Sensitivity [""&amp;IF(X$3="""",X$2,X$2&amp;"", ""&amp;X$3)&amp;""]'!D1:D20""),
      IMPORTRANGE($F$8,""'Sensitivity [""&amp;IF(X$3="""",X$2,X$2&amp;"", ""&amp;X$3)&amp;""]'!A1:A20"")=$E20
    ),
    """"
  ) = """",
  ""-"",
  "&amp;"X$5 * ( 1 +
    IFNA(
      FILTER(
        IMPORTRANGE($F$8,""'Sensitivity [""&amp;IF(X$3="""",X$2,X$2&amp;"", ""&amp;X$3)&amp;""]'!D1:D20""),
        IMPORTRANGE($F$8,""'Sensitivity [""&amp;IF(X$3="""",X$2,X$2&amp;"", ""&amp;X$3)&amp;""]'!A1:A20"")=$E20
      ),
      """"
    )
  )
)"&amp;", ""-"")
"),"-")</f>
        <v>-</v>
      </c>
      <c r="Y20" s="843" t="s">
        <v>124</v>
      </c>
      <c r="Z20" s="835" t="str">
        <f>IFERROR(__xludf.DUMMYFUNCTION("iferror(IF(
  IFNA(
    FILTER(
      IMPORTRANGE($F$8,""'Sensitivity [""&amp;IF(X$3="""",X$2,X$2&amp;"", ""&amp;X$3)&amp;""]'!E1:E20""),
      IMPORTRANGE($F$8,""'Sensitivity [""&amp;IF(X$3="""",X$2,X$2&amp;"", ""&amp;X$3)&amp;""]'!A1:A20"")=$E20
    ),
    """"
  ) = """",
  ""-"",
  "&amp;"X$5 * ( 1 +
    IFNA(
      FILTER(
        IMPORTRANGE($F$8,""'Sensitivity [""&amp;IF(X$3="""",X$2,X$2&amp;"", ""&amp;X$3)&amp;""]'!E1:E20""),
        IMPORTRANGE($F$8,""'Sensitivity [""&amp;IF(X$3="""",X$2,X$2&amp;"", ""&amp;X$3)&amp;""]'!A1:A20"")=$E20
      ),
      """"
    )
  )
)"&amp;", ""-"")
"),"-")</f>
        <v>-</v>
      </c>
      <c r="AA20" s="832">
        <f>IFERROR(__xludf.DUMMYFUNCTION("Iferror(IF(
  IFNA(
    FILTER(
      IMPORTRANGE($F$8,""'Sensitivity [""&amp;IF(AA$3="""",AA$2,AA$2&amp;"", ""&amp;AA$3)&amp;""]'!D1:D20""),
      IMPORTRANGE($F$8,""'Sensitivity [""&amp;IF(AA$3="""",AA$2,AA$2&amp;"", ""&amp;AA$3)&amp;""]'!A1:A20"")=$E20
    ),
    """"
  ) = """",
  "&amp;"""-"",
  AA$5 * ( 1 +
    IFNA(
      FILTER(
        IMPORTRANGE($F$8,""'Sensitivity [""&amp;IF(AA$3="""",AA$2,AA$2&amp;"", ""&amp;AA$3)&amp;""]'!D1:D20""),
        IMPORTRANGE($F$8,""'Sensitivity [""&amp;IF(AA$3="""",AA$2,AA$2&amp;"", ""&amp;AA$3)&amp;""]'!A1:A20"")=$E20
      ),
    "&amp;"  """"
    )
  )
), ""-"")
"),16.948482763325977)</f>
        <v>16.94848276</v>
      </c>
      <c r="AB20" s="843" t="s">
        <v>124</v>
      </c>
      <c r="AC20" s="835">
        <f>IFERROR(__xludf.DUMMYFUNCTION("iferror(IF(
  IFNA(
    FILTER(
      IMPORTRANGE($F$8,""'Sensitivity [""&amp;IF(AA$3="""",AA$2,AA$2&amp;"", ""&amp;AA$3)&amp;""]'!E1:E20""),
      IMPORTRANGE($F$8,""'Sensitivity [""&amp;IF(AA$3="""",AA$2,AA$2&amp;"", ""&amp;AA$3)&amp;""]'!A1:A20"")=$E20
    ),
    """"
  ) = """",
  "&amp;"""-"",
  AA$5 * ( 1 +
    IFNA(
      FILTER(
        IMPORTRANGE($F$8,""'Sensitivity [""&amp;IF(AA$3="""",AA$2,AA$2&amp;"", ""&amp;AA$3)&amp;""]'!E1:E20""),
        IMPORTRANGE($F$8,""'Sensitivity [""&amp;IF(AA$3="""",AA$2,AA$2&amp;"", ""&amp;AA$3)&amp;""]'!A1:A20"")=$E20
      ),
    "&amp;"  """"
    )
  )
), ""-"")
"),23.070633765433676)</f>
        <v>23.07063377</v>
      </c>
      <c r="AD20" s="832">
        <f>IFERROR(__xludf.DUMMYFUNCTION("Iferror(IF(
  IFNA(
    FILTER(
      IMPORTRANGE($F$8,""'Sensitivity [""&amp;IF(AD$3="""",AD$2,AD$2&amp;"", ""&amp;AD$3)&amp;""]'!D1:D20""),
      IMPORTRANGE($F$8,""'Sensitivity [""&amp;IF(AD$3="""",AD$2,AD$2&amp;"", ""&amp;AD$3)&amp;""]'!A1:A20"")=$E20
    ),
    """"
  ) = """",
  "&amp;"""-"",
  AD$5 * ( 1 +
    IFNA(
      FILTER(
        IMPORTRANGE($F$8,""'Sensitivity [""&amp;IF(AD$3="""",AD$2,AD$2&amp;"", ""&amp;AD$3)&amp;""]'!D1:D20""),
        IMPORTRANGE($F$8,""'Sensitivity [""&amp;IF(AD$3="""",AD$2,AD$2&amp;"", ""&amp;AD$3)&amp;""]'!A1:A20"")=$E20
      ),
    "&amp;"  """"
    )
  )
), ""-"")
"),15.396765617490308)</f>
        <v>15.39676562</v>
      </c>
      <c r="AE20" s="843" t="s">
        <v>124</v>
      </c>
      <c r="AF20" s="835">
        <f>IFERROR(__xludf.DUMMYFUNCTION("iferror(IF(
  IFNA(
    FILTER(
      IMPORTRANGE($F$8,""'Sensitivity [""&amp;IF(AD$3="""",AD$2,AD$2&amp;"", ""&amp;AD$3)&amp;""]'!E1:E20""),
      IMPORTRANGE($F$8,""'Sensitivity [""&amp;IF(AD$3="""",AD$2,AD$2&amp;"", ""&amp;AD$3)&amp;""]'!A1:A20"")=$E20
    ),
    """"
  ) = """",
  "&amp;"""-"",
  AD$5 * ( 1 +
    IFNA(
      FILTER(
        IMPORTRANGE($F$8,""'Sensitivity [""&amp;IF(AD$3="""",AD$2,AD$2&amp;"", ""&amp;AD$3)&amp;""]'!E1:E20""),
        IMPORTRANGE($F$8,""'Sensitivity [""&amp;IF(AD$3="""",AD$2,AD$2&amp;"", ""&amp;AD$3)&amp;""]'!A1:A20"")=$E20
      ),
    "&amp;"  """"
    )
  )
), ""-"")
"),18.547637747925744)</f>
        <v>18.54763775</v>
      </c>
      <c r="AG20" s="832">
        <f>IFERROR(__xludf.DUMMYFUNCTION("Iferror(IF(
  IFNA(
    FILTER(
      IMPORTRANGE($F$8,""'Sensitivity [""&amp;IF(AG$3="""",AG$2,AG$2&amp;"", ""&amp;AG$3)&amp;""]'!D1:D20""),
      IMPORTRANGE($F$8,""'Sensitivity [""&amp;IF(AG$3="""",AG$2,AG$2&amp;"", ""&amp;AG$3)&amp;""]'!A1:A20"")=$E20
    ),
    """"
  ) = """",
  "&amp;"""-"",
  AG$5 * ( 1 +
    IFNA(
      FILTER(
        IMPORTRANGE($F$8,""'Sensitivity [""&amp;IF(AG$3="""",AG$2,AG$2&amp;"", ""&amp;AG$3)&amp;""]'!D1:D20""),
        IMPORTRANGE($F$8,""'Sensitivity [""&amp;IF(AG$3="""",AG$2,AG$2&amp;"", ""&amp;AG$3)&amp;""]'!A1:A20"")=$E20
      ),
    "&amp;"  """"
    )
  )
), ""-"")
"),14.920996542879433)</f>
        <v>14.92099654</v>
      </c>
      <c r="AH20" s="843" t="s">
        <v>124</v>
      </c>
      <c r="AI20" s="835">
        <f>IFERROR(__xludf.DUMMYFUNCTION("iferror(IF(
  IFNA(
    FILTER(
      IMPORTRANGE($F$8,""'Sensitivity [""&amp;IF(AG$3="""",AG$2,AG$2&amp;"", ""&amp;AG$3)&amp;""]'!E1:E20""),
      IMPORTRANGE($F$8,""'Sensitivity [""&amp;IF(AG$3="""",AG$2,AG$2&amp;"", ""&amp;AG$3)&amp;""]'!A1:A20"")=$E20
    ),
    """"
  ) = """",
  "&amp;"""-"",
  AG$5 * ( 1 +
    IFNA(
      FILTER(
        IMPORTRANGE($F$8,""'Sensitivity [""&amp;IF(AG$3="""",AG$2,AG$2&amp;"", ""&amp;AG$3)&amp;""]'!E1:E20""),
        IMPORTRANGE($F$8,""'Sensitivity [""&amp;IF(AG$3="""",AG$2,AG$2&amp;"", ""&amp;AG$3)&amp;""]'!A1:A20"")=$E20
      ),
    "&amp;"  """"
    )
  )
), ""-"")
"),16.85003227398213)</f>
        <v>16.85003227</v>
      </c>
      <c r="AJ20" s="832">
        <f>IFERROR(__xludf.DUMMYFUNCTION("Iferror(IF(
  IFNA(
    FILTER(
      IMPORTRANGE($F$8,""'Sensitivity [""&amp;IF(AJ$3="""",AJ$2,AJ$2&amp;"", ""&amp;AJ$3)&amp;""]'!D1:D20""),
      IMPORTRANGE($F$8,""'Sensitivity [""&amp;IF(AJ$3="""",AJ$2,AJ$2&amp;"", ""&amp;AJ$3)&amp;""]'!A1:A20"")=$E20
    ),
    """"
  ) = """",
  "&amp;"""-"",
  AJ$5 * ( 1 +
    IFNA(
      FILTER(
        IMPORTRANGE($F$8,""'Sensitivity [""&amp;IF(AJ$3="""",AJ$2,AJ$2&amp;"", ""&amp;AJ$3)&amp;""]'!D1:D20""),
        IMPORTRANGE($F$8,""'Sensitivity [""&amp;IF(AJ$3="""",AJ$2,AJ$2&amp;"", ""&amp;AJ$3)&amp;""]'!A1:A20"")=$E20
      ),
    "&amp;"  """"
    )
  )
), ""-"")
"),22.753387982793758)</f>
        <v>22.75338798</v>
      </c>
      <c r="AK20" s="843" t="s">
        <v>124</v>
      </c>
      <c r="AL20" s="835">
        <f>IFERROR(__xludf.DUMMYFUNCTION("iferror(IF(
  IFNA(
    FILTER(
      IMPORTRANGE($F$8,""'Sensitivity [""&amp;IF(AJ$3="""",AJ$2,AJ$2&amp;"", ""&amp;AJ$3)&amp;""]'!E1:E20""),
      IMPORTRANGE($F$8,""'Sensitivity [""&amp;IF(AJ$3="""",AJ$2,AJ$2&amp;"", ""&amp;AJ$3)&amp;""]'!A1:A20"")=$E20
    ),
    """"
  ) = """",
  "&amp;"""-"",
  AJ$5 * ( 1 +
    IFNA(
      FILTER(
        IMPORTRANGE($F$8,""'Sensitivity [""&amp;IF(AJ$3="""",AJ$2,AJ$2&amp;"", ""&amp;AJ$3)&amp;""]'!E1:E20""),
        IMPORTRANGE($F$8,""'Sensitivity [""&amp;IF(AJ$3="""",AJ$2,AJ$2&amp;"", ""&amp;AJ$3)&amp;""]'!A1:A20"")=$E20
      ),
    "&amp;"  """"
    )
  )
), ""-"")
"),32.05492182102992)</f>
        <v>32.05492182</v>
      </c>
      <c r="AM20" s="832">
        <f>IFERROR(__xludf.DUMMYFUNCTION("Iferror(IF(
  IFNA(
    FILTER(
      IMPORTRANGE($F$8,""'Sensitivity [""&amp;IF(AM$3="""",AM$2,AM$2&amp;"", ""&amp;AM$3)&amp;""]'!D1:D20""),
      IMPORTRANGE($F$8,""'Sensitivity [""&amp;IF(AM$3="""",AM$2,AM$2&amp;"", ""&amp;AM$3)&amp;""]'!A1:A20"")=$E20
    ),
    """"
  ) = """",
  "&amp;"""-"",
  AM$5 * ( 1 +
    IFNA(
      FILTER(
        IMPORTRANGE($F$8,""'Sensitivity [""&amp;IF(AM$3="""",AM$2,AM$2&amp;"", ""&amp;AM$3)&amp;""]'!D1:D20""),
        IMPORTRANGE($F$8,""'Sensitivity [""&amp;IF(AM$3="""",AM$2,AM$2&amp;"", ""&amp;AM$3)&amp;""]'!A1:A20"")=$E20
      ),
    "&amp;"  """"
    )
  )
), ""-"")
"),18.073549514583835)</f>
        <v>18.07354951</v>
      </c>
      <c r="AN20" s="843" t="s">
        <v>124</v>
      </c>
      <c r="AO20" s="835">
        <f>IFERROR(__xludf.DUMMYFUNCTION("iferror(IF(
  IFNA(
    FILTER(
      IMPORTRANGE($F$8,""'Sensitivity [""&amp;IF(AM$3="""",AM$2,AM$2&amp;"", ""&amp;AM$3)&amp;""]'!E1:E20""),
      IMPORTRANGE($F$8,""'Sensitivity [""&amp;IF(AM$3="""",AM$2,AM$2&amp;"", ""&amp;AM$3)&amp;""]'!A1:A20"")=$E20
    ),
    """"
  ) = """",
  "&amp;"""-"",
  AM$5 * ( 1 +
    IFNA(
      FILTER(
        IMPORTRANGE($F$8,""'Sensitivity [""&amp;IF(AM$3="""",AM$2,AM$2&amp;"", ""&amp;AM$3)&amp;""]'!E1:E20""),
        IMPORTRANGE($F$8,""'Sensitivity [""&amp;IF(AM$3="""",AM$2,AM$2&amp;"", ""&amp;AM$3)&amp;""]'!A1:A20"")=$E20
      ),
    "&amp;"  """"
    )
  )
), ""-"")
"),21.766599774309338)</f>
        <v>21.76659977</v>
      </c>
      <c r="AP20" s="832">
        <f>IFERROR(__xludf.DUMMYFUNCTION("Iferror(IF(
  IFNA(
    FILTER(
      IMPORTRANGE($F$8,""'Sensitivity [""&amp;IF(AP$3="""",AP$2,AP$2&amp;"", ""&amp;AP$3)&amp;""]'!D1:D20""),
      IMPORTRANGE($F$8,""'Sensitivity [""&amp;IF(AP$3="""",AP$2,AP$2&amp;"", ""&amp;AP$3)&amp;""]'!A1:A20"")=$E20
    ),
    """"
  ) = """",
  "&amp;"""-"",
  AP$5 * ( 1 +
    IFNA(
      FILTER(
        IMPORTRANGE($F$8,""'Sensitivity [""&amp;IF(AP$3="""",AP$2,AP$2&amp;"", ""&amp;AP$3)&amp;""]'!D1:D20""),
        IMPORTRANGE($F$8,""'Sensitivity [""&amp;IF(AP$3="""",AP$2,AP$2&amp;"", ""&amp;AP$3)&amp;""]'!A1:A20"")=$E20
      ),
    "&amp;"  """"
    )
  )
), ""-"")
"),17.351081842609553)</f>
        <v>17.35108184</v>
      </c>
      <c r="AQ20" s="843" t="s">
        <v>124</v>
      </c>
      <c r="AR20" s="835">
        <f>IFERROR(__xludf.DUMMYFUNCTION("iferror(IF(
  IFNA(
    FILTER(
      IMPORTRANGE($F$8,""'Sensitivity [""&amp;IF(AP$3="""",AP$2,AP$2&amp;"", ""&amp;AP$3)&amp;""]'!E1:E20""),
      IMPORTRANGE($F$8,""'Sensitivity [""&amp;IF(AP$3="""",AP$2,AP$2&amp;"", ""&amp;AP$3)&amp;""]'!A1:A20"")=$E20
    ),
    """"
  ) = """",
  "&amp;"""-"",
  AP$5 * ( 1 +
    IFNA(
      FILTER(
        IMPORTRANGE($F$8,""'Sensitivity [""&amp;IF(AP$3="""",AP$2,AP$2&amp;"", ""&amp;AP$3)&amp;""]'!E1:E20""),
        IMPORTRANGE($F$8,""'Sensitivity [""&amp;IF(AP$3="""",AP$2,AP$2&amp;"", ""&amp;AP$3)&amp;""]'!A1:A20"")=$E20
      ),
    "&amp;"  """"
    )
  )
), ""-"")
"),24.07946677704958)</f>
        <v>24.07946678</v>
      </c>
      <c r="AS20" s="832">
        <f>IFERROR(__xludf.DUMMYFUNCTION("Iferror(IF(
  IFNA(
    FILTER(
      IMPORTRANGE($F$8,""'Sensitivity [""&amp;IF(AS$3="""",AS$2,AS$2&amp;"", ""&amp;AS$3)&amp;""]'!D1:D20""),
      IMPORTRANGE($F$8,""'Sensitivity [""&amp;IF(AS$3="""",AS$2,AS$2&amp;"", ""&amp;AS$3)&amp;""]'!A1:A20"")=$E20
    ),
    """"
  ) = """",
  "&amp;"""-"",
  AS$5 * ( 1 +
    IFNA(
      FILTER(
        IMPORTRANGE($F$8,""'Sensitivity [""&amp;IF(AS$3="""",AS$2,AS$2&amp;"", ""&amp;AS$3)&amp;""]'!D1:D20""),
        IMPORTRANGE($F$8,""'Sensitivity [""&amp;IF(AS$3="""",AS$2,AS$2&amp;"", ""&amp;AS$3)&amp;""]'!A1:A20"")=$E20
      ),
    "&amp;"  """"
    )
  )
), ""-"")
"),21.337504185884907)</f>
        <v>21.33750419</v>
      </c>
      <c r="AT20" s="843" t="s">
        <v>124</v>
      </c>
      <c r="AU20" s="835">
        <f>IFERROR(__xludf.DUMMYFUNCTION("iferror(IF(
  IFNA(
    FILTER(
      IMPORTRANGE($F$8,""'Sensitivity [""&amp;IF(AS$3="""",AS$2,AS$2&amp;"", ""&amp;AS$3)&amp;""]'!E1:E20""),
      IMPORTRANGE($F$8,""'Sensitivity [""&amp;IF(AS$3="""",AS$2,AS$2&amp;"", ""&amp;AS$3)&amp;""]'!A1:A20"")=$E20
    ),
    """"
  ) = """",
  "&amp;"""-"",
  AS$5 * ( 1 +
    IFNA(
      FILTER(
        IMPORTRANGE($F$8,""'Sensitivity [""&amp;IF(AS$3="""",AS$2,AS$2&amp;"", ""&amp;AS$3)&amp;""]'!E1:E20""),
        IMPORTRANGE($F$8,""'Sensitivity [""&amp;IF(AS$3="""",AS$2,AS$2&amp;"", ""&amp;AS$3)&amp;""]'!A1:A20"")=$E20
      ),
    "&amp;"  """"
    )
  )
), ""-"")
"),27.22251312213709)</f>
        <v>27.22251312</v>
      </c>
      <c r="AV20" s="832">
        <f>IFERROR(__xludf.DUMMYFUNCTION("Iferror(IF(
  IFNA(
    FILTER(
      IMPORTRANGE($F$8,""'Sensitivity [""&amp;IF(AV$3="""",AV$2,AV$2&amp;"", ""&amp;AV$3)&amp;""]'!D1:D20""),
      IMPORTRANGE($F$8,""'Sensitivity [""&amp;IF(AV$3="""",AV$2,AV$2&amp;"", ""&amp;AV$3)&amp;""]'!A1:A20"")=$E20
    ),
    """"
  ) = """",
  "&amp;"""-"",
  AV$5 * ( 1 +
    IFNA(
      FILTER(
        IMPORTRANGE($F$8,""'Sensitivity [""&amp;IF(AV$3="""",AV$2,AV$2&amp;"", ""&amp;AV$3)&amp;""]'!D1:D20""),
        IMPORTRANGE($F$8,""'Sensitivity [""&amp;IF(AV$3="""",AV$2,AV$2&amp;"", ""&amp;AV$3)&amp;""]'!A1:A20"")=$E20
      ),
    "&amp;"  """"
    )
  )
), ""-"")
"),12.809171962229883)</f>
        <v>12.80917196</v>
      </c>
      <c r="AW20" s="843" t="s">
        <v>124</v>
      </c>
      <c r="AX20" s="835">
        <f>IFERROR(__xludf.DUMMYFUNCTION("iferror(IF(
  IFNA(
    FILTER(
      IMPORTRANGE($F$8,""'Sensitivity [""&amp;IF(AV$3="""",AV$2,AV$2&amp;"", ""&amp;AV$3)&amp;""]'!E1:E20""),
      IMPORTRANGE($F$8,""'Sensitivity [""&amp;IF(AV$3="""",AV$2,AV$2&amp;"", ""&amp;AV$3)&amp;""]'!A1:A20"")=$E20
    ),
    """"
  ) = """",
  "&amp;"""-"",
  AV$5 * ( 1 +
    IFNA(
      FILTER(
        IMPORTRANGE($F$8,""'Sensitivity [""&amp;IF(AV$3="""",AV$2,AV$2&amp;"", ""&amp;AV$3)&amp;""]'!E1:E20""),
        IMPORTRANGE($F$8,""'Sensitivity [""&amp;IF(AV$3="""",AV$2,AV$2&amp;"", ""&amp;AV$3)&amp;""]'!A1:A20"")=$E20
      ),
    "&amp;"  """"
    )
  )
), ""-"")
"),17.18991360905208)</f>
        <v>17.18991361</v>
      </c>
      <c r="AY20" s="832">
        <f>IFERROR(__xludf.DUMMYFUNCTION("Iferror(IF(
  IFNA(
    FILTER(
      IMPORTRANGE($F$8,""'Sensitivity [""&amp;IF(AY$3="""",AY$2,AY$2&amp;"", ""&amp;AY$3)&amp;""]'!D1:D20""),
      IMPORTRANGE($F$8,""'Sensitivity [""&amp;IF(AY$3="""",AY$2,AY$2&amp;"", ""&amp;AY$3)&amp;""]'!A1:A20"")=$E20
    ),
    """"
  ) = """",
  "&amp;"""-"",
  AY$5 * ( 1 +
    IFNA(
      FILTER(
        IMPORTRANGE($F$8,""'Sensitivity [""&amp;IF(AY$3="""",AY$2,AY$2&amp;"", ""&amp;AY$3)&amp;""]'!D1:D20""),
        IMPORTRANGE($F$8,""'Sensitivity [""&amp;IF(AY$3="""",AY$2,AY$2&amp;"", ""&amp;AY$3)&amp;""]'!A1:A20"")=$E20
      ),
    "&amp;"  """"
    )
  )
), ""-"")
"),23.478884832619244)</f>
        <v>23.47888483</v>
      </c>
      <c r="AZ20" s="843" t="s">
        <v>124</v>
      </c>
      <c r="BA20" s="835">
        <f>IFERROR(__xludf.DUMMYFUNCTION("iferror(IF(
  IFNA(
    FILTER(
      IMPORTRANGE($F$8,""'Sensitivity [""&amp;IF(AY$3="""",AY$2,AY$2&amp;"", ""&amp;AY$3)&amp;""]'!E1:E20""),
      IMPORTRANGE($F$8,""'Sensitivity [""&amp;IF(AY$3="""",AY$2,AY$2&amp;"", ""&amp;AY$3)&amp;""]'!A1:A20"")=$E20
    ),
    """"
  ) = """",
  "&amp;"""-"",
  AY$5 * ( 1 +
    IFNA(
      FILTER(
        IMPORTRANGE($F$8,""'Sensitivity [""&amp;IF(AY$3="""",AY$2,AY$2&amp;"", ""&amp;AY$3)&amp;""]'!E1:E20""),
        IMPORTRANGE($F$8,""'Sensitivity [""&amp;IF(AY$3="""",AY$2,AY$2&amp;"", ""&amp;AY$3)&amp;""]'!A1:A20"")=$E20
      ),
    "&amp;"  """"
    )
  )
), ""-"")
"),32.56419956267262)</f>
        <v>32.56419956</v>
      </c>
      <c r="BB20" s="832">
        <f>IFERROR(__xludf.DUMMYFUNCTION("Iferror(IF(
  IFNA(
    FILTER(
      IMPORTRANGE($F$8,""'Sensitivity [""&amp;IF(BB$3="""",BB$2,BB$2&amp;"", ""&amp;BB$3)&amp;""]'!D1:D20""),
      IMPORTRANGE($F$8,""'Sensitivity [""&amp;IF(BB$3="""",BB$2,BB$2&amp;"", ""&amp;BB$3)&amp;""]'!A1:A20"")=$E20
    ),
    """"
  ) = """",
  "&amp;"""-"",
  BB$5 * ( 1 +
    IFNA(
      FILTER(
        IMPORTRANGE($F$8,""'Sensitivity [""&amp;IF(BB$3="""",BB$2,BB$2&amp;"", ""&amp;BB$3)&amp;""]'!D1:D20""),
        IMPORTRANGE($F$8,""'Sensitivity [""&amp;IF(BB$3="""",BB$2,BB$2&amp;"", ""&amp;BB$3)&amp;""]'!A1:A20"")=$E20
      ),
    "&amp;"  """"
    )
  )
), ""-"")
"),4.702314170442484)</f>
        <v>4.70231417</v>
      </c>
      <c r="BC20" s="843" t="s">
        <v>124</v>
      </c>
      <c r="BD20" s="835">
        <f>IFERROR(__xludf.DUMMYFUNCTION("iferror(IF(
  IFNA(
    FILTER(
      IMPORTRANGE($F$8,""'Sensitivity [""&amp;IF(BB$3="""",BB$2,BB$2&amp;"", ""&amp;BB$3)&amp;""]'!E1:E20""),
      IMPORTRANGE($F$8,""'Sensitivity [""&amp;IF(BB$3="""",BB$2,BB$2&amp;"", ""&amp;BB$3)&amp;""]'!A1:A20"")=$E20
    ),
    """"
  ) = """",
  "&amp;"""-"",
  BB$5 * ( 1 +
    IFNA(
      FILTER(
        IMPORTRANGE($F$8,""'Sensitivity [""&amp;IF(BB$3="""",BB$2,BB$2&amp;"", ""&amp;BB$3)&amp;""]'!E1:E20""),
        IMPORTRANGE($F$8,""'Sensitivity [""&amp;IF(BB$3="""",BB$2,BB$2&amp;"", ""&amp;BB$3)&amp;""]'!A1:A20"")=$E20
      ),
    "&amp;"  """"
    )
  )
), ""-"")
"),15.312362577579558)</f>
        <v>15.31236258</v>
      </c>
      <c r="BE20" s="832" t="str">
        <f>IFERROR(__xludf.DUMMYFUNCTION("Iferror(IF(
  IFNA(
    FILTER(
      IMPORTRANGE($F$8,""'Sensitivity [""&amp;IF(BE$3="""",BE$2,BE$2&amp;"", ""&amp;BE$3)&amp;""]'!D1:D20""),
      IMPORTRANGE($F$8,""'Sensitivity [""&amp;IF(BE$3="""",BE$2,BE$2&amp;"", ""&amp;BE$3)&amp;""]'!A1:A20"")=$E20
    ),
    """"
  ) = """",
  "&amp;"""-"",
  BE$5 * ( 1 +
    IFNA(
      FILTER(
        IMPORTRANGE($F$8,""'Sensitivity [""&amp;IF(BE$3="""",BE$2,BE$2&amp;"", ""&amp;BE$3)&amp;""]'!D1:D20""),
        IMPORTRANGE($F$8,""'Sensitivity [""&amp;IF(BE$3="""",BE$2,BE$2&amp;"", ""&amp;BE$3)&amp;""]'!A1:A20"")=$E20
      ),
    "&amp;"  """"
    )
  )
), ""-"")
"),"-")</f>
        <v>-</v>
      </c>
      <c r="BF20" s="843" t="s">
        <v>124</v>
      </c>
      <c r="BG20" s="835" t="str">
        <f>IFERROR(__xludf.DUMMYFUNCTION("iferror(IF(
  IFNA(
    FILTER(
      IMPORTRANGE($F$8,""'Sensitivity [""&amp;IF(BE$3="""",BE$2,BE$2&amp;"", ""&amp;BE$3)&amp;""]'!E1:E20""),
      IMPORTRANGE($F$8,""'Sensitivity [""&amp;IF(BE$3="""",BE$2,BE$2&amp;"", ""&amp;BE$3)&amp;""]'!A1:A20"")=$E20
    ),
    """"
  ) = """",
  "&amp;"""-"",
  BE$5 * ( 1 +
    IFNA(
      FILTER(
        IMPORTRANGE($F$8,""'Sensitivity [""&amp;IF(BE$3="""",BE$2,BE$2&amp;"", ""&amp;BE$3)&amp;""]'!E1:E20""),
        IMPORTRANGE($F$8,""'Sensitivity [""&amp;IF(BE$3="""",BE$2,BE$2&amp;"", ""&amp;BE$3)&amp;""]'!A1:A20"")=$E20
      ),
    "&amp;"  """"
    )
  )
), ""-"")
"),"-")</f>
        <v>-</v>
      </c>
      <c r="BH20" s="615"/>
    </row>
    <row r="21">
      <c r="A21" s="895"/>
      <c r="B21" s="400"/>
      <c r="C21" s="400"/>
      <c r="D21" s="400"/>
      <c r="E21" s="616" t="str">
        <f t="shared" si="1"/>
        <v>Moral value of averting the death of a person under age five</v>
      </c>
      <c r="F21" s="830" t="str">
        <f>IFERROR(__xludf.DUMMYFUNCTION("Iferror(IF(
  IFNA(
    FILTER(
      IMPORTRANGE($F$8,""'Sensitivity [""&amp;IF(F$3="""",F$2,F$2&amp;"", ""&amp;F$3)&amp;""]'!D1:D20""),
      IMPORTRANGE($F$8,""'Sensitivity [""&amp;IF(F$3="""",F$2,F$2&amp;"", ""&amp;F$3)&amp;""]'!A1:A20"")=$E21
    ),
    """"
  ) = """",
  ""-"",
  "&amp;"F$5 * ( 1 +
    IFNA(
      FILTER(
        IMPORTRANGE($F$8,""'Sensitivity [""&amp;IF(F$3="""",F$2,F$2&amp;"", ""&amp;F$3)&amp;""]'!D1:D20""),
        IMPORTRANGE($F$8,""'Sensitivity [""&amp;IF(F$3="""",F$2,F$2&amp;"", ""&amp;F$3)&amp;""]'!A1:A20"")=$E21
      ),
      """"
    )
  )
)"&amp;", ""-"")
"),"-")</f>
        <v>-</v>
      </c>
      <c r="G21" s="842" t="s">
        <v>124</v>
      </c>
      <c r="H21" s="831" t="str">
        <f>IFERROR(__xludf.DUMMYFUNCTION("iferror(IF(
  IFNA(
    FILTER(
      IMPORTRANGE($F$8,""'Sensitivity [""&amp;IF(F$3="""",F$2,F$2&amp;"", ""&amp;F$3)&amp;""]'!E1:E20""),
      IMPORTRANGE($F$8,""'Sensitivity [""&amp;IF(F$3="""",F$2,F$2&amp;"", ""&amp;F$3)&amp;""]'!A1:A20"")=$E21
    ),
    """"
  ) = """",
  ""-"",
  "&amp;"F$5 * ( 1 +
    IFNA(
      FILTER(
        IMPORTRANGE($F$8,""'Sensitivity [""&amp;IF(F$3="""",F$2,F$2&amp;"", ""&amp;F$3)&amp;""]'!E1:E20""),
        IMPORTRANGE($F$8,""'Sensitivity [""&amp;IF(F$3="""",F$2,F$2&amp;"", ""&amp;F$3)&amp;""]'!A1:A20"")=$E21
      ),
      """"
    )
  )
)"&amp;", ""-"")
"),"-")</f>
        <v>-</v>
      </c>
      <c r="I21" s="830" t="str">
        <f>IFERROR(__xludf.DUMMYFUNCTION("Iferror(IF(
  IFNA(
    FILTER(
      IMPORTRANGE($F$8,""'Sensitivity [""&amp;IF(I$3="""",I$2,I$2&amp;"", ""&amp;I$3)&amp;""]'!D1:D20""),
      IMPORTRANGE($F$8,""'Sensitivity [""&amp;IF(I$3="""",I$2,I$2&amp;"", ""&amp;I$3)&amp;""]'!A1:A20"")=$E21
    ),
    """"
  ) = """",
  ""-"",
  "&amp;"I$5 * ( 1 +
    IFNA(
      FILTER(
        IMPORTRANGE($F$8,""'Sensitivity [""&amp;IF(I$3="""",I$2,I$2&amp;"", ""&amp;I$3)&amp;""]'!D1:D20""),
        IMPORTRANGE($F$8,""'Sensitivity [""&amp;IF(I$3="""",I$2,I$2&amp;"", ""&amp;I$3)&amp;""]'!A1:A20"")=$E21
      ),
      """"
    )
  )
)"&amp;", ""-"")
"),"-")</f>
        <v>-</v>
      </c>
      <c r="J21" s="842" t="s">
        <v>124</v>
      </c>
      <c r="K21" s="831" t="str">
        <f>IFERROR(__xludf.DUMMYFUNCTION("iferror(IF(
  IFNA(
    FILTER(
      IMPORTRANGE($F$8,""'Sensitivity [""&amp;IF(I$3="""",I$2,I$2&amp;"", ""&amp;I$3)&amp;""]'!E1:E20""),
      IMPORTRANGE($F$8,""'Sensitivity [""&amp;IF(I$3="""",I$2,I$2&amp;"", ""&amp;I$3)&amp;""]'!A1:A20"")=$E21
    ),
    """"
  ) = """",
  ""-"",
  "&amp;"I$5 * ( 1 +
    IFNA(
      FILTER(
        IMPORTRANGE($F$8,""'Sensitivity [""&amp;IF(I$3="""",I$2,I$2&amp;"", ""&amp;I$3)&amp;""]'!E1:E20""),
        IMPORTRANGE($F$8,""'Sensitivity [""&amp;IF(I$3="""",I$2,I$2&amp;"", ""&amp;I$3)&amp;""]'!A1:A20"")=$E21
      ),
      """"
    )
  )
)"&amp;", ""-"")
"),"-")</f>
        <v>-</v>
      </c>
      <c r="L21" s="832" t="str">
        <f>IFERROR(__xludf.DUMMYFUNCTION("Iferror(IF(
  IFNA(
    FILTER(
      IMPORTRANGE($F$8,""'Sensitivity [""&amp;IF(L$3="""",L$2,L$2&amp;"", ""&amp;L$3)&amp;""]'!D1:D20""),
      IMPORTRANGE($F$8,""'Sensitivity [""&amp;IF(L$3="""",L$2,L$2&amp;"", ""&amp;L$3)&amp;""]'!A1:A20"")=$E21
    ),
    """"
  ) = """",
  ""-"",
  "&amp;"L$5 * ( 1 +
    IFNA(
      FILTER(
        IMPORTRANGE($F$8,""'Sensitivity [""&amp;IF(L$3="""",L$2,L$2&amp;"", ""&amp;L$3)&amp;""]'!D1:D20""),
        IMPORTRANGE($F$8,""'Sensitivity [""&amp;IF(L$3="""",L$2,L$2&amp;"", ""&amp;L$3)&amp;""]'!A1:A20"")=$E21
      ),
      """"
    )
  )
)"&amp;", ""-"")
"),"-")</f>
        <v>-</v>
      </c>
      <c r="M21" s="843" t="s">
        <v>124</v>
      </c>
      <c r="N21" s="835" t="str">
        <f>IFERROR(__xludf.DUMMYFUNCTION("iferror(IF(
  IFNA(
    FILTER(
      IMPORTRANGE($F$8,""'Sensitivity [""&amp;IF(L$3="""",L$2,L$2&amp;"", ""&amp;L$3)&amp;""]'!E1:E20""),
      IMPORTRANGE($F$8,""'Sensitivity [""&amp;IF(L$3="""",L$2,L$2&amp;"", ""&amp;L$3)&amp;""]'!A1:A20"")=$E21
    ),
    """"
  ) = """",
  ""-"",
  "&amp;"L$5 * ( 1 +
    IFNA(
      FILTER(
        IMPORTRANGE($F$8,""'Sensitivity [""&amp;IF(L$3="""",L$2,L$2&amp;"", ""&amp;L$3)&amp;""]'!E1:E20""),
        IMPORTRANGE($F$8,""'Sensitivity [""&amp;IF(L$3="""",L$2,L$2&amp;"", ""&amp;L$3)&amp;""]'!A1:A20"")=$E21
      ),
      """"
    )
  )
)"&amp;", ""-"")
"),"-")</f>
        <v>-</v>
      </c>
      <c r="O21" s="832" t="str">
        <f>IFERROR(__xludf.DUMMYFUNCTION("Iferror(IF(
  IFNA(
    FILTER(
      IMPORTRANGE($F$8,""'Sensitivity [""&amp;IF(O$3="""",O$2,O$2&amp;"", ""&amp;O$3)&amp;""]'!D1:D20""),
      IMPORTRANGE($F$8,""'Sensitivity [""&amp;IF(O$3="""",O$2,O$2&amp;"", ""&amp;O$3)&amp;""]'!A1:A20"")=$E21
    ),
    """"
  ) = """",
  ""-"",
  "&amp;"O$5 * ( 1 +
    IFNA(
      FILTER(
        IMPORTRANGE($F$8,""'Sensitivity [""&amp;IF(O$3="""",O$2,O$2&amp;"", ""&amp;O$3)&amp;""]'!D1:D20""),
        IMPORTRANGE($F$8,""'Sensitivity [""&amp;IF(O$3="""",O$2,O$2&amp;"", ""&amp;O$3)&amp;""]'!A1:A20"")=$E21
      ),
      """"
    )
  )
)"&amp;", ""-"")
"),"-")</f>
        <v>-</v>
      </c>
      <c r="P21" s="843" t="s">
        <v>124</v>
      </c>
      <c r="Q21" s="835" t="str">
        <f>IFERROR(__xludf.DUMMYFUNCTION("iferror(IF(
  IFNA(
    FILTER(
      IMPORTRANGE($F$8,""'Sensitivity [""&amp;IF(O$3="""",O$2,O$2&amp;"", ""&amp;O$3)&amp;""]'!E1:E20""),
      IMPORTRANGE($F$8,""'Sensitivity [""&amp;IF(O$3="""",O$2,O$2&amp;"", ""&amp;O$3)&amp;""]'!A1:A20"")=$E21
    ),
    """"
  ) = """",
  ""-"",
  "&amp;"O$5 * ( 1 +
    IFNA(
      FILTER(
        IMPORTRANGE($F$8,""'Sensitivity [""&amp;IF(O$3="""",O$2,O$2&amp;"", ""&amp;O$3)&amp;""]'!E1:E20""),
        IMPORTRANGE($F$8,""'Sensitivity [""&amp;IF(O$3="""",O$2,O$2&amp;"", ""&amp;O$3)&amp;""]'!A1:A20"")=$E21
      ),
      """"
    )
  )
)"&amp;", ""-"")
"),"-")</f>
        <v>-</v>
      </c>
      <c r="R21" s="832" t="str">
        <f>IFERROR(__xludf.DUMMYFUNCTION("Iferror(IF(
  IFNA(
    FILTER(
      IMPORTRANGE($F$8,""'Sensitivity [""&amp;IF(R$3="""",R$2,R$2&amp;"", ""&amp;R$3)&amp;""]'!D1:D20""),
      IMPORTRANGE($F$8,""'Sensitivity [""&amp;IF(R$3="""",R$2,R$2&amp;"", ""&amp;R$3)&amp;""]'!A1:A20"")=$E21
    ),
    """"
  ) = """",
  ""-"",
  "&amp;"R$5 * ( 1 +
    IFNA(
      FILTER(
        IMPORTRANGE($F$8,""'Sensitivity [""&amp;IF(R$3="""",R$2,R$2&amp;"", ""&amp;R$3)&amp;""]'!D1:D20""),
        IMPORTRANGE($F$8,""'Sensitivity [""&amp;IF(R$3="""",R$2,R$2&amp;"", ""&amp;R$3)&amp;""]'!A1:A20"")=$E21
      ),
      """"
    )
  )
)"&amp;", ""-"")
"),"-")</f>
        <v>-</v>
      </c>
      <c r="S21" s="843" t="s">
        <v>124</v>
      </c>
      <c r="T21" s="835" t="str">
        <f>IFERROR(__xludf.DUMMYFUNCTION("iferror(IF(
  IFNA(
    FILTER(
      IMPORTRANGE($F$8,""'Sensitivity [""&amp;IF(R$3="""",R$2,R$2&amp;"", ""&amp;R$3)&amp;""]'!E1:E20""),
      IMPORTRANGE($F$8,""'Sensitivity [""&amp;IF(R$3="""",R$2,R$2&amp;"", ""&amp;R$3)&amp;""]'!A1:A20"")=$E21
    ),
    """"
  ) = """",
  ""-"",
  "&amp;"R$5 * ( 1 +
    IFNA(
      FILTER(
        IMPORTRANGE($F$8,""'Sensitivity [""&amp;IF(R$3="""",R$2,R$2&amp;"", ""&amp;R$3)&amp;""]'!E1:E20""),
        IMPORTRANGE($F$8,""'Sensitivity [""&amp;IF(R$3="""",R$2,R$2&amp;"", ""&amp;R$3)&amp;""]'!A1:A20"")=$E21
      ),
      """"
    )
  )
)"&amp;", ""-"")
"),"-")</f>
        <v>-</v>
      </c>
      <c r="U21" s="832" t="str">
        <f>IFERROR(__xludf.DUMMYFUNCTION("Iferror(IF(
  IFNA(
    FILTER(
      IMPORTRANGE($F$8,""'Sensitivity [""&amp;IF(U$3="""",U$2,U$2&amp;"", ""&amp;U$3)&amp;""]'!D1:D20""),
      IMPORTRANGE($F$8,""'Sensitivity [""&amp;IF(U$3="""",U$2,U$2&amp;"", ""&amp;U$3)&amp;""]'!A1:A20"")=$E21
    ),
    """"
  ) = """",
  ""-"",
  "&amp;"U$5 * ( 1 +
    IFNA(
      FILTER(
        IMPORTRANGE($F$8,""'Sensitivity [""&amp;IF(U$3="""",U$2,U$2&amp;"", ""&amp;U$3)&amp;""]'!D1:D20""),
        IMPORTRANGE($F$8,""'Sensitivity [""&amp;IF(U$3="""",U$2,U$2&amp;"", ""&amp;U$3)&amp;""]'!A1:A20"")=$E21
      ),
      """"
    )
  )
)"&amp;", ""-"")
"),"-")</f>
        <v>-</v>
      </c>
      <c r="V21" s="843" t="s">
        <v>124</v>
      </c>
      <c r="W21" s="835" t="str">
        <f>IFERROR(__xludf.DUMMYFUNCTION("iferror(IF(
  IFNA(
    FILTER(
      IMPORTRANGE($F$8,""'Sensitivity [""&amp;IF(U$3="""",U$2,U$2&amp;"", ""&amp;U$3)&amp;""]'!E1:E20""),
      IMPORTRANGE($F$8,""'Sensitivity [""&amp;IF(U$3="""",U$2,U$2&amp;"", ""&amp;U$3)&amp;""]'!A1:A20"")=$E21
    ),
    """"
  ) = """",
  ""-"",
  "&amp;"U$5 * ( 1 +
    IFNA(
      FILTER(
        IMPORTRANGE($F$8,""'Sensitivity [""&amp;IF(U$3="""",U$2,U$2&amp;"", ""&amp;U$3)&amp;""]'!E1:E20""),
        IMPORTRANGE($F$8,""'Sensitivity [""&amp;IF(U$3="""",U$2,U$2&amp;"", ""&amp;U$3)&amp;""]'!A1:A20"")=$E21
      ),
      """"
    )
  )
)"&amp;", ""-"")
"),"-")</f>
        <v>-</v>
      </c>
      <c r="X21" s="832" t="str">
        <f>IFERROR(__xludf.DUMMYFUNCTION("Iferror(IF(
  IFNA(
    FILTER(
      IMPORTRANGE($F$8,""'Sensitivity [""&amp;IF(X$3="""",X$2,X$2&amp;"", ""&amp;X$3)&amp;""]'!D1:D20""),
      IMPORTRANGE($F$8,""'Sensitivity [""&amp;IF(X$3="""",X$2,X$2&amp;"", ""&amp;X$3)&amp;""]'!A1:A20"")=$E21
    ),
    """"
  ) = """",
  ""-"",
  "&amp;"X$5 * ( 1 +
    IFNA(
      FILTER(
        IMPORTRANGE($F$8,""'Sensitivity [""&amp;IF(X$3="""",X$2,X$2&amp;"", ""&amp;X$3)&amp;""]'!D1:D20""),
        IMPORTRANGE($F$8,""'Sensitivity [""&amp;IF(X$3="""",X$2,X$2&amp;"", ""&amp;X$3)&amp;""]'!A1:A20"")=$E21
      ),
      """"
    )
  )
)"&amp;", ""-"")
"),"-")</f>
        <v>-</v>
      </c>
      <c r="Y21" s="843" t="s">
        <v>124</v>
      </c>
      <c r="Z21" s="835" t="str">
        <f>IFERROR(__xludf.DUMMYFUNCTION("iferror(IF(
  IFNA(
    FILTER(
      IMPORTRANGE($F$8,""'Sensitivity [""&amp;IF(X$3="""",X$2,X$2&amp;"", ""&amp;X$3)&amp;""]'!E1:E20""),
      IMPORTRANGE($F$8,""'Sensitivity [""&amp;IF(X$3="""",X$2,X$2&amp;"", ""&amp;X$3)&amp;""]'!A1:A20"")=$E21
    ),
    """"
  ) = """",
  ""-"",
  "&amp;"X$5 * ( 1 +
    IFNA(
      FILTER(
        IMPORTRANGE($F$8,""'Sensitivity [""&amp;IF(X$3="""",X$2,X$2&amp;"", ""&amp;X$3)&amp;""]'!E1:E20""),
        IMPORTRANGE($F$8,""'Sensitivity [""&amp;IF(X$3="""",X$2,X$2&amp;"", ""&amp;X$3)&amp;""]'!A1:A20"")=$E21
      ),
      """"
    )
  )
)"&amp;", ""-"")
"),"-")</f>
        <v>-</v>
      </c>
      <c r="AA21" s="832" t="str">
        <f>IFERROR(__xludf.DUMMYFUNCTION("Iferror(IF(
  IFNA(
    FILTER(
      IMPORTRANGE($F$8,""'Sensitivity [""&amp;IF(AA$3="""",AA$2,AA$2&amp;"", ""&amp;AA$3)&amp;""]'!D1:D20""),
      IMPORTRANGE($F$8,""'Sensitivity [""&amp;IF(AA$3="""",AA$2,AA$2&amp;"", ""&amp;AA$3)&amp;""]'!A1:A20"")=$E21
    ),
    """"
  ) = """",
  "&amp;"""-"",
  AA$5 * ( 1 +
    IFNA(
      FILTER(
        IMPORTRANGE($F$8,""'Sensitivity [""&amp;IF(AA$3="""",AA$2,AA$2&amp;"", ""&amp;AA$3)&amp;""]'!D1:D20""),
        IMPORTRANGE($F$8,""'Sensitivity [""&amp;IF(AA$3="""",AA$2,AA$2&amp;"", ""&amp;AA$3)&amp;""]'!A1:A20"")=$E21
      ),
    "&amp;"  """"
    )
  )
), ""-"")
"),"-")</f>
        <v>-</v>
      </c>
      <c r="AB21" s="843" t="s">
        <v>124</v>
      </c>
      <c r="AC21" s="835" t="str">
        <f>IFERROR(__xludf.DUMMYFUNCTION("iferror(IF(
  IFNA(
    FILTER(
      IMPORTRANGE($F$8,""'Sensitivity [""&amp;IF(AA$3="""",AA$2,AA$2&amp;"", ""&amp;AA$3)&amp;""]'!E1:E20""),
      IMPORTRANGE($F$8,""'Sensitivity [""&amp;IF(AA$3="""",AA$2,AA$2&amp;"", ""&amp;AA$3)&amp;""]'!A1:A20"")=$E21
    ),
    """"
  ) = """",
  "&amp;"""-"",
  AA$5 * ( 1 +
    IFNA(
      FILTER(
        IMPORTRANGE($F$8,""'Sensitivity [""&amp;IF(AA$3="""",AA$2,AA$2&amp;"", ""&amp;AA$3)&amp;""]'!E1:E20""),
        IMPORTRANGE($F$8,""'Sensitivity [""&amp;IF(AA$3="""",AA$2,AA$2&amp;"", ""&amp;AA$3)&amp;""]'!A1:A20"")=$E21
      ),
    "&amp;"  """"
    )
  )
), ""-"")
"),"-")</f>
        <v>-</v>
      </c>
      <c r="AD21" s="832" t="str">
        <f>IFERROR(__xludf.DUMMYFUNCTION("Iferror(IF(
  IFNA(
    FILTER(
      IMPORTRANGE($F$8,""'Sensitivity [""&amp;IF(AD$3="""",AD$2,AD$2&amp;"", ""&amp;AD$3)&amp;""]'!D1:D20""),
      IMPORTRANGE($F$8,""'Sensitivity [""&amp;IF(AD$3="""",AD$2,AD$2&amp;"", ""&amp;AD$3)&amp;""]'!A1:A20"")=$E21
    ),
    """"
  ) = """",
  "&amp;"""-"",
  AD$5 * ( 1 +
    IFNA(
      FILTER(
        IMPORTRANGE($F$8,""'Sensitivity [""&amp;IF(AD$3="""",AD$2,AD$2&amp;"", ""&amp;AD$3)&amp;""]'!D1:D20""),
        IMPORTRANGE($F$8,""'Sensitivity [""&amp;IF(AD$3="""",AD$2,AD$2&amp;"", ""&amp;AD$3)&amp;""]'!A1:A20"")=$E21
      ),
    "&amp;"  """"
    )
  )
), ""-"")
"),"-")</f>
        <v>-</v>
      </c>
      <c r="AE21" s="843" t="s">
        <v>124</v>
      </c>
      <c r="AF21" s="835" t="str">
        <f>IFERROR(__xludf.DUMMYFUNCTION("iferror(IF(
  IFNA(
    FILTER(
      IMPORTRANGE($F$8,""'Sensitivity [""&amp;IF(AD$3="""",AD$2,AD$2&amp;"", ""&amp;AD$3)&amp;""]'!E1:E20""),
      IMPORTRANGE($F$8,""'Sensitivity [""&amp;IF(AD$3="""",AD$2,AD$2&amp;"", ""&amp;AD$3)&amp;""]'!A1:A20"")=$E21
    ),
    """"
  ) = """",
  "&amp;"""-"",
  AD$5 * ( 1 +
    IFNA(
      FILTER(
        IMPORTRANGE($F$8,""'Sensitivity [""&amp;IF(AD$3="""",AD$2,AD$2&amp;"", ""&amp;AD$3)&amp;""]'!E1:E20""),
        IMPORTRANGE($F$8,""'Sensitivity [""&amp;IF(AD$3="""",AD$2,AD$2&amp;"", ""&amp;AD$3)&amp;""]'!A1:A20"")=$E21
      ),
    "&amp;"  """"
    )
  )
), ""-"")
"),"-")</f>
        <v>-</v>
      </c>
      <c r="AG21" s="832" t="str">
        <f>IFERROR(__xludf.DUMMYFUNCTION("Iferror(IF(
  IFNA(
    FILTER(
      IMPORTRANGE($F$8,""'Sensitivity [""&amp;IF(AG$3="""",AG$2,AG$2&amp;"", ""&amp;AG$3)&amp;""]'!D1:D20""),
      IMPORTRANGE($F$8,""'Sensitivity [""&amp;IF(AG$3="""",AG$2,AG$2&amp;"", ""&amp;AG$3)&amp;""]'!A1:A20"")=$E21
    ),
    """"
  ) = """",
  "&amp;"""-"",
  AG$5 * ( 1 +
    IFNA(
      FILTER(
        IMPORTRANGE($F$8,""'Sensitivity [""&amp;IF(AG$3="""",AG$2,AG$2&amp;"", ""&amp;AG$3)&amp;""]'!D1:D20""),
        IMPORTRANGE($F$8,""'Sensitivity [""&amp;IF(AG$3="""",AG$2,AG$2&amp;"", ""&amp;AG$3)&amp;""]'!A1:A20"")=$E21
      ),
    "&amp;"  """"
    )
  )
), ""-"")
"),"-")</f>
        <v>-</v>
      </c>
      <c r="AH21" s="843" t="s">
        <v>124</v>
      </c>
      <c r="AI21" s="835" t="str">
        <f>IFERROR(__xludf.DUMMYFUNCTION("iferror(IF(
  IFNA(
    FILTER(
      IMPORTRANGE($F$8,""'Sensitivity [""&amp;IF(AG$3="""",AG$2,AG$2&amp;"", ""&amp;AG$3)&amp;""]'!E1:E20""),
      IMPORTRANGE($F$8,""'Sensitivity [""&amp;IF(AG$3="""",AG$2,AG$2&amp;"", ""&amp;AG$3)&amp;""]'!A1:A20"")=$E21
    ),
    """"
  ) = """",
  "&amp;"""-"",
  AG$5 * ( 1 +
    IFNA(
      FILTER(
        IMPORTRANGE($F$8,""'Sensitivity [""&amp;IF(AG$3="""",AG$2,AG$2&amp;"", ""&amp;AG$3)&amp;""]'!E1:E20""),
        IMPORTRANGE($F$8,""'Sensitivity [""&amp;IF(AG$3="""",AG$2,AG$2&amp;"", ""&amp;AG$3)&amp;""]'!A1:A20"")=$E21
      ),
    "&amp;"  """"
    )
  )
), ""-"")
"),"-")</f>
        <v>-</v>
      </c>
      <c r="AJ21" s="832" t="str">
        <f>IFERROR(__xludf.DUMMYFUNCTION("Iferror(IF(
  IFNA(
    FILTER(
      IMPORTRANGE($F$8,""'Sensitivity [""&amp;IF(AJ$3="""",AJ$2,AJ$2&amp;"", ""&amp;AJ$3)&amp;""]'!D1:D20""),
      IMPORTRANGE($F$8,""'Sensitivity [""&amp;IF(AJ$3="""",AJ$2,AJ$2&amp;"", ""&amp;AJ$3)&amp;""]'!A1:A20"")=$E21
    ),
    """"
  ) = """",
  "&amp;"""-"",
  AJ$5 * ( 1 +
    IFNA(
      FILTER(
        IMPORTRANGE($F$8,""'Sensitivity [""&amp;IF(AJ$3="""",AJ$2,AJ$2&amp;"", ""&amp;AJ$3)&amp;""]'!D1:D20""),
        IMPORTRANGE($F$8,""'Sensitivity [""&amp;IF(AJ$3="""",AJ$2,AJ$2&amp;"", ""&amp;AJ$3)&amp;""]'!A1:A20"")=$E21
      ),
    "&amp;"  """"
    )
  )
), ""-"")
"),"-")</f>
        <v>-</v>
      </c>
      <c r="AK21" s="843" t="s">
        <v>124</v>
      </c>
      <c r="AL21" s="835" t="str">
        <f>IFERROR(__xludf.DUMMYFUNCTION("iferror(IF(
  IFNA(
    FILTER(
      IMPORTRANGE($F$8,""'Sensitivity [""&amp;IF(AJ$3="""",AJ$2,AJ$2&amp;"", ""&amp;AJ$3)&amp;""]'!E1:E20""),
      IMPORTRANGE($F$8,""'Sensitivity [""&amp;IF(AJ$3="""",AJ$2,AJ$2&amp;"", ""&amp;AJ$3)&amp;""]'!A1:A20"")=$E21
    ),
    """"
  ) = """",
  "&amp;"""-"",
  AJ$5 * ( 1 +
    IFNA(
      FILTER(
        IMPORTRANGE($F$8,""'Sensitivity [""&amp;IF(AJ$3="""",AJ$2,AJ$2&amp;"", ""&amp;AJ$3)&amp;""]'!E1:E20""),
        IMPORTRANGE($F$8,""'Sensitivity [""&amp;IF(AJ$3="""",AJ$2,AJ$2&amp;"", ""&amp;AJ$3)&amp;""]'!A1:A20"")=$E21
      ),
    "&amp;"  """"
    )
  )
), ""-"")
"),"-")</f>
        <v>-</v>
      </c>
      <c r="AM21" s="832" t="str">
        <f>IFERROR(__xludf.DUMMYFUNCTION("Iferror(IF(
  IFNA(
    FILTER(
      IMPORTRANGE($F$8,""'Sensitivity [""&amp;IF(AM$3="""",AM$2,AM$2&amp;"", ""&amp;AM$3)&amp;""]'!D1:D20""),
      IMPORTRANGE($F$8,""'Sensitivity [""&amp;IF(AM$3="""",AM$2,AM$2&amp;"", ""&amp;AM$3)&amp;""]'!A1:A20"")=$E21
    ),
    """"
  ) = """",
  "&amp;"""-"",
  AM$5 * ( 1 +
    IFNA(
      FILTER(
        IMPORTRANGE($F$8,""'Sensitivity [""&amp;IF(AM$3="""",AM$2,AM$2&amp;"", ""&amp;AM$3)&amp;""]'!D1:D20""),
        IMPORTRANGE($F$8,""'Sensitivity [""&amp;IF(AM$3="""",AM$2,AM$2&amp;"", ""&amp;AM$3)&amp;""]'!A1:A20"")=$E21
      ),
    "&amp;"  """"
    )
  )
), ""-"")
"),"-")</f>
        <v>-</v>
      </c>
      <c r="AN21" s="843" t="s">
        <v>124</v>
      </c>
      <c r="AO21" s="835" t="str">
        <f>IFERROR(__xludf.DUMMYFUNCTION("iferror(IF(
  IFNA(
    FILTER(
      IMPORTRANGE($F$8,""'Sensitivity [""&amp;IF(AM$3="""",AM$2,AM$2&amp;"", ""&amp;AM$3)&amp;""]'!E1:E20""),
      IMPORTRANGE($F$8,""'Sensitivity [""&amp;IF(AM$3="""",AM$2,AM$2&amp;"", ""&amp;AM$3)&amp;""]'!A1:A20"")=$E21
    ),
    """"
  ) = """",
  "&amp;"""-"",
  AM$5 * ( 1 +
    IFNA(
      FILTER(
        IMPORTRANGE($F$8,""'Sensitivity [""&amp;IF(AM$3="""",AM$2,AM$2&amp;"", ""&amp;AM$3)&amp;""]'!E1:E20""),
        IMPORTRANGE($F$8,""'Sensitivity [""&amp;IF(AM$3="""",AM$2,AM$2&amp;"", ""&amp;AM$3)&amp;""]'!A1:A20"")=$E21
      ),
    "&amp;"  """"
    )
  )
), ""-"")
"),"-")</f>
        <v>-</v>
      </c>
      <c r="AP21" s="832" t="str">
        <f>IFERROR(__xludf.DUMMYFUNCTION("Iferror(IF(
  IFNA(
    FILTER(
      IMPORTRANGE($F$8,""'Sensitivity [""&amp;IF(AP$3="""",AP$2,AP$2&amp;"", ""&amp;AP$3)&amp;""]'!D1:D20""),
      IMPORTRANGE($F$8,""'Sensitivity [""&amp;IF(AP$3="""",AP$2,AP$2&amp;"", ""&amp;AP$3)&amp;""]'!A1:A20"")=$E21
    ),
    """"
  ) = """",
  "&amp;"""-"",
  AP$5 * ( 1 +
    IFNA(
      FILTER(
        IMPORTRANGE($F$8,""'Sensitivity [""&amp;IF(AP$3="""",AP$2,AP$2&amp;"", ""&amp;AP$3)&amp;""]'!D1:D20""),
        IMPORTRANGE($F$8,""'Sensitivity [""&amp;IF(AP$3="""",AP$2,AP$2&amp;"", ""&amp;AP$3)&amp;""]'!A1:A20"")=$E21
      ),
    "&amp;"  """"
    )
  )
), ""-"")
"),"-")</f>
        <v>-</v>
      </c>
      <c r="AQ21" s="843" t="s">
        <v>124</v>
      </c>
      <c r="AR21" s="835" t="str">
        <f>IFERROR(__xludf.DUMMYFUNCTION("iferror(IF(
  IFNA(
    FILTER(
      IMPORTRANGE($F$8,""'Sensitivity [""&amp;IF(AP$3="""",AP$2,AP$2&amp;"", ""&amp;AP$3)&amp;""]'!E1:E20""),
      IMPORTRANGE($F$8,""'Sensitivity [""&amp;IF(AP$3="""",AP$2,AP$2&amp;"", ""&amp;AP$3)&amp;""]'!A1:A20"")=$E21
    ),
    """"
  ) = """",
  "&amp;"""-"",
  AP$5 * ( 1 +
    IFNA(
      FILTER(
        IMPORTRANGE($F$8,""'Sensitivity [""&amp;IF(AP$3="""",AP$2,AP$2&amp;"", ""&amp;AP$3)&amp;""]'!E1:E20""),
        IMPORTRANGE($F$8,""'Sensitivity [""&amp;IF(AP$3="""",AP$2,AP$2&amp;"", ""&amp;AP$3)&amp;""]'!A1:A20"")=$E21
      ),
    "&amp;"  """"
    )
  )
), ""-"")
"),"-")</f>
        <v>-</v>
      </c>
      <c r="AS21" s="832" t="str">
        <f>IFERROR(__xludf.DUMMYFUNCTION("Iferror(IF(
  IFNA(
    FILTER(
      IMPORTRANGE($F$8,""'Sensitivity [""&amp;IF(AS$3="""",AS$2,AS$2&amp;"", ""&amp;AS$3)&amp;""]'!D1:D20""),
      IMPORTRANGE($F$8,""'Sensitivity [""&amp;IF(AS$3="""",AS$2,AS$2&amp;"", ""&amp;AS$3)&amp;""]'!A1:A20"")=$E21
    ),
    """"
  ) = """",
  "&amp;"""-"",
  AS$5 * ( 1 +
    IFNA(
      FILTER(
        IMPORTRANGE($F$8,""'Sensitivity [""&amp;IF(AS$3="""",AS$2,AS$2&amp;"", ""&amp;AS$3)&amp;""]'!D1:D20""),
        IMPORTRANGE($F$8,""'Sensitivity [""&amp;IF(AS$3="""",AS$2,AS$2&amp;"", ""&amp;AS$3)&amp;""]'!A1:A20"")=$E21
      ),
    "&amp;"  """"
    )
  )
), ""-"")
"),"-")</f>
        <v>-</v>
      </c>
      <c r="AT21" s="843" t="s">
        <v>124</v>
      </c>
      <c r="AU21" s="835" t="str">
        <f>IFERROR(__xludf.DUMMYFUNCTION("iferror(IF(
  IFNA(
    FILTER(
      IMPORTRANGE($F$8,""'Sensitivity [""&amp;IF(AS$3="""",AS$2,AS$2&amp;"", ""&amp;AS$3)&amp;""]'!E1:E20""),
      IMPORTRANGE($F$8,""'Sensitivity [""&amp;IF(AS$3="""",AS$2,AS$2&amp;"", ""&amp;AS$3)&amp;""]'!A1:A20"")=$E21
    ),
    """"
  ) = """",
  "&amp;"""-"",
  AS$5 * ( 1 +
    IFNA(
      FILTER(
        IMPORTRANGE($F$8,""'Sensitivity [""&amp;IF(AS$3="""",AS$2,AS$2&amp;"", ""&amp;AS$3)&amp;""]'!E1:E20""),
        IMPORTRANGE($F$8,""'Sensitivity [""&amp;IF(AS$3="""",AS$2,AS$2&amp;"", ""&amp;AS$3)&amp;""]'!A1:A20"")=$E21
      ),
    "&amp;"  """"
    )
  )
), ""-"")
"),"-")</f>
        <v>-</v>
      </c>
      <c r="AV21" s="832" t="str">
        <f>IFERROR(__xludf.DUMMYFUNCTION("Iferror(IF(
  IFNA(
    FILTER(
      IMPORTRANGE($F$8,""'Sensitivity [""&amp;IF(AV$3="""",AV$2,AV$2&amp;"", ""&amp;AV$3)&amp;""]'!D1:D20""),
      IMPORTRANGE($F$8,""'Sensitivity [""&amp;IF(AV$3="""",AV$2,AV$2&amp;"", ""&amp;AV$3)&amp;""]'!A1:A20"")=$E21
    ),
    """"
  ) = """",
  "&amp;"""-"",
  AV$5 * ( 1 +
    IFNA(
      FILTER(
        IMPORTRANGE($F$8,""'Sensitivity [""&amp;IF(AV$3="""",AV$2,AV$2&amp;"", ""&amp;AV$3)&amp;""]'!D1:D20""),
        IMPORTRANGE($F$8,""'Sensitivity [""&amp;IF(AV$3="""",AV$2,AV$2&amp;"", ""&amp;AV$3)&amp;""]'!A1:A20"")=$E21
      ),
    "&amp;"  """"
    )
  )
), ""-"")
"),"-")</f>
        <v>-</v>
      </c>
      <c r="AW21" s="843" t="s">
        <v>124</v>
      </c>
      <c r="AX21" s="835" t="str">
        <f>IFERROR(__xludf.DUMMYFUNCTION("iferror(IF(
  IFNA(
    FILTER(
      IMPORTRANGE($F$8,""'Sensitivity [""&amp;IF(AV$3="""",AV$2,AV$2&amp;"", ""&amp;AV$3)&amp;""]'!E1:E20""),
      IMPORTRANGE($F$8,""'Sensitivity [""&amp;IF(AV$3="""",AV$2,AV$2&amp;"", ""&amp;AV$3)&amp;""]'!A1:A20"")=$E21
    ),
    """"
  ) = """",
  "&amp;"""-"",
  AV$5 * ( 1 +
    IFNA(
      FILTER(
        IMPORTRANGE($F$8,""'Sensitivity [""&amp;IF(AV$3="""",AV$2,AV$2&amp;"", ""&amp;AV$3)&amp;""]'!E1:E20""),
        IMPORTRANGE($F$8,""'Sensitivity [""&amp;IF(AV$3="""",AV$2,AV$2&amp;"", ""&amp;AV$3)&amp;""]'!A1:A20"")=$E21
      ),
    "&amp;"  """"
    )
  )
), ""-"")
"),"-")</f>
        <v>-</v>
      </c>
      <c r="AY21" s="832" t="str">
        <f>IFERROR(__xludf.DUMMYFUNCTION("Iferror(IF(
  IFNA(
    FILTER(
      IMPORTRANGE($F$8,""'Sensitivity [""&amp;IF(AY$3="""",AY$2,AY$2&amp;"", ""&amp;AY$3)&amp;""]'!D1:D20""),
      IMPORTRANGE($F$8,""'Sensitivity [""&amp;IF(AY$3="""",AY$2,AY$2&amp;"", ""&amp;AY$3)&amp;""]'!A1:A20"")=$E21
    ),
    """"
  ) = """",
  "&amp;"""-"",
  AY$5 * ( 1 +
    IFNA(
      FILTER(
        IMPORTRANGE($F$8,""'Sensitivity [""&amp;IF(AY$3="""",AY$2,AY$2&amp;"", ""&amp;AY$3)&amp;""]'!D1:D20""),
        IMPORTRANGE($F$8,""'Sensitivity [""&amp;IF(AY$3="""",AY$2,AY$2&amp;"", ""&amp;AY$3)&amp;""]'!A1:A20"")=$E21
      ),
    "&amp;"  """"
    )
  )
), ""-"")
"),"-")</f>
        <v>-</v>
      </c>
      <c r="AZ21" s="843" t="s">
        <v>124</v>
      </c>
      <c r="BA21" s="835" t="str">
        <f>IFERROR(__xludf.DUMMYFUNCTION("iferror(IF(
  IFNA(
    FILTER(
      IMPORTRANGE($F$8,""'Sensitivity [""&amp;IF(AY$3="""",AY$2,AY$2&amp;"", ""&amp;AY$3)&amp;""]'!E1:E20""),
      IMPORTRANGE($F$8,""'Sensitivity [""&amp;IF(AY$3="""",AY$2,AY$2&amp;"", ""&amp;AY$3)&amp;""]'!A1:A20"")=$E21
    ),
    """"
  ) = """",
  "&amp;"""-"",
  AY$5 * ( 1 +
    IFNA(
      FILTER(
        IMPORTRANGE($F$8,""'Sensitivity [""&amp;IF(AY$3="""",AY$2,AY$2&amp;"", ""&amp;AY$3)&amp;""]'!E1:E20""),
        IMPORTRANGE($F$8,""'Sensitivity [""&amp;IF(AY$3="""",AY$2,AY$2&amp;"", ""&amp;AY$3)&amp;""]'!A1:A20"")=$E21
      ),
    "&amp;"  """"
    )
  )
), ""-"")
"),"-")</f>
        <v>-</v>
      </c>
      <c r="BB21" s="832" t="str">
        <f>IFERROR(__xludf.DUMMYFUNCTION("Iferror(IF(
  IFNA(
    FILTER(
      IMPORTRANGE($F$8,""'Sensitivity [""&amp;IF(BB$3="""",BB$2,BB$2&amp;"", ""&amp;BB$3)&amp;""]'!D1:D20""),
      IMPORTRANGE($F$8,""'Sensitivity [""&amp;IF(BB$3="""",BB$2,BB$2&amp;"", ""&amp;BB$3)&amp;""]'!A1:A20"")=$E21
    ),
    """"
  ) = """",
  "&amp;"""-"",
  BB$5 * ( 1 +
    IFNA(
      FILTER(
        IMPORTRANGE($F$8,""'Sensitivity [""&amp;IF(BB$3="""",BB$2,BB$2&amp;"", ""&amp;BB$3)&amp;""]'!D1:D20""),
        IMPORTRANGE($F$8,""'Sensitivity [""&amp;IF(BB$3="""",BB$2,BB$2&amp;"", ""&amp;BB$3)&amp;""]'!A1:A20"")=$E21
      ),
    "&amp;"  """"
    )
  )
), ""-"")
"),"-")</f>
        <v>-</v>
      </c>
      <c r="BC21" s="843" t="s">
        <v>124</v>
      </c>
      <c r="BD21" s="835" t="str">
        <f>IFERROR(__xludf.DUMMYFUNCTION("iferror(IF(
  IFNA(
    FILTER(
      IMPORTRANGE($F$8,""'Sensitivity [""&amp;IF(BB$3="""",BB$2,BB$2&amp;"", ""&amp;BB$3)&amp;""]'!E1:E20""),
      IMPORTRANGE($F$8,""'Sensitivity [""&amp;IF(BB$3="""",BB$2,BB$2&amp;"", ""&amp;BB$3)&amp;""]'!A1:A20"")=$E21
    ),
    """"
  ) = """",
  "&amp;"""-"",
  BB$5 * ( 1 +
    IFNA(
      FILTER(
        IMPORTRANGE($F$8,""'Sensitivity [""&amp;IF(BB$3="""",BB$2,BB$2&amp;"", ""&amp;BB$3)&amp;""]'!E1:E20""),
        IMPORTRANGE($F$8,""'Sensitivity [""&amp;IF(BB$3="""",BB$2,BB$2&amp;"", ""&amp;BB$3)&amp;""]'!A1:A20"")=$E21
      ),
    "&amp;"  """"
    )
  )
), ""-"")
"),"-")</f>
        <v>-</v>
      </c>
      <c r="BE21" s="832" t="str">
        <f>IFERROR(__xludf.DUMMYFUNCTION("Iferror(IF(
  IFNA(
    FILTER(
      IMPORTRANGE($F$8,""'Sensitivity [""&amp;IF(BE$3="""",BE$2,BE$2&amp;"", ""&amp;BE$3)&amp;""]'!D1:D20""),
      IMPORTRANGE($F$8,""'Sensitivity [""&amp;IF(BE$3="""",BE$2,BE$2&amp;"", ""&amp;BE$3)&amp;""]'!A1:A20"")=$E21
    ),
    """"
  ) = """",
  "&amp;"""-"",
  BE$5 * ( 1 +
    IFNA(
      FILTER(
        IMPORTRANGE($F$8,""'Sensitivity [""&amp;IF(BE$3="""",BE$2,BE$2&amp;"", ""&amp;BE$3)&amp;""]'!D1:D20""),
        IMPORTRANGE($F$8,""'Sensitivity [""&amp;IF(BE$3="""",BE$2,BE$2&amp;"", ""&amp;BE$3)&amp;""]'!A1:A20"")=$E21
      ),
    "&amp;"  """"
    )
  )
), ""-"")
"),"-")</f>
        <v>-</v>
      </c>
      <c r="BF21" s="843" t="s">
        <v>124</v>
      </c>
      <c r="BG21" s="835" t="str">
        <f>IFERROR(__xludf.DUMMYFUNCTION("iferror(IF(
  IFNA(
    FILTER(
      IMPORTRANGE($F$8,""'Sensitivity [""&amp;IF(BE$3="""",BE$2,BE$2&amp;"", ""&amp;BE$3)&amp;""]'!E1:E20""),
      IMPORTRANGE($F$8,""'Sensitivity [""&amp;IF(BE$3="""",BE$2,BE$2&amp;"", ""&amp;BE$3)&amp;""]'!A1:A20"")=$E21
    ),
    """"
  ) = """",
  "&amp;"""-"",
  BE$5 * ( 1 +
    IFNA(
      FILTER(
        IMPORTRANGE($F$8,""'Sensitivity [""&amp;IF(BE$3="""",BE$2,BE$2&amp;"", ""&amp;BE$3)&amp;""]'!E1:E20""),
        IMPORTRANGE($F$8,""'Sensitivity [""&amp;IF(BE$3="""",BE$2,BE$2&amp;"", ""&amp;BE$3)&amp;""]'!A1:A20"")=$E21
      ),
    "&amp;"  """"
    )
  )
), ""-"")
"),"-")</f>
        <v>-</v>
      </c>
      <c r="BH21" s="861"/>
    </row>
    <row r="22">
      <c r="A22" s="895"/>
      <c r="B22" s="400"/>
      <c r="C22" s="400"/>
      <c r="D22" s="400"/>
      <c r="E22" s="508" t="s">
        <v>438</v>
      </c>
      <c r="F22" s="830" t="str">
        <f>IFERROR(__xludf.DUMMYFUNCTION("Iferror(IF(
  IFNA(
    FILTER(
      IMPORTRANGE($F$8,""'Sensitivity [""&amp;IF(F$3="""",F$2,F$2&amp;"", ""&amp;F$3)&amp;""]'!D1:D20""),
      IMPORTRANGE($F$8,""'Sensitivity [""&amp;IF(F$3="""",F$2,F$2&amp;"", ""&amp;F$3)&amp;""]'!A1:A20"")=$E22
    ),
    """"
  ) = """",
  ""-"",
  "&amp;"F$5 * ( 1 +
    IFNA(
      FILTER(
        IMPORTRANGE($F$8,""'Sensitivity [""&amp;IF(F$3="""",F$2,F$2&amp;"", ""&amp;F$3)&amp;""]'!D1:D20""),
        IMPORTRANGE($F$8,""'Sensitivity [""&amp;IF(F$3="""",F$2,F$2&amp;"", ""&amp;F$3)&amp;""]'!A1:A20"")=$E22
      ),
      """"
    )
  )
)"&amp;", ""-"")
"),"-")</f>
        <v>-</v>
      </c>
      <c r="G22" s="842" t="s">
        <v>124</v>
      </c>
      <c r="H22" s="831" t="str">
        <f>IFERROR(__xludf.DUMMYFUNCTION("iferror(IF(
  IFNA(
    FILTER(
      IMPORTRANGE($F$8,""'Sensitivity [""&amp;IF(F$3="""",F$2,F$2&amp;"", ""&amp;F$3)&amp;""]'!E1:E20""),
      IMPORTRANGE($F$8,""'Sensitivity [""&amp;IF(F$3="""",F$2,F$2&amp;"", ""&amp;F$3)&amp;""]'!A1:A20"")=$E22
    ),
    """"
  ) = """",
  ""-"",
  "&amp;"F$5 * ( 1 +
    IFNA(
      FILTER(
        IMPORTRANGE($F$8,""'Sensitivity [""&amp;IF(F$3="""",F$2,F$2&amp;"", ""&amp;F$3)&amp;""]'!E1:E20""),
        IMPORTRANGE($F$8,""'Sensitivity [""&amp;IF(F$3="""",F$2,F$2&amp;"", ""&amp;F$3)&amp;""]'!A1:A20"")=$E22
      ),
      """"
    )
  )
)"&amp;", ""-"")
"),"-")</f>
        <v>-</v>
      </c>
      <c r="I22" s="830" t="str">
        <f>IFERROR(__xludf.DUMMYFUNCTION("Iferror(IF(
  IFNA(
    FILTER(
      IMPORTRANGE($F$8,""'Sensitivity [""&amp;IF(I$3="""",I$2,I$2&amp;"", ""&amp;I$3)&amp;""]'!D1:D20""),
      IMPORTRANGE($F$8,""'Sensitivity [""&amp;IF(I$3="""",I$2,I$2&amp;"", ""&amp;I$3)&amp;""]'!A1:A20"")=$E22
    ),
    """"
  ) = """",
  ""-"",
  "&amp;"I$5 * ( 1 +
    IFNA(
      FILTER(
        IMPORTRANGE($F$8,""'Sensitivity [""&amp;IF(I$3="""",I$2,I$2&amp;"", ""&amp;I$3)&amp;""]'!D1:D20""),
        IMPORTRANGE($F$8,""'Sensitivity [""&amp;IF(I$3="""",I$2,I$2&amp;"", ""&amp;I$3)&amp;""]'!A1:A20"")=$E22
      ),
      """"
    )
  )
)"&amp;", ""-"")
"),"-")</f>
        <v>-</v>
      </c>
      <c r="J22" s="842" t="s">
        <v>124</v>
      </c>
      <c r="K22" s="831" t="str">
        <f>IFERROR(__xludf.DUMMYFUNCTION("iferror(IF(
  IFNA(
    FILTER(
      IMPORTRANGE($F$8,""'Sensitivity [""&amp;IF(I$3="""",I$2,I$2&amp;"", ""&amp;I$3)&amp;""]'!E1:E20""),
      IMPORTRANGE($F$8,""'Sensitivity [""&amp;IF(I$3="""",I$2,I$2&amp;"", ""&amp;I$3)&amp;""]'!A1:A20"")=$E22
    ),
    """"
  ) = """",
  ""-"",
  "&amp;"I$5 * ( 1 +
    IFNA(
      FILTER(
        IMPORTRANGE($F$8,""'Sensitivity [""&amp;IF(I$3="""",I$2,I$2&amp;"", ""&amp;I$3)&amp;""]'!E1:E20""),
        IMPORTRANGE($F$8,""'Sensitivity [""&amp;IF(I$3="""",I$2,I$2&amp;"", ""&amp;I$3)&amp;""]'!A1:A20"")=$E22
      ),
      """"
    )
  )
)"&amp;", ""-"")
"),"-")</f>
        <v>-</v>
      </c>
      <c r="L22" s="832" t="str">
        <f>IFERROR(__xludf.DUMMYFUNCTION("Iferror(IF(
  IFNA(
    FILTER(
      IMPORTRANGE($F$8,""'Sensitivity [""&amp;IF(L$3="""",L$2,L$2&amp;"", ""&amp;L$3)&amp;""]'!D1:D20""),
      IMPORTRANGE($F$8,""'Sensitivity [""&amp;IF(L$3="""",L$2,L$2&amp;"", ""&amp;L$3)&amp;""]'!A1:A20"")=$E22
    ),
    """"
  ) = """",
  ""-"",
  "&amp;"L$5 * ( 1 +
    IFNA(
      FILTER(
        IMPORTRANGE($F$8,""'Sensitivity [""&amp;IF(L$3="""",L$2,L$2&amp;"", ""&amp;L$3)&amp;""]'!D1:D20""),
        IMPORTRANGE($F$8,""'Sensitivity [""&amp;IF(L$3="""",L$2,L$2&amp;"", ""&amp;L$3)&amp;""]'!A1:A20"")=$E22
      ),
      """"
    )
  )
)"&amp;", ""-"")
"),"-")</f>
        <v>-</v>
      </c>
      <c r="M22" s="843" t="s">
        <v>124</v>
      </c>
      <c r="N22" s="835" t="str">
        <f>IFERROR(__xludf.DUMMYFUNCTION("iferror(IF(
  IFNA(
    FILTER(
      IMPORTRANGE($F$8,""'Sensitivity [""&amp;IF(L$3="""",L$2,L$2&amp;"", ""&amp;L$3)&amp;""]'!E1:E20""),
      IMPORTRANGE($F$8,""'Sensitivity [""&amp;IF(L$3="""",L$2,L$2&amp;"", ""&amp;L$3)&amp;""]'!A1:A20"")=$E22
    ),
    """"
  ) = """",
  ""-"",
  "&amp;"L$5 * ( 1 +
    IFNA(
      FILTER(
        IMPORTRANGE($F$8,""'Sensitivity [""&amp;IF(L$3="""",L$2,L$2&amp;"", ""&amp;L$3)&amp;""]'!E1:E20""),
        IMPORTRANGE($F$8,""'Sensitivity [""&amp;IF(L$3="""",L$2,L$2&amp;"", ""&amp;L$3)&amp;""]'!A1:A20"")=$E22
      ),
      """"
    )
  )
)"&amp;", ""-"")
"),"-")</f>
        <v>-</v>
      </c>
      <c r="O22" s="832" t="str">
        <f>IFERROR(__xludf.DUMMYFUNCTION("Iferror(IF(
  IFNA(
    FILTER(
      IMPORTRANGE($F$8,""'Sensitivity [""&amp;IF(O$3="""",O$2,O$2&amp;"", ""&amp;O$3)&amp;""]'!D1:D20""),
      IMPORTRANGE($F$8,""'Sensitivity [""&amp;IF(O$3="""",O$2,O$2&amp;"", ""&amp;O$3)&amp;""]'!A1:A20"")=$E22
    ),
    """"
  ) = """",
  ""-"",
  "&amp;"O$5 * ( 1 +
    IFNA(
      FILTER(
        IMPORTRANGE($F$8,""'Sensitivity [""&amp;IF(O$3="""",O$2,O$2&amp;"", ""&amp;O$3)&amp;""]'!D1:D20""),
        IMPORTRANGE($F$8,""'Sensitivity [""&amp;IF(O$3="""",O$2,O$2&amp;"", ""&amp;O$3)&amp;""]'!A1:A20"")=$E22
      ),
      """"
    )
  )
)"&amp;", ""-"")
"),"-")</f>
        <v>-</v>
      </c>
      <c r="P22" s="843" t="s">
        <v>124</v>
      </c>
      <c r="Q22" s="835" t="str">
        <f>IFERROR(__xludf.DUMMYFUNCTION("iferror(IF(
  IFNA(
    FILTER(
      IMPORTRANGE($F$8,""'Sensitivity [""&amp;IF(O$3="""",O$2,O$2&amp;"", ""&amp;O$3)&amp;""]'!E1:E20""),
      IMPORTRANGE($F$8,""'Sensitivity [""&amp;IF(O$3="""",O$2,O$2&amp;"", ""&amp;O$3)&amp;""]'!A1:A20"")=$E22
    ),
    """"
  ) = """",
  ""-"",
  "&amp;"O$5 * ( 1 +
    IFNA(
      FILTER(
        IMPORTRANGE($F$8,""'Sensitivity [""&amp;IF(O$3="""",O$2,O$2&amp;"", ""&amp;O$3)&amp;""]'!E1:E20""),
        IMPORTRANGE($F$8,""'Sensitivity [""&amp;IF(O$3="""",O$2,O$2&amp;"", ""&amp;O$3)&amp;""]'!A1:A20"")=$E22
      ),
      """"
    )
  )
)"&amp;", ""-"")
"),"-")</f>
        <v>-</v>
      </c>
      <c r="R22" s="832" t="str">
        <f>IFERROR(__xludf.DUMMYFUNCTION("Iferror(IF(
  IFNA(
    FILTER(
      IMPORTRANGE($F$8,""'Sensitivity [""&amp;IF(R$3="""",R$2,R$2&amp;"", ""&amp;R$3)&amp;""]'!D1:D20""),
      IMPORTRANGE($F$8,""'Sensitivity [""&amp;IF(R$3="""",R$2,R$2&amp;"", ""&amp;R$3)&amp;""]'!A1:A20"")=$E22
    ),
    """"
  ) = """",
  ""-"",
  "&amp;"R$5 * ( 1 +
    IFNA(
      FILTER(
        IMPORTRANGE($F$8,""'Sensitivity [""&amp;IF(R$3="""",R$2,R$2&amp;"", ""&amp;R$3)&amp;""]'!D1:D20""),
        IMPORTRANGE($F$8,""'Sensitivity [""&amp;IF(R$3="""",R$2,R$2&amp;"", ""&amp;R$3)&amp;""]'!A1:A20"")=$E22
      ),
      """"
    )
  )
)"&amp;", ""-"")
"),"-")</f>
        <v>-</v>
      </c>
      <c r="S22" s="843" t="s">
        <v>124</v>
      </c>
      <c r="T22" s="835" t="str">
        <f>IFERROR(__xludf.DUMMYFUNCTION("iferror(IF(
  IFNA(
    FILTER(
      IMPORTRANGE($F$8,""'Sensitivity [""&amp;IF(R$3="""",R$2,R$2&amp;"", ""&amp;R$3)&amp;""]'!E1:E20""),
      IMPORTRANGE($F$8,""'Sensitivity [""&amp;IF(R$3="""",R$2,R$2&amp;"", ""&amp;R$3)&amp;""]'!A1:A20"")=$E22
    ),
    """"
  ) = """",
  ""-"",
  "&amp;"R$5 * ( 1 +
    IFNA(
      FILTER(
        IMPORTRANGE($F$8,""'Sensitivity [""&amp;IF(R$3="""",R$2,R$2&amp;"", ""&amp;R$3)&amp;""]'!E1:E20""),
        IMPORTRANGE($F$8,""'Sensitivity [""&amp;IF(R$3="""",R$2,R$2&amp;"", ""&amp;R$3)&amp;""]'!A1:A20"")=$E22
      ),
      """"
    )
  )
)"&amp;", ""-"")
"),"-")</f>
        <v>-</v>
      </c>
      <c r="U22" s="832" t="str">
        <f>IFERROR(__xludf.DUMMYFUNCTION("Iferror(IF(
  IFNA(
    FILTER(
      IMPORTRANGE($F$8,""'Sensitivity [""&amp;IF(U$3="""",U$2,U$2&amp;"", ""&amp;U$3)&amp;""]'!D1:D20""),
      IMPORTRANGE($F$8,""'Sensitivity [""&amp;IF(U$3="""",U$2,U$2&amp;"", ""&amp;U$3)&amp;""]'!A1:A20"")=$E22
    ),
    """"
  ) = """",
  ""-"",
  "&amp;"U$5 * ( 1 +
    IFNA(
      FILTER(
        IMPORTRANGE($F$8,""'Sensitivity [""&amp;IF(U$3="""",U$2,U$2&amp;"", ""&amp;U$3)&amp;""]'!D1:D20""),
        IMPORTRANGE($F$8,""'Sensitivity [""&amp;IF(U$3="""",U$2,U$2&amp;"", ""&amp;U$3)&amp;""]'!A1:A20"")=$E22
      ),
      """"
    )
  )
)"&amp;", ""-"")
"),"-")</f>
        <v>-</v>
      </c>
      <c r="V22" s="843" t="s">
        <v>124</v>
      </c>
      <c r="W22" s="835" t="str">
        <f>IFERROR(__xludf.DUMMYFUNCTION("iferror(IF(
  IFNA(
    FILTER(
      IMPORTRANGE($F$8,""'Sensitivity [""&amp;IF(U$3="""",U$2,U$2&amp;"", ""&amp;U$3)&amp;""]'!E1:E20""),
      IMPORTRANGE($F$8,""'Sensitivity [""&amp;IF(U$3="""",U$2,U$2&amp;"", ""&amp;U$3)&amp;""]'!A1:A20"")=$E22
    ),
    """"
  ) = """",
  ""-"",
  "&amp;"U$5 * ( 1 +
    IFNA(
      FILTER(
        IMPORTRANGE($F$8,""'Sensitivity [""&amp;IF(U$3="""",U$2,U$2&amp;"", ""&amp;U$3)&amp;""]'!E1:E20""),
        IMPORTRANGE($F$8,""'Sensitivity [""&amp;IF(U$3="""",U$2,U$2&amp;"", ""&amp;U$3)&amp;""]'!A1:A20"")=$E22
      ),
      """"
    )
  )
)"&amp;", ""-"")
"),"-")</f>
        <v>-</v>
      </c>
      <c r="X22" s="832" t="str">
        <f>IFERROR(__xludf.DUMMYFUNCTION("Iferror(IF(
  IFNA(
    FILTER(
      IMPORTRANGE($F$8,""'Sensitivity [""&amp;IF(X$3="""",X$2,X$2&amp;"", ""&amp;X$3)&amp;""]'!D1:D20""),
      IMPORTRANGE($F$8,""'Sensitivity [""&amp;IF(X$3="""",X$2,X$2&amp;"", ""&amp;X$3)&amp;""]'!A1:A20"")=$E22
    ),
    """"
  ) = """",
  ""-"",
  "&amp;"X$5 * ( 1 +
    IFNA(
      FILTER(
        IMPORTRANGE($F$8,""'Sensitivity [""&amp;IF(X$3="""",X$2,X$2&amp;"", ""&amp;X$3)&amp;""]'!D1:D20""),
        IMPORTRANGE($F$8,""'Sensitivity [""&amp;IF(X$3="""",X$2,X$2&amp;"", ""&amp;X$3)&amp;""]'!A1:A20"")=$E22
      ),
      """"
    )
  )
)"&amp;", ""-"")
"),"-")</f>
        <v>-</v>
      </c>
      <c r="Y22" s="843" t="s">
        <v>124</v>
      </c>
      <c r="Z22" s="835" t="str">
        <f>IFERROR(__xludf.DUMMYFUNCTION("iferror(IF(
  IFNA(
    FILTER(
      IMPORTRANGE($F$8,""'Sensitivity [""&amp;IF(X$3="""",X$2,X$2&amp;"", ""&amp;X$3)&amp;""]'!E1:E20""),
      IMPORTRANGE($F$8,""'Sensitivity [""&amp;IF(X$3="""",X$2,X$2&amp;"", ""&amp;X$3)&amp;""]'!A1:A20"")=$E22
    ),
    """"
  ) = """",
  ""-"",
  "&amp;"X$5 * ( 1 +
    IFNA(
      FILTER(
        IMPORTRANGE($F$8,""'Sensitivity [""&amp;IF(X$3="""",X$2,X$2&amp;"", ""&amp;X$3)&amp;""]'!E1:E20""),
        IMPORTRANGE($F$8,""'Sensitivity [""&amp;IF(X$3="""",X$2,X$2&amp;"", ""&amp;X$3)&amp;""]'!A1:A20"")=$E22
      ),
      """"
    )
  )
)"&amp;", ""-"")
"),"-")</f>
        <v>-</v>
      </c>
      <c r="AA22" s="832" t="str">
        <f>IFERROR(__xludf.DUMMYFUNCTION("Iferror(IF(
  IFNA(
    FILTER(
      IMPORTRANGE($F$8,""'Sensitivity [""&amp;IF(AA$3="""",AA$2,AA$2&amp;"", ""&amp;AA$3)&amp;""]'!D1:D20""),
      IMPORTRANGE($F$8,""'Sensitivity [""&amp;IF(AA$3="""",AA$2,AA$2&amp;"", ""&amp;AA$3)&amp;""]'!A1:A20"")=$E22
    ),
    """"
  ) = """",
  "&amp;"""-"",
  AA$5 * ( 1 +
    IFNA(
      FILTER(
        IMPORTRANGE($F$8,""'Sensitivity [""&amp;IF(AA$3="""",AA$2,AA$2&amp;"", ""&amp;AA$3)&amp;""]'!D1:D20""),
        IMPORTRANGE($F$8,""'Sensitivity [""&amp;IF(AA$3="""",AA$2,AA$2&amp;"", ""&amp;AA$3)&amp;""]'!A1:A20"")=$E22
      ),
    "&amp;"  """"
    )
  )
), ""-"")
"),"-")</f>
        <v>-</v>
      </c>
      <c r="AB22" s="843" t="s">
        <v>124</v>
      </c>
      <c r="AC22" s="835" t="str">
        <f>IFERROR(__xludf.DUMMYFUNCTION("iferror(IF(
  IFNA(
    FILTER(
      IMPORTRANGE($F$8,""'Sensitivity [""&amp;IF(AA$3="""",AA$2,AA$2&amp;"", ""&amp;AA$3)&amp;""]'!E1:E20""),
      IMPORTRANGE($F$8,""'Sensitivity [""&amp;IF(AA$3="""",AA$2,AA$2&amp;"", ""&amp;AA$3)&amp;""]'!A1:A20"")=$E22
    ),
    """"
  ) = """",
  "&amp;"""-"",
  AA$5 * ( 1 +
    IFNA(
      FILTER(
        IMPORTRANGE($F$8,""'Sensitivity [""&amp;IF(AA$3="""",AA$2,AA$2&amp;"", ""&amp;AA$3)&amp;""]'!E1:E20""),
        IMPORTRANGE($F$8,""'Sensitivity [""&amp;IF(AA$3="""",AA$2,AA$2&amp;"", ""&amp;AA$3)&amp;""]'!A1:A20"")=$E22
      ),
    "&amp;"  """"
    )
  )
), ""-"")
"),"-")</f>
        <v>-</v>
      </c>
      <c r="AD22" s="832" t="str">
        <f>IFERROR(__xludf.DUMMYFUNCTION("Iferror(IF(
  IFNA(
    FILTER(
      IMPORTRANGE($F$8,""'Sensitivity [""&amp;IF(AD$3="""",AD$2,AD$2&amp;"", ""&amp;AD$3)&amp;""]'!D1:D20""),
      IMPORTRANGE($F$8,""'Sensitivity [""&amp;IF(AD$3="""",AD$2,AD$2&amp;"", ""&amp;AD$3)&amp;""]'!A1:A20"")=$E22
    ),
    """"
  ) = """",
  "&amp;"""-"",
  AD$5 * ( 1 +
    IFNA(
      FILTER(
        IMPORTRANGE($F$8,""'Sensitivity [""&amp;IF(AD$3="""",AD$2,AD$2&amp;"", ""&amp;AD$3)&amp;""]'!D1:D20""),
        IMPORTRANGE($F$8,""'Sensitivity [""&amp;IF(AD$3="""",AD$2,AD$2&amp;"", ""&amp;AD$3)&amp;""]'!A1:A20"")=$E22
      ),
    "&amp;"  """"
    )
  )
), ""-"")
"),"-")</f>
        <v>-</v>
      </c>
      <c r="AE22" s="843" t="s">
        <v>124</v>
      </c>
      <c r="AF22" s="835" t="str">
        <f>IFERROR(__xludf.DUMMYFUNCTION("iferror(IF(
  IFNA(
    FILTER(
      IMPORTRANGE($F$8,""'Sensitivity [""&amp;IF(AD$3="""",AD$2,AD$2&amp;"", ""&amp;AD$3)&amp;""]'!E1:E20""),
      IMPORTRANGE($F$8,""'Sensitivity [""&amp;IF(AD$3="""",AD$2,AD$2&amp;"", ""&amp;AD$3)&amp;""]'!A1:A20"")=$E22
    ),
    """"
  ) = """",
  "&amp;"""-"",
  AD$5 * ( 1 +
    IFNA(
      FILTER(
        IMPORTRANGE($F$8,""'Sensitivity [""&amp;IF(AD$3="""",AD$2,AD$2&amp;"", ""&amp;AD$3)&amp;""]'!E1:E20""),
        IMPORTRANGE($F$8,""'Sensitivity [""&amp;IF(AD$3="""",AD$2,AD$2&amp;"", ""&amp;AD$3)&amp;""]'!A1:A20"")=$E22
      ),
    "&amp;"  """"
    )
  )
), ""-"")
"),"-")</f>
        <v>-</v>
      </c>
      <c r="AG22" s="832" t="str">
        <f>IFERROR(__xludf.DUMMYFUNCTION("Iferror(IF(
  IFNA(
    FILTER(
      IMPORTRANGE($F$8,""'Sensitivity [""&amp;IF(AG$3="""",AG$2,AG$2&amp;"", ""&amp;AG$3)&amp;""]'!D1:D20""),
      IMPORTRANGE($F$8,""'Sensitivity [""&amp;IF(AG$3="""",AG$2,AG$2&amp;"", ""&amp;AG$3)&amp;""]'!A1:A20"")=$E22
    ),
    """"
  ) = """",
  "&amp;"""-"",
  AG$5 * ( 1 +
    IFNA(
      FILTER(
        IMPORTRANGE($F$8,""'Sensitivity [""&amp;IF(AG$3="""",AG$2,AG$2&amp;"", ""&amp;AG$3)&amp;""]'!D1:D20""),
        IMPORTRANGE($F$8,""'Sensitivity [""&amp;IF(AG$3="""",AG$2,AG$2&amp;"", ""&amp;AG$3)&amp;""]'!A1:A20"")=$E22
      ),
    "&amp;"  """"
    )
  )
), ""-"")
"),"-")</f>
        <v>-</v>
      </c>
      <c r="AH22" s="843" t="s">
        <v>124</v>
      </c>
      <c r="AI22" s="835" t="str">
        <f>IFERROR(__xludf.DUMMYFUNCTION("iferror(IF(
  IFNA(
    FILTER(
      IMPORTRANGE($F$8,""'Sensitivity [""&amp;IF(AG$3="""",AG$2,AG$2&amp;"", ""&amp;AG$3)&amp;""]'!E1:E20""),
      IMPORTRANGE($F$8,""'Sensitivity [""&amp;IF(AG$3="""",AG$2,AG$2&amp;"", ""&amp;AG$3)&amp;""]'!A1:A20"")=$E22
    ),
    """"
  ) = """",
  "&amp;"""-"",
  AG$5 * ( 1 +
    IFNA(
      FILTER(
        IMPORTRANGE($F$8,""'Sensitivity [""&amp;IF(AG$3="""",AG$2,AG$2&amp;"", ""&amp;AG$3)&amp;""]'!E1:E20""),
        IMPORTRANGE($F$8,""'Sensitivity [""&amp;IF(AG$3="""",AG$2,AG$2&amp;"", ""&amp;AG$3)&amp;""]'!A1:A20"")=$E22
      ),
    "&amp;"  """"
    )
  )
), ""-"")
"),"-")</f>
        <v>-</v>
      </c>
      <c r="AJ22" s="832" t="str">
        <f>IFERROR(__xludf.DUMMYFUNCTION("Iferror(IF(
  IFNA(
    FILTER(
      IMPORTRANGE($F$8,""'Sensitivity [""&amp;IF(AJ$3="""",AJ$2,AJ$2&amp;"", ""&amp;AJ$3)&amp;""]'!D1:D20""),
      IMPORTRANGE($F$8,""'Sensitivity [""&amp;IF(AJ$3="""",AJ$2,AJ$2&amp;"", ""&amp;AJ$3)&amp;""]'!A1:A20"")=$E22
    ),
    """"
  ) = """",
  "&amp;"""-"",
  AJ$5 * ( 1 +
    IFNA(
      FILTER(
        IMPORTRANGE($F$8,""'Sensitivity [""&amp;IF(AJ$3="""",AJ$2,AJ$2&amp;"", ""&amp;AJ$3)&amp;""]'!D1:D20""),
        IMPORTRANGE($F$8,""'Sensitivity [""&amp;IF(AJ$3="""",AJ$2,AJ$2&amp;"", ""&amp;AJ$3)&amp;""]'!A1:A20"")=$E22
      ),
    "&amp;"  """"
    )
  )
), ""-"")
"),"-")</f>
        <v>-</v>
      </c>
      <c r="AK22" s="843" t="s">
        <v>124</v>
      </c>
      <c r="AL22" s="835" t="str">
        <f>IFERROR(__xludf.DUMMYFUNCTION("iferror(IF(
  IFNA(
    FILTER(
      IMPORTRANGE($F$8,""'Sensitivity [""&amp;IF(AJ$3="""",AJ$2,AJ$2&amp;"", ""&amp;AJ$3)&amp;""]'!E1:E20""),
      IMPORTRANGE($F$8,""'Sensitivity [""&amp;IF(AJ$3="""",AJ$2,AJ$2&amp;"", ""&amp;AJ$3)&amp;""]'!A1:A20"")=$E22
    ),
    """"
  ) = """",
  "&amp;"""-"",
  AJ$5 * ( 1 +
    IFNA(
      FILTER(
        IMPORTRANGE($F$8,""'Sensitivity [""&amp;IF(AJ$3="""",AJ$2,AJ$2&amp;"", ""&amp;AJ$3)&amp;""]'!E1:E20""),
        IMPORTRANGE($F$8,""'Sensitivity [""&amp;IF(AJ$3="""",AJ$2,AJ$2&amp;"", ""&amp;AJ$3)&amp;""]'!A1:A20"")=$E22
      ),
    "&amp;"  """"
    )
  )
), ""-"")
"),"-")</f>
        <v>-</v>
      </c>
      <c r="AM22" s="832" t="str">
        <f>IFERROR(__xludf.DUMMYFUNCTION("Iferror(IF(
  IFNA(
    FILTER(
      IMPORTRANGE($F$8,""'Sensitivity [""&amp;IF(AM$3="""",AM$2,AM$2&amp;"", ""&amp;AM$3)&amp;""]'!D1:D20""),
      IMPORTRANGE($F$8,""'Sensitivity [""&amp;IF(AM$3="""",AM$2,AM$2&amp;"", ""&amp;AM$3)&amp;""]'!A1:A20"")=$E22
    ),
    """"
  ) = """",
  "&amp;"""-"",
  AM$5 * ( 1 +
    IFNA(
      FILTER(
        IMPORTRANGE($F$8,""'Sensitivity [""&amp;IF(AM$3="""",AM$2,AM$2&amp;"", ""&amp;AM$3)&amp;""]'!D1:D20""),
        IMPORTRANGE($F$8,""'Sensitivity [""&amp;IF(AM$3="""",AM$2,AM$2&amp;"", ""&amp;AM$3)&amp;""]'!A1:A20"")=$E22
      ),
    "&amp;"  """"
    )
  )
), ""-"")
"),"-")</f>
        <v>-</v>
      </c>
      <c r="AN22" s="843" t="s">
        <v>124</v>
      </c>
      <c r="AO22" s="835" t="str">
        <f>IFERROR(__xludf.DUMMYFUNCTION("iferror(IF(
  IFNA(
    FILTER(
      IMPORTRANGE($F$8,""'Sensitivity [""&amp;IF(AM$3="""",AM$2,AM$2&amp;"", ""&amp;AM$3)&amp;""]'!E1:E20""),
      IMPORTRANGE($F$8,""'Sensitivity [""&amp;IF(AM$3="""",AM$2,AM$2&amp;"", ""&amp;AM$3)&amp;""]'!A1:A20"")=$E22
    ),
    """"
  ) = """",
  "&amp;"""-"",
  AM$5 * ( 1 +
    IFNA(
      FILTER(
        IMPORTRANGE($F$8,""'Sensitivity [""&amp;IF(AM$3="""",AM$2,AM$2&amp;"", ""&amp;AM$3)&amp;""]'!E1:E20""),
        IMPORTRANGE($F$8,""'Sensitivity [""&amp;IF(AM$3="""",AM$2,AM$2&amp;"", ""&amp;AM$3)&amp;""]'!A1:A20"")=$E22
      ),
    "&amp;"  """"
    )
  )
), ""-"")
"),"-")</f>
        <v>-</v>
      </c>
      <c r="AP22" s="832" t="str">
        <f>IFERROR(__xludf.DUMMYFUNCTION("Iferror(IF(
  IFNA(
    FILTER(
      IMPORTRANGE($F$8,""'Sensitivity [""&amp;IF(AP$3="""",AP$2,AP$2&amp;"", ""&amp;AP$3)&amp;""]'!D1:D20""),
      IMPORTRANGE($F$8,""'Sensitivity [""&amp;IF(AP$3="""",AP$2,AP$2&amp;"", ""&amp;AP$3)&amp;""]'!A1:A20"")=$E22
    ),
    """"
  ) = """",
  "&amp;"""-"",
  AP$5 * ( 1 +
    IFNA(
      FILTER(
        IMPORTRANGE($F$8,""'Sensitivity [""&amp;IF(AP$3="""",AP$2,AP$2&amp;"", ""&amp;AP$3)&amp;""]'!D1:D20""),
        IMPORTRANGE($F$8,""'Sensitivity [""&amp;IF(AP$3="""",AP$2,AP$2&amp;"", ""&amp;AP$3)&amp;""]'!A1:A20"")=$E22
      ),
    "&amp;"  """"
    )
  )
), ""-"")
"),"-")</f>
        <v>-</v>
      </c>
      <c r="AQ22" s="843" t="s">
        <v>124</v>
      </c>
      <c r="AR22" s="835" t="str">
        <f>IFERROR(__xludf.DUMMYFUNCTION("iferror(IF(
  IFNA(
    FILTER(
      IMPORTRANGE($F$8,""'Sensitivity [""&amp;IF(AP$3="""",AP$2,AP$2&amp;"", ""&amp;AP$3)&amp;""]'!E1:E20""),
      IMPORTRANGE($F$8,""'Sensitivity [""&amp;IF(AP$3="""",AP$2,AP$2&amp;"", ""&amp;AP$3)&amp;""]'!A1:A20"")=$E22
    ),
    """"
  ) = """",
  "&amp;"""-"",
  AP$5 * ( 1 +
    IFNA(
      FILTER(
        IMPORTRANGE($F$8,""'Sensitivity [""&amp;IF(AP$3="""",AP$2,AP$2&amp;"", ""&amp;AP$3)&amp;""]'!E1:E20""),
        IMPORTRANGE($F$8,""'Sensitivity [""&amp;IF(AP$3="""",AP$2,AP$2&amp;"", ""&amp;AP$3)&amp;""]'!A1:A20"")=$E22
      ),
    "&amp;"  """"
    )
  )
), ""-"")
"),"-")</f>
        <v>-</v>
      </c>
      <c r="AS22" s="832" t="str">
        <f>IFERROR(__xludf.DUMMYFUNCTION("Iferror(IF(
  IFNA(
    FILTER(
      IMPORTRANGE($F$8,""'Sensitivity [""&amp;IF(AS$3="""",AS$2,AS$2&amp;"", ""&amp;AS$3)&amp;""]'!D1:D20""),
      IMPORTRANGE($F$8,""'Sensitivity [""&amp;IF(AS$3="""",AS$2,AS$2&amp;"", ""&amp;AS$3)&amp;""]'!A1:A20"")=$E22
    ),
    """"
  ) = """",
  "&amp;"""-"",
  AS$5 * ( 1 +
    IFNA(
      FILTER(
        IMPORTRANGE($F$8,""'Sensitivity [""&amp;IF(AS$3="""",AS$2,AS$2&amp;"", ""&amp;AS$3)&amp;""]'!D1:D20""),
        IMPORTRANGE($F$8,""'Sensitivity [""&amp;IF(AS$3="""",AS$2,AS$2&amp;"", ""&amp;AS$3)&amp;""]'!A1:A20"")=$E22
      ),
    "&amp;"  """"
    )
  )
), ""-"")
"),"-")</f>
        <v>-</v>
      </c>
      <c r="AT22" s="843" t="s">
        <v>124</v>
      </c>
      <c r="AU22" s="835" t="str">
        <f>IFERROR(__xludf.DUMMYFUNCTION("iferror(IF(
  IFNA(
    FILTER(
      IMPORTRANGE($F$8,""'Sensitivity [""&amp;IF(AS$3="""",AS$2,AS$2&amp;"", ""&amp;AS$3)&amp;""]'!E1:E20""),
      IMPORTRANGE($F$8,""'Sensitivity [""&amp;IF(AS$3="""",AS$2,AS$2&amp;"", ""&amp;AS$3)&amp;""]'!A1:A20"")=$E22
    ),
    """"
  ) = """",
  "&amp;"""-"",
  AS$5 * ( 1 +
    IFNA(
      FILTER(
        IMPORTRANGE($F$8,""'Sensitivity [""&amp;IF(AS$3="""",AS$2,AS$2&amp;"", ""&amp;AS$3)&amp;""]'!E1:E20""),
        IMPORTRANGE($F$8,""'Sensitivity [""&amp;IF(AS$3="""",AS$2,AS$2&amp;"", ""&amp;AS$3)&amp;""]'!A1:A20"")=$E22
      ),
    "&amp;"  """"
    )
  )
), ""-"")
"),"-")</f>
        <v>-</v>
      </c>
      <c r="AV22" s="832" t="str">
        <f>IFERROR(__xludf.DUMMYFUNCTION("Iferror(IF(
  IFNA(
    FILTER(
      IMPORTRANGE($F$8,""'Sensitivity [""&amp;IF(AV$3="""",AV$2,AV$2&amp;"", ""&amp;AV$3)&amp;""]'!D1:D20""),
      IMPORTRANGE($F$8,""'Sensitivity [""&amp;IF(AV$3="""",AV$2,AV$2&amp;"", ""&amp;AV$3)&amp;""]'!A1:A20"")=$E22
    ),
    """"
  ) = """",
  "&amp;"""-"",
  AV$5 * ( 1 +
    IFNA(
      FILTER(
        IMPORTRANGE($F$8,""'Sensitivity [""&amp;IF(AV$3="""",AV$2,AV$2&amp;"", ""&amp;AV$3)&amp;""]'!D1:D20""),
        IMPORTRANGE($F$8,""'Sensitivity [""&amp;IF(AV$3="""",AV$2,AV$2&amp;"", ""&amp;AV$3)&amp;""]'!A1:A20"")=$E22
      ),
    "&amp;"  """"
    )
  )
), ""-"")
"),"-")</f>
        <v>-</v>
      </c>
      <c r="AW22" s="843" t="s">
        <v>124</v>
      </c>
      <c r="AX22" s="835" t="str">
        <f>IFERROR(__xludf.DUMMYFUNCTION("iferror(IF(
  IFNA(
    FILTER(
      IMPORTRANGE($F$8,""'Sensitivity [""&amp;IF(AV$3="""",AV$2,AV$2&amp;"", ""&amp;AV$3)&amp;""]'!E1:E20""),
      IMPORTRANGE($F$8,""'Sensitivity [""&amp;IF(AV$3="""",AV$2,AV$2&amp;"", ""&amp;AV$3)&amp;""]'!A1:A20"")=$E22
    ),
    """"
  ) = """",
  "&amp;"""-"",
  AV$5 * ( 1 +
    IFNA(
      FILTER(
        IMPORTRANGE($F$8,""'Sensitivity [""&amp;IF(AV$3="""",AV$2,AV$2&amp;"", ""&amp;AV$3)&amp;""]'!E1:E20""),
        IMPORTRANGE($F$8,""'Sensitivity [""&amp;IF(AV$3="""",AV$2,AV$2&amp;"", ""&amp;AV$3)&amp;""]'!A1:A20"")=$E22
      ),
    "&amp;"  """"
    )
  )
), ""-"")
"),"-")</f>
        <v>-</v>
      </c>
      <c r="AY22" s="832" t="str">
        <f>IFERROR(__xludf.DUMMYFUNCTION("Iferror(IF(
  IFNA(
    FILTER(
      IMPORTRANGE($F$8,""'Sensitivity [""&amp;IF(AY$3="""",AY$2,AY$2&amp;"", ""&amp;AY$3)&amp;""]'!D1:D20""),
      IMPORTRANGE($F$8,""'Sensitivity [""&amp;IF(AY$3="""",AY$2,AY$2&amp;"", ""&amp;AY$3)&amp;""]'!A1:A20"")=$E22
    ),
    """"
  ) = """",
  "&amp;"""-"",
  AY$5 * ( 1 +
    IFNA(
      FILTER(
        IMPORTRANGE($F$8,""'Sensitivity [""&amp;IF(AY$3="""",AY$2,AY$2&amp;"", ""&amp;AY$3)&amp;""]'!D1:D20""),
        IMPORTRANGE($F$8,""'Sensitivity [""&amp;IF(AY$3="""",AY$2,AY$2&amp;"", ""&amp;AY$3)&amp;""]'!A1:A20"")=$E22
      ),
    "&amp;"  """"
    )
  )
), ""-"")
"),"-")</f>
        <v>-</v>
      </c>
      <c r="AZ22" s="843" t="s">
        <v>124</v>
      </c>
      <c r="BA22" s="835" t="str">
        <f>IFERROR(__xludf.DUMMYFUNCTION("iferror(IF(
  IFNA(
    FILTER(
      IMPORTRANGE($F$8,""'Sensitivity [""&amp;IF(AY$3="""",AY$2,AY$2&amp;"", ""&amp;AY$3)&amp;""]'!E1:E20""),
      IMPORTRANGE($F$8,""'Sensitivity [""&amp;IF(AY$3="""",AY$2,AY$2&amp;"", ""&amp;AY$3)&amp;""]'!A1:A20"")=$E22
    ),
    """"
  ) = """",
  "&amp;"""-"",
  AY$5 * ( 1 +
    IFNA(
      FILTER(
        IMPORTRANGE($F$8,""'Sensitivity [""&amp;IF(AY$3="""",AY$2,AY$2&amp;"", ""&amp;AY$3)&amp;""]'!E1:E20""),
        IMPORTRANGE($F$8,""'Sensitivity [""&amp;IF(AY$3="""",AY$2,AY$2&amp;"", ""&amp;AY$3)&amp;""]'!A1:A20"")=$E22
      ),
    "&amp;"  """"
    )
  )
), ""-"")
"),"-")</f>
        <v>-</v>
      </c>
      <c r="BB22" s="832" t="str">
        <f>IFERROR(__xludf.DUMMYFUNCTION("Iferror(IF(
  IFNA(
    FILTER(
      IMPORTRANGE($F$8,""'Sensitivity [""&amp;IF(BB$3="""",BB$2,BB$2&amp;"", ""&amp;BB$3)&amp;""]'!D1:D20""),
      IMPORTRANGE($F$8,""'Sensitivity [""&amp;IF(BB$3="""",BB$2,BB$2&amp;"", ""&amp;BB$3)&amp;""]'!A1:A20"")=$E22
    ),
    """"
  ) = """",
  "&amp;"""-"",
  BB$5 * ( 1 +
    IFNA(
      FILTER(
        IMPORTRANGE($F$8,""'Sensitivity [""&amp;IF(BB$3="""",BB$2,BB$2&amp;"", ""&amp;BB$3)&amp;""]'!D1:D20""),
        IMPORTRANGE($F$8,""'Sensitivity [""&amp;IF(BB$3="""",BB$2,BB$2&amp;"", ""&amp;BB$3)&amp;""]'!A1:A20"")=$E22
      ),
    "&amp;"  """"
    )
  )
), ""-"")
"),"-")</f>
        <v>-</v>
      </c>
      <c r="BC22" s="843" t="s">
        <v>124</v>
      </c>
      <c r="BD22" s="835" t="str">
        <f>IFERROR(__xludf.DUMMYFUNCTION("iferror(IF(
  IFNA(
    FILTER(
      IMPORTRANGE($F$8,""'Sensitivity [""&amp;IF(BB$3="""",BB$2,BB$2&amp;"", ""&amp;BB$3)&amp;""]'!E1:E20""),
      IMPORTRANGE($F$8,""'Sensitivity [""&amp;IF(BB$3="""",BB$2,BB$2&amp;"", ""&amp;BB$3)&amp;""]'!A1:A20"")=$E22
    ),
    """"
  ) = """",
  "&amp;"""-"",
  BB$5 * ( 1 +
    IFNA(
      FILTER(
        IMPORTRANGE($F$8,""'Sensitivity [""&amp;IF(BB$3="""",BB$2,BB$2&amp;"", ""&amp;BB$3)&amp;""]'!E1:E20""),
        IMPORTRANGE($F$8,""'Sensitivity [""&amp;IF(BB$3="""",BB$2,BB$2&amp;"", ""&amp;BB$3)&amp;""]'!A1:A20"")=$E22
      ),
    "&amp;"  """"
    )
  )
), ""-"")
"),"-")</f>
        <v>-</v>
      </c>
      <c r="BE22" s="832" t="str">
        <f>IFERROR(__xludf.DUMMYFUNCTION("Iferror(IF(
  IFNA(
    FILTER(
      IMPORTRANGE($F$8,""'Sensitivity [""&amp;IF(BE$3="""",BE$2,BE$2&amp;"", ""&amp;BE$3)&amp;""]'!D1:D20""),
      IMPORTRANGE($F$8,""'Sensitivity [""&amp;IF(BE$3="""",BE$2,BE$2&amp;"", ""&amp;BE$3)&amp;""]'!A1:A20"")=$E22
    ),
    """"
  ) = """",
  "&amp;"""-"",
  BE$5 * ( 1 +
    IFNA(
      FILTER(
        IMPORTRANGE($F$8,""'Sensitivity [""&amp;IF(BE$3="""",BE$2,BE$2&amp;"", ""&amp;BE$3)&amp;""]'!D1:D20""),
        IMPORTRANGE($F$8,""'Sensitivity [""&amp;IF(BE$3="""",BE$2,BE$2&amp;"", ""&amp;BE$3)&amp;""]'!A1:A20"")=$E22
      ),
    "&amp;"  """"
    )
  )
), ""-"")
"),"-")</f>
        <v>-</v>
      </c>
      <c r="BF22" s="843" t="s">
        <v>124</v>
      </c>
      <c r="BG22" s="835" t="str">
        <f>IFERROR(__xludf.DUMMYFUNCTION("iferror(IF(
  IFNA(
    FILTER(
      IMPORTRANGE($F$8,""'Sensitivity [""&amp;IF(BE$3="""",BE$2,BE$2&amp;"", ""&amp;BE$3)&amp;""]'!E1:E20""),
      IMPORTRANGE($F$8,""'Sensitivity [""&amp;IF(BE$3="""",BE$2,BE$2&amp;"", ""&amp;BE$3)&amp;""]'!A1:A20"")=$E22
    ),
    """"
  ) = """",
  "&amp;"""-"",
  BE$5 * ( 1 +
    IFNA(
      FILTER(
        IMPORTRANGE($F$8,""'Sensitivity [""&amp;IF(BE$3="""",BE$2,BE$2&amp;"", ""&amp;BE$3)&amp;""]'!E1:E20""),
        IMPORTRANGE($F$8,""'Sensitivity [""&amp;IF(BE$3="""",BE$2,BE$2&amp;"", ""&amp;BE$3)&amp;""]'!A1:A20"")=$E22
      ),
    "&amp;"  """"
    )
  )
), ""-"")
"),"-")</f>
        <v>-</v>
      </c>
      <c r="BH22" s="615"/>
    </row>
    <row r="23">
      <c r="A23" s="400"/>
      <c r="B23" s="400"/>
      <c r="C23" s="400"/>
      <c r="D23" s="400"/>
      <c r="E23" s="400"/>
      <c r="F23" s="830"/>
      <c r="G23" s="824"/>
      <c r="H23" s="824"/>
      <c r="I23" s="824"/>
      <c r="J23" s="824"/>
      <c r="K23" s="824"/>
      <c r="L23" s="827"/>
      <c r="M23" s="827"/>
      <c r="N23" s="827"/>
      <c r="O23" s="827"/>
      <c r="P23" s="827"/>
      <c r="Q23" s="827"/>
      <c r="R23" s="827"/>
      <c r="S23" s="827"/>
      <c r="T23" s="827"/>
      <c r="U23" s="827"/>
      <c r="V23" s="827"/>
      <c r="W23" s="827"/>
      <c r="X23" s="827"/>
      <c r="Y23" s="827"/>
      <c r="Z23" s="827"/>
      <c r="AA23" s="827"/>
      <c r="AB23" s="827"/>
      <c r="AC23" s="827"/>
      <c r="AD23" s="827"/>
      <c r="AE23" s="827"/>
      <c r="AF23" s="827"/>
      <c r="AG23" s="827"/>
      <c r="AH23" s="827"/>
      <c r="AI23" s="827"/>
      <c r="AJ23" s="827"/>
      <c r="AK23" s="827"/>
      <c r="AL23" s="827"/>
      <c r="AM23" s="827"/>
      <c r="AN23" s="827"/>
      <c r="AO23" s="827"/>
      <c r="AP23" s="827"/>
      <c r="AQ23" s="827"/>
      <c r="AR23" s="827"/>
      <c r="AS23" s="827"/>
      <c r="AT23" s="827"/>
      <c r="AU23" s="827"/>
      <c r="AV23" s="827"/>
      <c r="AW23" s="827"/>
      <c r="AX23" s="827"/>
      <c r="AY23" s="827"/>
      <c r="AZ23" s="827"/>
      <c r="BA23" s="827"/>
      <c r="BB23" s="827"/>
      <c r="BC23" s="827"/>
      <c r="BD23" s="827"/>
      <c r="BE23" s="827"/>
      <c r="BF23" s="827"/>
      <c r="BG23" s="827"/>
      <c r="BH23" s="220"/>
    </row>
    <row r="24">
      <c r="A24" s="900" t="s">
        <v>588</v>
      </c>
      <c r="B24" s="17"/>
      <c r="C24" s="17"/>
      <c r="D24" s="17"/>
      <c r="E24" s="17"/>
      <c r="F24" s="818"/>
      <c r="G24" s="819"/>
      <c r="H24" s="820"/>
      <c r="I24" s="818"/>
      <c r="J24" s="819"/>
      <c r="K24" s="820"/>
      <c r="L24" s="901"/>
      <c r="M24" s="815"/>
      <c r="N24" s="902"/>
      <c r="O24" s="901"/>
      <c r="P24" s="815"/>
      <c r="Q24" s="902"/>
      <c r="R24" s="901"/>
      <c r="S24" s="815"/>
      <c r="T24" s="902"/>
      <c r="U24" s="901"/>
      <c r="V24" s="815"/>
      <c r="W24" s="902"/>
      <c r="X24" s="901"/>
      <c r="Y24" s="815"/>
      <c r="Z24" s="902"/>
      <c r="AA24" s="901"/>
      <c r="AB24" s="815"/>
      <c r="AC24" s="902"/>
      <c r="AD24" s="901"/>
      <c r="AE24" s="815"/>
      <c r="AF24" s="902"/>
      <c r="AG24" s="901"/>
      <c r="AH24" s="815"/>
      <c r="AI24" s="902"/>
      <c r="AJ24" s="901"/>
      <c r="AK24" s="815"/>
      <c r="AL24" s="902"/>
      <c r="AM24" s="901"/>
      <c r="AN24" s="815"/>
      <c r="AO24" s="902"/>
      <c r="AP24" s="901"/>
      <c r="AQ24" s="815"/>
      <c r="AR24" s="902"/>
      <c r="AS24" s="901"/>
      <c r="AT24" s="815"/>
      <c r="AU24" s="902"/>
      <c r="AV24" s="901"/>
      <c r="AW24" s="815"/>
      <c r="AX24" s="902"/>
      <c r="AY24" s="901"/>
      <c r="AZ24" s="815"/>
      <c r="BA24" s="902"/>
      <c r="BB24" s="901"/>
      <c r="BC24" s="815"/>
      <c r="BD24" s="902"/>
      <c r="BE24" s="901"/>
      <c r="BF24" s="815"/>
      <c r="BG24" s="902"/>
      <c r="BH24" s="817"/>
    </row>
    <row r="25">
      <c r="A25" s="895"/>
      <c r="B25" s="400"/>
      <c r="C25" s="400"/>
      <c r="D25" s="400"/>
      <c r="E25" s="508" t="s">
        <v>560</v>
      </c>
      <c r="F25" s="830">
        <f>IFERROR(__xludf.DUMMYFUNCTION("IFERROR(FILTER(IMPORTRANGE($F$8,""'Results [""&amp;if(F$3="""",F$2,F$2&amp;"", ""&amp;F$3)&amp;""]'!B1:B10""), IMPORTRANGE($F$8,""'Results [""&amp;if(F$3="""",F$2,F$2&amp;"", ""&amp;F$3)&amp;""]'!A1:A10"")=""25th Pctl""), ""-"")"),7.937644812120403)</f>
        <v>7.937644812</v>
      </c>
      <c r="G25" s="842" t="s">
        <v>124</v>
      </c>
      <c r="H25" s="831">
        <f>IFERROR(__xludf.DUMMYFUNCTION("IFERROR(FILTER(IMPORTRANGE($F$8,""'Results [""&amp;if(F$3="""",F$2,F$2&amp;"", ""&amp;F$3)&amp;""]'!B1:B10""), IMPORTRANGE($F$8,""'Results [""&amp;if(F$3="""",F$2,F$2&amp;"", ""&amp;F$3)&amp;""]'!A1:A10"")=""75th Pctl""), ""-"")"),24.646079811067146)</f>
        <v>24.64607981</v>
      </c>
      <c r="I25" s="830">
        <f>IFERROR(__xludf.DUMMYFUNCTION("IFERROR(FILTER(IMPORTRANGE($F$8,""'Results [""&amp;if(I$3="""",I$2,I$2&amp;"", ""&amp;I$3)&amp;""]'!B1:B10""), IMPORTRANGE($F$8,""'Results [""&amp;if(I$3="""",I$2,I$2&amp;"", ""&amp;I$3)&amp;""]'!A1:A10"")=""25th Pctl""), ""-"")"),3.836854178390491)</f>
        <v>3.836854178</v>
      </c>
      <c r="J25" s="842" t="s">
        <v>124</v>
      </c>
      <c r="K25" s="831">
        <f>IFERROR(__xludf.DUMMYFUNCTION("IFERROR(FILTER(IMPORTRANGE($F$8,""'Results [""&amp;if(I$3="""",I$2,I$2&amp;"", ""&amp;I$3)&amp;""]'!B1:B10""), IMPORTRANGE($F$8,""'Results [""&amp;if(I$3="""",I$2,I$2&amp;"", ""&amp;I$3)&amp;""]'!A1:A10"")=""75th Pctl""), ""-"")"),11.056021682330993)</f>
        <v>11.05602168</v>
      </c>
      <c r="L25" s="832" t="str">
        <f>IFERROR(__xludf.DUMMYFUNCTION("IFERROR(FILTER(IMPORTRANGE($F$8,""'Results [""&amp;if(L$3="""",L$2,L$2&amp;"", ""&amp;L$3)&amp;""]'!B1:B10""), IMPORTRANGE($F$8,""'Results [""&amp;if(L$3="""",L$2,L$2&amp;"", ""&amp;L$3)&amp;""]'!A1:A10"")=""25th Pctl""), ""-"")"),"-")</f>
        <v>-</v>
      </c>
      <c r="M25" s="843" t="s">
        <v>124</v>
      </c>
      <c r="N25" s="835" t="str">
        <f>IFERROR(__xludf.DUMMYFUNCTION("IFERROR(FILTER(IMPORTRANGE($F$8,""'Results [""&amp;if(L$3="""",L$2,L$2&amp;"", ""&amp;L$3)&amp;""]'!B1:B10""), IMPORTRANGE($F$8,""'Results [""&amp;if(L$3="""",L$2,L$2&amp;"", ""&amp;L$3)&amp;""]'!A1:A10"")=""75th Pctl""), ""-"")"),"-")</f>
        <v>-</v>
      </c>
      <c r="O25" s="832" t="str">
        <f>IFERROR(__xludf.DUMMYFUNCTION("IFERROR(FILTER(IMPORTRANGE($F$8,""'Results [""&amp;if(O$3="""",O$2,O$2&amp;"", ""&amp;O$3)&amp;""]'!B1:B10""), IMPORTRANGE($F$8,""'Results [""&amp;if(O$3="""",O$2,O$2&amp;"", ""&amp;O$3)&amp;""]'!A1:A10"")=""25th Pctl""), ""-"")"),"-")</f>
        <v>-</v>
      </c>
      <c r="P25" s="843" t="s">
        <v>124</v>
      </c>
      <c r="Q25" s="835" t="str">
        <f>IFERROR(__xludf.DUMMYFUNCTION("IFERROR(FILTER(IMPORTRANGE($F$8,""'Results [""&amp;if(O$3="""",O$2,O$2&amp;"", ""&amp;O$3)&amp;""]'!B1:B10""), IMPORTRANGE($F$8,""'Results [""&amp;if(O$3="""",O$2,O$2&amp;"", ""&amp;O$3)&amp;""]'!A1:A10"")=""75th Pctl""), ""-"")"),"-")</f>
        <v>-</v>
      </c>
      <c r="R25" s="832" t="str">
        <f>IFERROR(__xludf.DUMMYFUNCTION("IFERROR(FILTER(IMPORTRANGE($F$8,""'Results [""&amp;if(R$3="""",R$2,R$2&amp;"", ""&amp;R$3)&amp;""]'!B1:B10""), IMPORTRANGE($F$8,""'Results [""&amp;if(R$3="""",R$2,R$2&amp;"", ""&amp;R$3)&amp;""]'!A1:A10"")=""25th Pctl""), ""-"")"),"-")</f>
        <v>-</v>
      </c>
      <c r="S25" s="843" t="s">
        <v>124</v>
      </c>
      <c r="T25" s="835" t="str">
        <f>IFERROR(__xludf.DUMMYFUNCTION("IFERROR(FILTER(IMPORTRANGE($F$8,""'Results [""&amp;if(R$3="""",R$2,R$2&amp;"", ""&amp;R$3)&amp;""]'!B1:B10""), IMPORTRANGE($F$8,""'Results [""&amp;if(R$3="""",R$2,R$2&amp;"", ""&amp;R$3)&amp;""]'!A1:A10"")=""75th Pctl""), ""-"")"),"-")</f>
        <v>-</v>
      </c>
      <c r="U25" s="832" t="str">
        <f>IFERROR(__xludf.DUMMYFUNCTION("IFERROR(FILTER(IMPORTRANGE($F$8,""'Results [""&amp;if(U$3="""",U$2,U$2&amp;"", ""&amp;U$3)&amp;""]'!B1:B10""), IMPORTRANGE($F$8,""'Results [""&amp;if(U$3="""",U$2,U$2&amp;"", ""&amp;U$3)&amp;""]'!A1:A10"")=""25th Pctl""), ""-"")"),"-")</f>
        <v>-</v>
      </c>
      <c r="V25" s="843" t="s">
        <v>124</v>
      </c>
      <c r="W25" s="835" t="str">
        <f>IFERROR(__xludf.DUMMYFUNCTION("IFERROR(FILTER(IMPORTRANGE($F$8,""'Results [""&amp;if(U$3="""",U$2,U$2&amp;"", ""&amp;U$3)&amp;""]'!B1:B10""), IMPORTRANGE($F$8,""'Results [""&amp;if(U$3="""",U$2,U$2&amp;"", ""&amp;U$3)&amp;""]'!A1:A10"")=""75th Pctl""), ""-"")"),"-")</f>
        <v>-</v>
      </c>
      <c r="X25" s="832" t="str">
        <f>IFERROR(__xludf.DUMMYFUNCTION("IFERROR(FILTER(IMPORTRANGE($F$8,""'Results [""&amp;if(X$3="""",X$2,X$2&amp;"", ""&amp;X$3)&amp;""]'!B1:B10""), IMPORTRANGE($F$8,""'Results [""&amp;if(X$3="""",X$2,X$2&amp;"", ""&amp;X$3)&amp;""]'!A1:A10"")=""25th Pctl""), ""-"")"),"-")</f>
        <v>-</v>
      </c>
      <c r="Y25" s="843" t="s">
        <v>124</v>
      </c>
      <c r="Z25" s="835" t="str">
        <f>IFERROR(__xludf.DUMMYFUNCTION("IFERROR(FILTER(IMPORTRANGE($F$8,""'Results [""&amp;if(X$3="""",X$2,X$2&amp;"", ""&amp;X$3)&amp;""]'!B1:B10""), IMPORTRANGE($F$8,""'Results [""&amp;if(X$3="""",X$2,X$2&amp;"", ""&amp;X$3)&amp;""]'!A1:A10"")=""75th Pctl""), ""-"")"),"-")</f>
        <v>-</v>
      </c>
      <c r="AA25" s="832">
        <f>IFERROR(__xludf.DUMMYFUNCTION("IFERROR(FILTER(IMPORTRANGE($F$8,""'Results [""&amp;if(AA$3="""",AA$2,AA$2&amp;"", ""&amp;AA$3)&amp;""]'!B1:B10""), IMPORTRANGE($F$8,""'Results [""&amp;if(AA$3="""",AA$2,AA$2&amp;"", ""&amp;AA$3)&amp;""]'!A1:A10"")=""25th Pctl""), ""-"")"),10.814207345198591)</f>
        <v>10.81420735</v>
      </c>
      <c r="AB25" s="843" t="s">
        <v>124</v>
      </c>
      <c r="AC25" s="835">
        <f>IFERROR(__xludf.DUMMYFUNCTION("IFERROR(FILTER(IMPORTRANGE($F$8,""'Results [""&amp;if(AA$3="""",AA$2,AA$2&amp;"", ""&amp;AA$3)&amp;""]'!B1:B10""), IMPORTRANGE($F$8,""'Results [""&amp;if(AA$3="""",AA$2,AA$2&amp;"", ""&amp;AA$3)&amp;""]'!A1:A10"")=""75th Pctl""), ""-"")"),29.16706083649865)</f>
        <v>29.16706084</v>
      </c>
      <c r="AD25" s="832">
        <f>IFERROR(__xludf.DUMMYFUNCTION("IFERROR(FILTER(IMPORTRANGE($F$8,""'Results [""&amp;if(AD$3="""",AD$2,AD$2&amp;"", ""&amp;AD$3)&amp;""]'!B1:B10""), IMPORTRANGE($F$8,""'Results [""&amp;if(AD$3="""",AD$2,AD$2&amp;"", ""&amp;AD$3)&amp;""]'!A1:A10"")=""25th Pctl""), ""-"")"),9.200599142133534)</f>
        <v>9.200599142</v>
      </c>
      <c r="AE25" s="843" t="s">
        <v>124</v>
      </c>
      <c r="AF25" s="835">
        <f>IFERROR(__xludf.DUMMYFUNCTION("IFERROR(FILTER(IMPORTRANGE($F$8,""'Results [""&amp;if(AD$3="""",AD$2,AD$2&amp;"", ""&amp;AD$3)&amp;""]'!B1:B10""), IMPORTRANGE($F$8,""'Results [""&amp;if(AD$3="""",AD$2,AD$2&amp;"", ""&amp;AD$3)&amp;""]'!A1:A10"")=""75th Pctl""), ""-"")"),25.334120876596575)</f>
        <v>25.33412088</v>
      </c>
      <c r="AG25" s="832">
        <f>IFERROR(__xludf.DUMMYFUNCTION("IFERROR(FILTER(IMPORTRANGE($F$8,""'Results [""&amp;if(AG$3="""",AG$2,AG$2&amp;"", ""&amp;AG$3)&amp;""]'!B1:B10""), IMPORTRANGE($F$8,""'Results [""&amp;if(AG$3="""",AG$2,AG$2&amp;"", ""&amp;AG$3)&amp;""]'!A1:A10"")=""25th Pctl""), ""-"")"),7.657714295807548)</f>
        <v>7.657714296</v>
      </c>
      <c r="AH25" s="843" t="s">
        <v>124</v>
      </c>
      <c r="AI25" s="835">
        <f>IFERROR(__xludf.DUMMYFUNCTION("IFERROR(FILTER(IMPORTRANGE($F$8,""'Results [""&amp;if(AG$3="""",AG$2,AG$2&amp;"", ""&amp;AG$3)&amp;""]'!B1:B10""), IMPORTRANGE($F$8,""'Results [""&amp;if(AG$3="""",AG$2,AG$2&amp;"", ""&amp;AG$3)&amp;""]'!A1:A10"")=""75th Pctl""), ""-"")"),21.80719302279825)</f>
        <v>21.80719302</v>
      </c>
      <c r="AJ25" s="832">
        <f>IFERROR(__xludf.DUMMYFUNCTION("IFERROR(FILTER(IMPORTRANGE($F$8,""'Results [""&amp;if(AJ$3="""",AJ$2,AJ$2&amp;"", ""&amp;AJ$3)&amp;""]'!B1:B10""), IMPORTRANGE($F$8,""'Results [""&amp;if(AJ$3="""",AJ$2,AJ$2&amp;"", ""&amp;AJ$3)&amp;""]'!A1:A10"")=""25th Pctl""), ""-"")"),14.46583736209826)</f>
        <v>14.46583736</v>
      </c>
      <c r="AK25" s="843" t="s">
        <v>124</v>
      </c>
      <c r="AL25" s="835">
        <f>IFERROR(__xludf.DUMMYFUNCTION("IFERROR(FILTER(IMPORTRANGE($F$8,""'Results [""&amp;if(AJ$3="""",AJ$2,AJ$2&amp;"", ""&amp;AJ$3)&amp;""]'!B1:B10""), IMPORTRANGE($F$8,""'Results [""&amp;if(AJ$3="""",AJ$2,AJ$2&amp;"", ""&amp;AJ$3)&amp;""]'!A1:A10"")=""75th Pctl""), ""-"")"),40.39761058948772)</f>
        <v>40.39761059</v>
      </c>
      <c r="AM25" s="832">
        <f>IFERROR(__xludf.DUMMYFUNCTION("IFERROR(FILTER(IMPORTRANGE($F$8,""'Results [""&amp;if(AM$3="""",AM$2,AM$2&amp;"", ""&amp;AM$3)&amp;""]'!B1:B10""), IMPORTRANGE($F$8,""'Results [""&amp;if(AM$3="""",AM$2,AM$2&amp;"", ""&amp;AM$3)&amp;""]'!A1:A10"")=""25th Pctl""), ""-"")"),11.025219471125721)</f>
        <v>11.02521947</v>
      </c>
      <c r="AN25" s="843" t="s">
        <v>124</v>
      </c>
      <c r="AO25" s="835">
        <f>IFERROR(__xludf.DUMMYFUNCTION("IFERROR(FILTER(IMPORTRANGE($F$8,""'Results [""&amp;if(AM$3="""",AM$2,AM$2&amp;"", ""&amp;AM$3)&amp;""]'!B1:B10""), IMPORTRANGE($F$8,""'Results [""&amp;if(AM$3="""",AM$2,AM$2&amp;"", ""&amp;AM$3)&amp;""]'!A1:A10"")=""75th Pctl""), ""-"")"),28.85151303789)</f>
        <v>28.85151304</v>
      </c>
      <c r="AP25" s="832">
        <f>IFERROR(__xludf.DUMMYFUNCTION("IFERROR(FILTER(IMPORTRANGE($F$8,""'Results [""&amp;if(AP$3="""",AP$2,AP$2&amp;"", ""&amp;AP$3)&amp;""]'!B1:B10""), IMPORTRANGE($F$8,""'Results [""&amp;if(AP$3="""",AP$2,AP$2&amp;"", ""&amp;AP$3)&amp;""]'!A1:A10"")=""25th Pctl""), ""-"")"),11.41451695830465)</f>
        <v>11.41451696</v>
      </c>
      <c r="AQ25" s="843" t="s">
        <v>124</v>
      </c>
      <c r="AR25" s="835">
        <f>IFERROR(__xludf.DUMMYFUNCTION("IFERROR(FILTER(IMPORTRANGE($F$8,""'Results [""&amp;if(AP$3="""",AP$2,AP$2&amp;"", ""&amp;AP$3)&amp;""]'!B1:B10""), IMPORTRANGE($F$8,""'Results [""&amp;if(AP$3="""",AP$2,AP$2&amp;"", ""&amp;AP$3)&amp;""]'!A1:A10"")=""75th Pctl""), ""-"")"),30.426905811132357)</f>
        <v>30.42690581</v>
      </c>
      <c r="AS25" s="832">
        <f>IFERROR(__xludf.DUMMYFUNCTION("IFERROR(FILTER(IMPORTRANGE($F$8,""'Results [""&amp;if(AS$3="""",AS$2,AS$2&amp;"", ""&amp;AS$3)&amp;""]'!B1:B10""), IMPORTRANGE($F$8,""'Results [""&amp;if(AS$3="""",AS$2,AS$2&amp;"", ""&amp;AS$3)&amp;""]'!A1:A10"")=""25th Pctl""), ""-"")"),11.965142989925441)</f>
        <v>11.96514299</v>
      </c>
      <c r="AT25" s="843" t="s">
        <v>124</v>
      </c>
      <c r="AU25" s="835">
        <f>IFERROR(__xludf.DUMMYFUNCTION("IFERROR(FILTER(IMPORTRANGE($F$8,""'Results [""&amp;if(AS$3="""",AS$2,AS$2&amp;"", ""&amp;AS$3)&amp;""]'!B1:B10""), IMPORTRANGE($F$8,""'Results [""&amp;if(AS$3="""",AS$2,AS$2&amp;"", ""&amp;AS$3)&amp;""]'!A1:A10"")=""75th Pctl""), ""-"")"),33.41076899497372)</f>
        <v>33.41076899</v>
      </c>
      <c r="AV25" s="832">
        <f>IFERROR(__xludf.DUMMYFUNCTION("IFERROR(FILTER(IMPORTRANGE($F$8,""'Results [""&amp;if(AV$3="""",AV$2,AV$2&amp;"", ""&amp;AV$3)&amp;""]'!B1:B10""), IMPORTRANGE($F$8,""'Results [""&amp;if(AV$3="""",AV$2,AV$2&amp;"", ""&amp;AV$3)&amp;""]'!A1:A10"")=""25th Pctl""), ""-"")"),8.156339344330233)</f>
        <v>8.156339344</v>
      </c>
      <c r="AW25" s="843" t="s">
        <v>124</v>
      </c>
      <c r="AX25" s="835">
        <f>IFERROR(__xludf.DUMMYFUNCTION("IFERROR(FILTER(IMPORTRANGE($F$8,""'Results [""&amp;if(AV$3="""",AV$2,AV$2&amp;"", ""&amp;AV$3)&amp;""]'!B1:B10""), IMPORTRANGE($F$8,""'Results [""&amp;if(AV$3="""",AV$2,AV$2&amp;"", ""&amp;AV$3)&amp;""]'!A1:A10"")=""75th Pctl""), ""-"")"),22.007365441146323)</f>
        <v>22.00736544</v>
      </c>
      <c r="AY25" s="832">
        <f>IFERROR(__xludf.DUMMYFUNCTION("IFERROR(FILTER(IMPORTRANGE($F$8,""'Results [""&amp;if(AY$3="""",AY$2,AY$2&amp;"", ""&amp;AY$3)&amp;""]'!B1:B10""), IMPORTRANGE($F$8,""'Results [""&amp;if(AY$3="""",AY$2,AY$2&amp;"", ""&amp;AY$3)&amp;""]'!A1:A10"")=""25th Pctl""), ""-"")"),16.043521882921848)</f>
        <v>16.04352188</v>
      </c>
      <c r="AZ25" s="843" t="s">
        <v>124</v>
      </c>
      <c r="BA25" s="835">
        <f>IFERROR(__xludf.DUMMYFUNCTION("IFERROR(FILTER(IMPORTRANGE($F$8,""'Results [""&amp;if(AY$3="""",AY$2,AY$2&amp;"", ""&amp;AY$3)&amp;""]'!B1:B10""), IMPORTRANGE($F$8,""'Results [""&amp;if(AY$3="""",AY$2,AY$2&amp;"", ""&amp;AY$3)&amp;""]'!A1:A10"")=""75th Pctl""), ""-"")"),40.22548771993252)</f>
        <v>40.22548772</v>
      </c>
      <c r="BB25" s="832">
        <f>IFERROR(__xludf.DUMMYFUNCTION("IFERROR(FILTER(IMPORTRANGE($F$8,""'Results [""&amp;if(BB$3="""",BB$2,BB$2&amp;"", ""&amp;BB$3)&amp;""]'!B1:B10""), IMPORTRANGE($F$8,""'Results [""&amp;if(BB$3="""",BB$2,BB$2&amp;"", ""&amp;BB$3)&amp;""]'!A1:A10"")=""25th Pctl""), ""-"")"),3.2966117267613555)</f>
        <v>3.296611727</v>
      </c>
      <c r="BC25" s="843" t="s">
        <v>124</v>
      </c>
      <c r="BD25" s="835">
        <f>IFERROR(__xludf.DUMMYFUNCTION("IFERROR(FILTER(IMPORTRANGE($F$8,""'Results [""&amp;if(BB$3="""",BB$2,BB$2&amp;"", ""&amp;BB$3)&amp;""]'!B1:B10""), IMPORTRANGE($F$8,""'Results [""&amp;if(BB$3="""",BB$2,BB$2&amp;"", ""&amp;BB$3)&amp;""]'!A1:A10"")=""75th Pctl""), ""-"")"),15.166483183474204)</f>
        <v>15.16648318</v>
      </c>
      <c r="BE25" s="832" t="str">
        <f>IFERROR(__xludf.DUMMYFUNCTION("IFERROR(FILTER(IMPORTRANGE($F$8,""'Results [""&amp;if(BE$3="""",BE$2,BE$2&amp;"", ""&amp;BE$3)&amp;""]'!B1:B10""), IMPORTRANGE($F$8,""'Results [""&amp;if(BE$3="""",BE$2,BE$2&amp;"", ""&amp;BE$3)&amp;""]'!A1:A10"")=""25th Pctl""), ""-"")"),"-")</f>
        <v>-</v>
      </c>
      <c r="BF25" s="843" t="s">
        <v>124</v>
      </c>
      <c r="BG25" s="835" t="str">
        <f>IFERROR(__xludf.DUMMYFUNCTION("IFERROR(FILTER(IMPORTRANGE($F$8,""'Results [""&amp;if(BE$3="""",BE$2,BE$2&amp;"", ""&amp;BE$3)&amp;""]'!B1:B10""), IMPORTRANGE($F$8,""'Results [""&amp;if(BE$3="""",BE$2,BE$2&amp;"", ""&amp;BE$3)&amp;""]'!A1:A10"")=""75th Pctl""), ""-"")"),"-")</f>
        <v>-</v>
      </c>
      <c r="BH25" s="615"/>
    </row>
    <row r="26">
      <c r="A26" s="400"/>
      <c r="B26" s="400"/>
      <c r="C26" s="400"/>
      <c r="D26" s="400"/>
      <c r="E26" s="400"/>
      <c r="F26" s="826"/>
      <c r="G26" s="827"/>
      <c r="H26" s="826"/>
      <c r="I26" s="826"/>
      <c r="J26" s="827"/>
      <c r="K26" s="826"/>
      <c r="L26" s="826"/>
      <c r="M26" s="827"/>
      <c r="N26" s="826"/>
      <c r="O26" s="826"/>
      <c r="P26" s="827"/>
      <c r="Q26" s="826"/>
      <c r="R26" s="826"/>
      <c r="S26" s="827"/>
      <c r="T26" s="826"/>
      <c r="U26" s="826"/>
      <c r="V26" s="827"/>
      <c r="W26" s="826"/>
      <c r="X26" s="826"/>
      <c r="Y26" s="827"/>
      <c r="Z26" s="826"/>
      <c r="AA26" s="826"/>
      <c r="AB26" s="827"/>
      <c r="AC26" s="826"/>
      <c r="AD26" s="826"/>
      <c r="AE26" s="827"/>
      <c r="AF26" s="826"/>
      <c r="AG26" s="826"/>
      <c r="AH26" s="827"/>
      <c r="AI26" s="826"/>
      <c r="AJ26" s="826"/>
      <c r="AK26" s="827"/>
      <c r="AL26" s="826"/>
      <c r="AM26" s="826"/>
      <c r="AN26" s="827"/>
      <c r="AO26" s="826"/>
      <c r="AP26" s="826"/>
      <c r="AQ26" s="827"/>
      <c r="AR26" s="826"/>
      <c r="AS26" s="826"/>
      <c r="AT26" s="827"/>
      <c r="AU26" s="826"/>
      <c r="AV26" s="826"/>
      <c r="AW26" s="827"/>
      <c r="AX26" s="826"/>
      <c r="AY26" s="826"/>
      <c r="AZ26" s="827"/>
      <c r="BA26" s="826"/>
      <c r="BB26" s="826"/>
      <c r="BC26" s="827"/>
      <c r="BD26" s="826"/>
      <c r="BE26" s="826"/>
      <c r="BF26" s="827"/>
      <c r="BG26" s="826"/>
      <c r="BH26" s="220"/>
    </row>
    <row r="27">
      <c r="A27" s="903" t="s">
        <v>563</v>
      </c>
      <c r="B27" s="17"/>
      <c r="C27" s="17"/>
      <c r="D27" s="17"/>
      <c r="E27" s="17"/>
      <c r="F27" s="821"/>
      <c r="G27" s="822"/>
      <c r="H27" s="817"/>
      <c r="I27" s="821"/>
      <c r="J27" s="822"/>
      <c r="K27" s="817"/>
      <c r="L27" s="821"/>
      <c r="M27" s="822"/>
      <c r="N27" s="817"/>
      <c r="O27" s="821"/>
      <c r="P27" s="822"/>
      <c r="Q27" s="817"/>
      <c r="R27" s="821"/>
      <c r="S27" s="822"/>
      <c r="T27" s="817"/>
      <c r="U27" s="821"/>
      <c r="V27" s="822"/>
      <c r="W27" s="817"/>
      <c r="X27" s="821"/>
      <c r="Y27" s="822"/>
      <c r="Z27" s="817"/>
      <c r="AA27" s="821"/>
      <c r="AB27" s="822"/>
      <c r="AC27" s="817"/>
      <c r="AD27" s="821"/>
      <c r="AE27" s="822"/>
      <c r="AF27" s="817"/>
      <c r="AG27" s="821"/>
      <c r="AH27" s="822"/>
      <c r="AI27" s="817"/>
      <c r="AJ27" s="821"/>
      <c r="AK27" s="822"/>
      <c r="AL27" s="817"/>
      <c r="AM27" s="821"/>
      <c r="AN27" s="822"/>
      <c r="AO27" s="817"/>
      <c r="AP27" s="821"/>
      <c r="AQ27" s="822"/>
      <c r="AR27" s="817"/>
      <c r="AS27" s="821"/>
      <c r="AT27" s="822"/>
      <c r="AU27" s="817"/>
      <c r="AV27" s="821"/>
      <c r="AW27" s="822"/>
      <c r="AX27" s="817"/>
      <c r="AY27" s="821"/>
      <c r="AZ27" s="822"/>
      <c r="BA27" s="817"/>
      <c r="BB27" s="821"/>
      <c r="BC27" s="822"/>
      <c r="BD27" s="817"/>
      <c r="BE27" s="821"/>
      <c r="BF27" s="822"/>
      <c r="BG27" s="817"/>
      <c r="BH27" s="817"/>
    </row>
    <row r="28">
      <c r="A28" s="904"/>
      <c r="B28" s="905"/>
      <c r="C28" s="905"/>
      <c r="D28" s="905"/>
      <c r="E28" s="906" t="s">
        <v>52</v>
      </c>
      <c r="F28" s="907" t="s">
        <v>124</v>
      </c>
      <c r="G28" s="908">
        <v>1000000.0</v>
      </c>
      <c r="H28" s="909" t="s">
        <v>124</v>
      </c>
      <c r="I28" s="907" t="s">
        <v>124</v>
      </c>
      <c r="J28" s="908">
        <v>1000000.0</v>
      </c>
      <c r="K28" s="909" t="s">
        <v>124</v>
      </c>
      <c r="L28" s="907" t="s">
        <v>124</v>
      </c>
      <c r="M28" s="910" t="s">
        <v>124</v>
      </c>
      <c r="N28" s="909" t="s">
        <v>124</v>
      </c>
      <c r="O28" s="907" t="s">
        <v>124</v>
      </c>
      <c r="P28" s="910" t="s">
        <v>124</v>
      </c>
      <c r="Q28" s="909" t="s">
        <v>124</v>
      </c>
      <c r="R28" s="907" t="s">
        <v>124</v>
      </c>
      <c r="S28" s="910" t="s">
        <v>124</v>
      </c>
      <c r="T28" s="909" t="s">
        <v>124</v>
      </c>
      <c r="U28" s="907" t="s">
        <v>124</v>
      </c>
      <c r="V28" s="910" t="s">
        <v>124</v>
      </c>
      <c r="W28" s="909" t="s">
        <v>124</v>
      </c>
      <c r="X28" s="907" t="s">
        <v>124</v>
      </c>
      <c r="Y28" s="910" t="s">
        <v>124</v>
      </c>
      <c r="Z28" s="909" t="s">
        <v>124</v>
      </c>
      <c r="AA28" s="907" t="s">
        <v>124</v>
      </c>
      <c r="AB28" s="908">
        <v>1000000.0</v>
      </c>
      <c r="AC28" s="909" t="s">
        <v>124</v>
      </c>
      <c r="AD28" s="907" t="s">
        <v>124</v>
      </c>
      <c r="AE28" s="908">
        <v>1000000.0</v>
      </c>
      <c r="AF28" s="909" t="s">
        <v>124</v>
      </c>
      <c r="AG28" s="907" t="s">
        <v>124</v>
      </c>
      <c r="AH28" s="908">
        <v>1000000.0</v>
      </c>
      <c r="AI28" s="909" t="s">
        <v>124</v>
      </c>
      <c r="AJ28" s="907" t="s">
        <v>124</v>
      </c>
      <c r="AK28" s="908">
        <v>1000000.0</v>
      </c>
      <c r="AL28" s="909" t="s">
        <v>124</v>
      </c>
      <c r="AM28" s="907" t="s">
        <v>124</v>
      </c>
      <c r="AN28" s="908">
        <v>1000000.0</v>
      </c>
      <c r="AO28" s="909" t="s">
        <v>124</v>
      </c>
      <c r="AP28" s="907" t="s">
        <v>124</v>
      </c>
      <c r="AQ28" s="908">
        <v>1000000.0</v>
      </c>
      <c r="AR28" s="909" t="s">
        <v>124</v>
      </c>
      <c r="AS28" s="907" t="s">
        <v>124</v>
      </c>
      <c r="AT28" s="908">
        <v>1000000.0</v>
      </c>
      <c r="AU28" s="909" t="s">
        <v>124</v>
      </c>
      <c r="AV28" s="907" t="s">
        <v>124</v>
      </c>
      <c r="AW28" s="908">
        <v>1000000.0</v>
      </c>
      <c r="AX28" s="909" t="s">
        <v>124</v>
      </c>
      <c r="AY28" s="907" t="s">
        <v>124</v>
      </c>
      <c r="AZ28" s="908">
        <v>1000000.0</v>
      </c>
      <c r="BA28" s="909" t="s">
        <v>124</v>
      </c>
      <c r="BB28" s="907" t="s">
        <v>124</v>
      </c>
      <c r="BC28" s="908">
        <v>1000000.0</v>
      </c>
      <c r="BD28" s="909" t="s">
        <v>124</v>
      </c>
      <c r="BE28" s="907" t="s">
        <v>124</v>
      </c>
      <c r="BF28" s="910" t="s">
        <v>124</v>
      </c>
      <c r="BG28" s="909" t="s">
        <v>124</v>
      </c>
      <c r="BH28" s="911"/>
    </row>
    <row r="29">
      <c r="A29" s="219"/>
      <c r="B29" s="220"/>
      <c r="C29" s="400"/>
      <c r="D29" s="400"/>
      <c r="E29" s="730" t="str">
        <f>'Confidence intervals'!E9</f>
        <v>Cost per person under age five reached</v>
      </c>
      <c r="F29" s="912">
        <f>'Confidence intervals'!F9</f>
        <v>5.3</v>
      </c>
      <c r="G29" s="913">
        <f>'Confidence intervals'!G9</f>
        <v>5.688830152</v>
      </c>
      <c r="H29" s="914">
        <f>'Confidence intervals'!H9</f>
        <v>6.5</v>
      </c>
      <c r="I29" s="912">
        <f>'Confidence intervals'!I9</f>
        <v>6.05</v>
      </c>
      <c r="J29" s="913">
        <f>'Confidence intervals'!J9</f>
        <v>6.475448975</v>
      </c>
      <c r="K29" s="914">
        <f>'Confidence intervals'!K9</f>
        <v>7.37</v>
      </c>
      <c r="L29" s="912" t="str">
        <f>'Confidence intervals'!L9</f>
        <v>-</v>
      </c>
      <c r="M29" s="913" t="str">
        <f>'Confidence intervals'!M9</f>
        <v>-</v>
      </c>
      <c r="N29" s="914" t="str">
        <f>'Confidence intervals'!N9</f>
        <v>-</v>
      </c>
      <c r="O29" s="912" t="str">
        <f>'Confidence intervals'!O9</f>
        <v>-</v>
      </c>
      <c r="P29" s="913" t="str">
        <f>'Confidence intervals'!P9</f>
        <v>-</v>
      </c>
      <c r="Q29" s="914" t="str">
        <f>'Confidence intervals'!Q9</f>
        <v>-</v>
      </c>
      <c r="R29" s="912" t="str">
        <f>'Confidence intervals'!R9</f>
        <v>-</v>
      </c>
      <c r="S29" s="913" t="str">
        <f>'Confidence intervals'!S9</f>
        <v>-</v>
      </c>
      <c r="T29" s="914" t="str">
        <f>'Confidence intervals'!T9</f>
        <v>-</v>
      </c>
      <c r="U29" s="912" t="str">
        <f>'Confidence intervals'!U9</f>
        <v>-</v>
      </c>
      <c r="V29" s="913" t="str">
        <f>'Confidence intervals'!V9</f>
        <v>-</v>
      </c>
      <c r="W29" s="914" t="str">
        <f>'Confidence intervals'!W9</f>
        <v>-</v>
      </c>
      <c r="X29" s="912" t="str">
        <f>'Confidence intervals'!X9</f>
        <v>-</v>
      </c>
      <c r="Y29" s="913" t="str">
        <f>'Confidence intervals'!Y9</f>
        <v>-</v>
      </c>
      <c r="Z29" s="914" t="str">
        <f>'Confidence intervals'!Z9</f>
        <v>-</v>
      </c>
      <c r="AA29" s="912">
        <f>'Confidence intervals'!AA9</f>
        <v>4.68</v>
      </c>
      <c r="AB29" s="913">
        <f>'Confidence intervals'!AB9</f>
        <v>5.042736685</v>
      </c>
      <c r="AC29" s="914">
        <f>'Confidence intervals'!AC9</f>
        <v>5.78</v>
      </c>
      <c r="AD29" s="912">
        <f>'Confidence intervals'!AD9</f>
        <v>4.68</v>
      </c>
      <c r="AE29" s="913">
        <f>'Confidence intervals'!AE9</f>
        <v>5.042736685</v>
      </c>
      <c r="AF29" s="914">
        <f>'Confidence intervals'!AF9</f>
        <v>5.78</v>
      </c>
      <c r="AG29" s="912">
        <f>'Confidence intervals'!AG9</f>
        <v>5.88</v>
      </c>
      <c r="AH29" s="913">
        <f>'Confidence intervals'!AH9</f>
        <v>6.303420857</v>
      </c>
      <c r="AI29" s="914">
        <f>'Confidence intervals'!AI9</f>
        <v>7.17</v>
      </c>
      <c r="AJ29" s="912">
        <f>'Confidence intervals'!AJ9</f>
        <v>4.68</v>
      </c>
      <c r="AK29" s="913">
        <f>'Confidence intervals'!AK9</f>
        <v>5.042736685</v>
      </c>
      <c r="AL29" s="914">
        <f>'Confidence intervals'!AL9</f>
        <v>5.78</v>
      </c>
      <c r="AM29" s="912">
        <f>'Confidence intervals'!AM9</f>
        <v>5.88</v>
      </c>
      <c r="AN29" s="913">
        <f>'Confidence intervals'!AN9</f>
        <v>6.303420857</v>
      </c>
      <c r="AO29" s="914">
        <f>'Confidence intervals'!AO9</f>
        <v>7.17</v>
      </c>
      <c r="AP29" s="912">
        <f>'Confidence intervals'!AP9</f>
        <v>5.88</v>
      </c>
      <c r="AQ29" s="913">
        <f>'Confidence intervals'!AQ9</f>
        <v>6.303420857</v>
      </c>
      <c r="AR29" s="914">
        <f>'Confidence intervals'!AR9</f>
        <v>7.17</v>
      </c>
      <c r="AS29" s="912">
        <f>'Confidence intervals'!AS9</f>
        <v>5.88</v>
      </c>
      <c r="AT29" s="913">
        <f>'Confidence intervals'!AT9</f>
        <v>6.303420857</v>
      </c>
      <c r="AU29" s="914">
        <f>'Confidence intervals'!AU9</f>
        <v>7.17</v>
      </c>
      <c r="AV29" s="912">
        <f>'Confidence intervals'!AV9</f>
        <v>5.88</v>
      </c>
      <c r="AW29" s="913">
        <f>'Confidence intervals'!AW9</f>
        <v>6.303420857</v>
      </c>
      <c r="AX29" s="914">
        <f>'Confidence intervals'!AX9</f>
        <v>7.17</v>
      </c>
      <c r="AY29" s="912">
        <f>'Confidence intervals'!AY9</f>
        <v>4.68</v>
      </c>
      <c r="AZ29" s="913">
        <f>'Confidence intervals'!AZ9</f>
        <v>5.042736685</v>
      </c>
      <c r="BA29" s="914">
        <f>'Confidence intervals'!BA9</f>
        <v>5.78</v>
      </c>
      <c r="BB29" s="912">
        <f>'Confidence intervals'!BB9</f>
        <v>5</v>
      </c>
      <c r="BC29" s="913">
        <f>'Confidence intervals'!BC9</f>
        <v>5.373569829</v>
      </c>
      <c r="BD29" s="914">
        <f>'Confidence intervals'!BD9</f>
        <v>6.9</v>
      </c>
      <c r="BE29" s="912" t="str">
        <f>'Confidence intervals'!BE9</f>
        <v>-</v>
      </c>
      <c r="BF29" s="913" t="str">
        <f>'Confidence intervals'!BF9</f>
        <v>-</v>
      </c>
      <c r="BG29" s="914" t="str">
        <f>'Confidence intervals'!BG9</f>
        <v>-</v>
      </c>
      <c r="BH29" s="915"/>
    </row>
    <row r="30">
      <c r="A30" s="219"/>
      <c r="B30" s="220"/>
      <c r="C30" s="400"/>
      <c r="D30" s="220"/>
      <c r="E30" s="730" t="str">
        <f>'Simple CEA'!E12</f>
        <v>Proportion of reached children who would have received SMC in the absence of the program</v>
      </c>
      <c r="F30" s="912" t="s">
        <v>124</v>
      </c>
      <c r="G30" s="916">
        <f>'Simple CEA'!I12</f>
        <v>0</v>
      </c>
      <c r="H30" s="909" t="s">
        <v>124</v>
      </c>
      <c r="I30" s="912" t="s">
        <v>124</v>
      </c>
      <c r="J30" s="916">
        <v>0.0</v>
      </c>
      <c r="K30" s="909" t="s">
        <v>124</v>
      </c>
      <c r="L30" s="912" t="s">
        <v>124</v>
      </c>
      <c r="M30" s="913" t="str">
        <f>'Confidence intervals'!M10</f>
        <v>-</v>
      </c>
      <c r="N30" s="909" t="s">
        <v>124</v>
      </c>
      <c r="O30" s="912" t="s">
        <v>124</v>
      </c>
      <c r="P30" s="913" t="str">
        <f>'Confidence intervals'!P10</f>
        <v>-</v>
      </c>
      <c r="Q30" s="909" t="s">
        <v>124</v>
      </c>
      <c r="R30" s="912" t="s">
        <v>124</v>
      </c>
      <c r="S30" s="913" t="str">
        <f>'Confidence intervals'!S10</f>
        <v>-</v>
      </c>
      <c r="T30" s="909" t="s">
        <v>124</v>
      </c>
      <c r="U30" s="912" t="s">
        <v>124</v>
      </c>
      <c r="V30" s="913" t="str">
        <f>'Confidence intervals'!V10</f>
        <v>-</v>
      </c>
      <c r="W30" s="909" t="s">
        <v>124</v>
      </c>
      <c r="X30" s="912" t="s">
        <v>124</v>
      </c>
      <c r="Y30" s="913" t="str">
        <f>'Confidence intervals'!Y10</f>
        <v>-</v>
      </c>
      <c r="Z30" s="909" t="s">
        <v>124</v>
      </c>
      <c r="AA30" s="912" t="s">
        <v>124</v>
      </c>
      <c r="AB30" s="916">
        <v>0.0</v>
      </c>
      <c r="AC30" s="909" t="s">
        <v>124</v>
      </c>
      <c r="AD30" s="912" t="s">
        <v>124</v>
      </c>
      <c r="AE30" s="916">
        <v>0.0</v>
      </c>
      <c r="AF30" s="909" t="s">
        <v>124</v>
      </c>
      <c r="AG30" s="912" t="s">
        <v>124</v>
      </c>
      <c r="AH30" s="916">
        <v>0.0</v>
      </c>
      <c r="AI30" s="909" t="s">
        <v>124</v>
      </c>
      <c r="AJ30" s="912" t="s">
        <v>124</v>
      </c>
      <c r="AK30" s="916">
        <v>0.0</v>
      </c>
      <c r="AL30" s="909" t="s">
        <v>124</v>
      </c>
      <c r="AM30" s="912" t="s">
        <v>124</v>
      </c>
      <c r="AN30" s="916">
        <v>0.0</v>
      </c>
      <c r="AO30" s="909" t="s">
        <v>124</v>
      </c>
      <c r="AP30" s="912" t="s">
        <v>124</v>
      </c>
      <c r="AQ30" s="916">
        <v>0.0</v>
      </c>
      <c r="AR30" s="909" t="s">
        <v>124</v>
      </c>
      <c r="AS30" s="912" t="s">
        <v>124</v>
      </c>
      <c r="AT30" s="916">
        <v>0.0</v>
      </c>
      <c r="AU30" s="909" t="s">
        <v>124</v>
      </c>
      <c r="AV30" s="912" t="s">
        <v>124</v>
      </c>
      <c r="AW30" s="916">
        <v>0.0</v>
      </c>
      <c r="AX30" s="909" t="s">
        <v>124</v>
      </c>
      <c r="AY30" s="912" t="s">
        <v>124</v>
      </c>
      <c r="AZ30" s="916">
        <v>0.0</v>
      </c>
      <c r="BA30" s="909" t="s">
        <v>124</v>
      </c>
      <c r="BB30" s="912" t="s">
        <v>124</v>
      </c>
      <c r="BC30" s="916">
        <v>0.0</v>
      </c>
      <c r="BD30" s="909" t="s">
        <v>124</v>
      </c>
      <c r="BE30" s="912" t="s">
        <v>124</v>
      </c>
      <c r="BF30" s="913" t="str">
        <f>'Confidence intervals'!BF10</f>
        <v>-</v>
      </c>
      <c r="BG30" s="909" t="s">
        <v>124</v>
      </c>
      <c r="BH30" s="915"/>
    </row>
    <row r="31">
      <c r="A31" s="219"/>
      <c r="B31" s="220"/>
      <c r="C31" s="400"/>
      <c r="D31" s="220"/>
      <c r="E31" s="730" t="str">
        <f>'Confidence intervals'!E10</f>
        <v>Malaria-attributable mortality rate among people under age five</v>
      </c>
      <c r="F31" s="917">
        <f>'Confidence intervals'!F10</f>
        <v>0.0031</v>
      </c>
      <c r="G31" s="918">
        <f>'Confidence intervals'!G10</f>
        <v>0.006730294518</v>
      </c>
      <c r="H31" s="919">
        <f>'Confidence intervals'!H10</f>
        <v>0.0095</v>
      </c>
      <c r="I31" s="917">
        <f>'Confidence intervals'!I10</f>
        <v>0.0007</v>
      </c>
      <c r="J31" s="918">
        <f>'Confidence intervals'!J10</f>
        <v>0.002245654081</v>
      </c>
      <c r="K31" s="919">
        <f>'Confidence intervals'!K10</f>
        <v>0.0035</v>
      </c>
      <c r="L31" s="917" t="str">
        <f>'Confidence intervals'!L10</f>
        <v>-</v>
      </c>
      <c r="M31" s="918" t="str">
        <f>'Confidence intervals'!M10</f>
        <v>-</v>
      </c>
      <c r="N31" s="919" t="str">
        <f>'Confidence intervals'!N10</f>
        <v>-</v>
      </c>
      <c r="O31" s="917" t="str">
        <f>'Confidence intervals'!O10</f>
        <v>-</v>
      </c>
      <c r="P31" s="918" t="str">
        <f>'Confidence intervals'!P10</f>
        <v>-</v>
      </c>
      <c r="Q31" s="919" t="str">
        <f>'Confidence intervals'!Q10</f>
        <v>-</v>
      </c>
      <c r="R31" s="917" t="str">
        <f>'Confidence intervals'!R10</f>
        <v>-</v>
      </c>
      <c r="S31" s="918" t="str">
        <f>'Confidence intervals'!S10</f>
        <v>-</v>
      </c>
      <c r="T31" s="919" t="str">
        <f>'Confidence intervals'!T10</f>
        <v>-</v>
      </c>
      <c r="U31" s="917" t="str">
        <f>'Confidence intervals'!U10</f>
        <v>-</v>
      </c>
      <c r="V31" s="918" t="str">
        <f>'Confidence intervals'!V10</f>
        <v>-</v>
      </c>
      <c r="W31" s="919" t="str">
        <f>'Confidence intervals'!W10</f>
        <v>-</v>
      </c>
      <c r="X31" s="917" t="str">
        <f>'Confidence intervals'!X10</f>
        <v>-</v>
      </c>
      <c r="Y31" s="918" t="str">
        <f>'Confidence intervals'!Y10</f>
        <v>-</v>
      </c>
      <c r="Z31" s="919" t="str">
        <f>'Confidence intervals'!Z10</f>
        <v>-</v>
      </c>
      <c r="AA31" s="917">
        <f>'Confidence intervals'!AA10</f>
        <v>0.0018</v>
      </c>
      <c r="AB31" s="918">
        <f>'Confidence intervals'!AB10</f>
        <v>0.004261027438</v>
      </c>
      <c r="AC31" s="919">
        <f>'Confidence intervals'!AC10</f>
        <v>0.0062</v>
      </c>
      <c r="AD31" s="917">
        <f>'Confidence intervals'!AD10</f>
        <v>0.001</v>
      </c>
      <c r="AE31" s="918">
        <f>'Confidence intervals'!AE10</f>
        <v>0.002874568801</v>
      </c>
      <c r="AF31" s="919">
        <f>'Confidence intervals'!AF10</f>
        <v>0.0042</v>
      </c>
      <c r="AG31" s="917">
        <f>'Confidence intervals'!AG10</f>
        <v>0.0011</v>
      </c>
      <c r="AH31" s="918">
        <f>'Confidence intervals'!AH10</f>
        <v>0.003042403195</v>
      </c>
      <c r="AI31" s="919">
        <f>'Confidence intervals'!AI10</f>
        <v>0.0044</v>
      </c>
      <c r="AJ31" s="917">
        <f>'Confidence intervals'!AJ10</f>
        <v>0.0023</v>
      </c>
      <c r="AK31" s="918">
        <f>'Confidence intervals'!AK10</f>
        <v>0.005477765772</v>
      </c>
      <c r="AL31" s="919">
        <f>'Confidence intervals'!AL10</f>
        <v>0.0076</v>
      </c>
      <c r="AM31" s="917">
        <f>'Confidence intervals'!AM10</f>
        <v>0.0016</v>
      </c>
      <c r="AN31" s="918">
        <f>'Confidence intervals'!AN10</f>
        <v>0.003703092873</v>
      </c>
      <c r="AO31" s="919">
        <f>'Confidence intervals'!AO10</f>
        <v>0.0056</v>
      </c>
      <c r="AP31" s="917">
        <f>'Confidence intervals'!AP10</f>
        <v>0.0019</v>
      </c>
      <c r="AQ31" s="918">
        <f>'Confidence intervals'!AQ10</f>
        <v>0.004754051306</v>
      </c>
      <c r="AR31" s="919">
        <f>'Confidence intervals'!AR10</f>
        <v>0.0073</v>
      </c>
      <c r="AS31" s="917">
        <f>'Confidence intervals'!AS10</f>
        <v>0.0015</v>
      </c>
      <c r="AT31" s="918">
        <f>'Confidence intervals'!AT10</f>
        <v>0.00390283285</v>
      </c>
      <c r="AU31" s="919">
        <f>'Confidence intervals'!AU10</f>
        <v>0.0059</v>
      </c>
      <c r="AV31" s="917">
        <f>'Confidence intervals'!AV10</f>
        <v>0.0012</v>
      </c>
      <c r="AW31" s="918">
        <f>'Confidence intervals'!AW10</f>
        <v>0.003299604583</v>
      </c>
      <c r="AX31" s="919">
        <f>'Confidence intervals'!AX10</f>
        <v>0.005</v>
      </c>
      <c r="AY31" s="917">
        <f>'Confidence intervals'!AY10</f>
        <v>0.0028</v>
      </c>
      <c r="AZ31" s="918">
        <f>'Confidence intervals'!AZ10</f>
        <v>0.006010187767</v>
      </c>
      <c r="BA31" s="919">
        <f>'Confidence intervals'!BA10</f>
        <v>0.0086</v>
      </c>
      <c r="BB31" s="917">
        <f>'Confidence intervals'!BB10</f>
        <v>0.001</v>
      </c>
      <c r="BC31" s="918">
        <f>'Confidence intervals'!BC10</f>
        <v>0.002798551529</v>
      </c>
      <c r="BD31" s="919">
        <f>'Confidence intervals'!BD10</f>
        <v>0.0044</v>
      </c>
      <c r="BE31" s="917" t="str">
        <f>'Confidence intervals'!BE10</f>
        <v>-</v>
      </c>
      <c r="BF31" s="918" t="str">
        <f>'Confidence intervals'!BF10</f>
        <v>-</v>
      </c>
      <c r="BG31" s="919" t="str">
        <f>'Confidence intervals'!BG10</f>
        <v>-</v>
      </c>
      <c r="BH31" s="615"/>
    </row>
    <row r="32">
      <c r="A32" s="219"/>
      <c r="B32" s="220"/>
      <c r="C32" s="400"/>
      <c r="D32" s="220"/>
      <c r="E32" s="730" t="str">
        <f>'Confidence intervals'!E11</f>
        <v>Proportion of malaria mortality occurring during the SMC season</v>
      </c>
      <c r="F32" s="920">
        <f>'Confidence intervals'!F11</f>
        <v>0.62</v>
      </c>
      <c r="G32" s="916">
        <f>'Confidence intervals'!G11</f>
        <v>0.7</v>
      </c>
      <c r="H32" s="921">
        <f>'Confidence intervals'!H11</f>
        <v>0.79</v>
      </c>
      <c r="I32" s="920">
        <f>'Confidence intervals'!I11</f>
        <v>0.62</v>
      </c>
      <c r="J32" s="916">
        <f>'Confidence intervals'!J11</f>
        <v>0.7</v>
      </c>
      <c r="K32" s="921">
        <f>'Confidence intervals'!K11</f>
        <v>0.79</v>
      </c>
      <c r="L32" s="920" t="str">
        <f>'Confidence intervals'!L11</f>
        <v>-</v>
      </c>
      <c r="M32" s="916" t="str">
        <f>'Confidence intervals'!M11</f>
        <v>-</v>
      </c>
      <c r="N32" s="921" t="str">
        <f>'Confidence intervals'!N11</f>
        <v>-</v>
      </c>
      <c r="O32" s="920" t="str">
        <f>'Confidence intervals'!O11</f>
        <v>-</v>
      </c>
      <c r="P32" s="916" t="str">
        <f>'Confidence intervals'!P11</f>
        <v>-</v>
      </c>
      <c r="Q32" s="921" t="str">
        <f>'Confidence intervals'!Q11</f>
        <v>-</v>
      </c>
      <c r="R32" s="920" t="str">
        <f>'Confidence intervals'!R11</f>
        <v>-</v>
      </c>
      <c r="S32" s="916" t="str">
        <f>'Confidence intervals'!S11</f>
        <v>-</v>
      </c>
      <c r="T32" s="921" t="str">
        <f>'Confidence intervals'!T11</f>
        <v>-</v>
      </c>
      <c r="U32" s="920" t="str">
        <f>'Confidence intervals'!U11</f>
        <v>-</v>
      </c>
      <c r="V32" s="916" t="str">
        <f>'Confidence intervals'!V11</f>
        <v>-</v>
      </c>
      <c r="W32" s="921" t="str">
        <f>'Confidence intervals'!W11</f>
        <v>-</v>
      </c>
      <c r="X32" s="920" t="str">
        <f>'Confidence intervals'!X11</f>
        <v>-</v>
      </c>
      <c r="Y32" s="916" t="str">
        <f>'Confidence intervals'!Y11</f>
        <v>-</v>
      </c>
      <c r="Z32" s="921" t="str">
        <f>'Confidence intervals'!Z11</f>
        <v>-</v>
      </c>
      <c r="AA32" s="920">
        <f>'Confidence intervals'!AA11</f>
        <v>0.62</v>
      </c>
      <c r="AB32" s="916">
        <f>'Confidence intervals'!AB11</f>
        <v>0.7</v>
      </c>
      <c r="AC32" s="921">
        <f>'Confidence intervals'!AC11</f>
        <v>0.79</v>
      </c>
      <c r="AD32" s="920">
        <f>'Confidence intervals'!AD11</f>
        <v>0.62</v>
      </c>
      <c r="AE32" s="916">
        <f>'Confidence intervals'!AE11</f>
        <v>0.7</v>
      </c>
      <c r="AF32" s="921">
        <f>'Confidence intervals'!AF11</f>
        <v>0.79</v>
      </c>
      <c r="AG32" s="920">
        <f>'Confidence intervals'!AG11</f>
        <v>0.62</v>
      </c>
      <c r="AH32" s="916">
        <f>'Confidence intervals'!AH11</f>
        <v>0.7</v>
      </c>
      <c r="AI32" s="921">
        <f>'Confidence intervals'!AI11</f>
        <v>0.79</v>
      </c>
      <c r="AJ32" s="920">
        <f>'Confidence intervals'!AJ11</f>
        <v>0.62</v>
      </c>
      <c r="AK32" s="916">
        <f>'Confidence intervals'!AK11</f>
        <v>0.7</v>
      </c>
      <c r="AL32" s="921">
        <f>'Confidence intervals'!AL11</f>
        <v>0.79</v>
      </c>
      <c r="AM32" s="920">
        <f>'Confidence intervals'!AM11</f>
        <v>0.62</v>
      </c>
      <c r="AN32" s="916">
        <f>'Confidence intervals'!AN11</f>
        <v>0.7</v>
      </c>
      <c r="AO32" s="921">
        <f>'Confidence intervals'!AO11</f>
        <v>0.79</v>
      </c>
      <c r="AP32" s="920">
        <f>'Confidence intervals'!AP11</f>
        <v>0.62</v>
      </c>
      <c r="AQ32" s="916">
        <f>'Confidence intervals'!AQ11</f>
        <v>0.7</v>
      </c>
      <c r="AR32" s="921">
        <f>'Confidence intervals'!AR11</f>
        <v>0.79</v>
      </c>
      <c r="AS32" s="920">
        <f>'Confidence intervals'!AS11</f>
        <v>0.62</v>
      </c>
      <c r="AT32" s="916">
        <f>'Confidence intervals'!AT11</f>
        <v>0.7</v>
      </c>
      <c r="AU32" s="921">
        <f>'Confidence intervals'!AU11</f>
        <v>0.79</v>
      </c>
      <c r="AV32" s="920">
        <f>'Confidence intervals'!AV11</f>
        <v>0.62</v>
      </c>
      <c r="AW32" s="916">
        <f>'Confidence intervals'!AW11</f>
        <v>0.7</v>
      </c>
      <c r="AX32" s="921">
        <f>'Confidence intervals'!AX11</f>
        <v>0.79</v>
      </c>
      <c r="AY32" s="920">
        <f>'Confidence intervals'!AY11</f>
        <v>0.62</v>
      </c>
      <c r="AZ32" s="916">
        <f>'Confidence intervals'!AZ11</f>
        <v>0.7</v>
      </c>
      <c r="BA32" s="921">
        <f>'Confidence intervals'!BA11</f>
        <v>0.79</v>
      </c>
      <c r="BB32" s="920">
        <f>'Confidence intervals'!BB11</f>
        <v>0.62</v>
      </c>
      <c r="BC32" s="916">
        <f>'Confidence intervals'!BC11</f>
        <v>0.7</v>
      </c>
      <c r="BD32" s="921">
        <f>'Confidence intervals'!BD11</f>
        <v>0.79</v>
      </c>
      <c r="BE32" s="920" t="str">
        <f>'Confidence intervals'!BE11</f>
        <v>-</v>
      </c>
      <c r="BF32" s="916" t="str">
        <f>'Confidence intervals'!BF11</f>
        <v>-</v>
      </c>
      <c r="BG32" s="921" t="str">
        <f>'Confidence intervals'!BG11</f>
        <v>-</v>
      </c>
      <c r="BH32" s="615"/>
    </row>
    <row r="33">
      <c r="A33" s="219"/>
      <c r="B33" s="220"/>
      <c r="C33" s="400"/>
      <c r="D33" s="220"/>
      <c r="E33" s="730" t="str">
        <f>'Confidence intervals'!E12</f>
        <v>Effect of SMC on under-five deaths related to malaria</v>
      </c>
      <c r="F33" s="920">
        <f>'Confidence intervals'!F12</f>
        <v>0.67</v>
      </c>
      <c r="G33" s="916">
        <f>'Confidence intervals'!G12</f>
        <v>0.7936949983</v>
      </c>
      <c r="H33" s="921">
        <f>'Confidence intervals'!H12</f>
        <v>0.85</v>
      </c>
      <c r="I33" s="920">
        <f>'Confidence intervals'!I12</f>
        <v>0.67</v>
      </c>
      <c r="J33" s="916">
        <f>'Confidence intervals'!J12</f>
        <v>0.7936949983</v>
      </c>
      <c r="K33" s="921">
        <f>'Confidence intervals'!K12</f>
        <v>0.85</v>
      </c>
      <c r="L33" s="920" t="str">
        <f>'Confidence intervals'!L12</f>
        <v>-</v>
      </c>
      <c r="M33" s="916" t="str">
        <f>'Confidence intervals'!M12</f>
        <v>-</v>
      </c>
      <c r="N33" s="921" t="str">
        <f>'Confidence intervals'!N12</f>
        <v>-</v>
      </c>
      <c r="O33" s="920" t="str">
        <f>'Confidence intervals'!O12</f>
        <v>-</v>
      </c>
      <c r="P33" s="916" t="str">
        <f>'Confidence intervals'!P12</f>
        <v>-</v>
      </c>
      <c r="Q33" s="921" t="str">
        <f>'Confidence intervals'!Q12</f>
        <v>-</v>
      </c>
      <c r="R33" s="920" t="str">
        <f>'Confidence intervals'!R12</f>
        <v>-</v>
      </c>
      <c r="S33" s="916" t="str">
        <f>'Confidence intervals'!S12</f>
        <v>-</v>
      </c>
      <c r="T33" s="921" t="str">
        <f>'Confidence intervals'!T12</f>
        <v>-</v>
      </c>
      <c r="U33" s="920" t="str">
        <f>'Confidence intervals'!U12</f>
        <v>-</v>
      </c>
      <c r="V33" s="916" t="str">
        <f>'Confidence intervals'!V12</f>
        <v>-</v>
      </c>
      <c r="W33" s="921" t="str">
        <f>'Confidence intervals'!W12</f>
        <v>-</v>
      </c>
      <c r="X33" s="920" t="str">
        <f>'Confidence intervals'!X12</f>
        <v>-</v>
      </c>
      <c r="Y33" s="916" t="str">
        <f>'Confidence intervals'!Y12</f>
        <v>-</v>
      </c>
      <c r="Z33" s="921" t="str">
        <f>'Confidence intervals'!Z12</f>
        <v>-</v>
      </c>
      <c r="AA33" s="920">
        <f>'Confidence intervals'!AA12</f>
        <v>0.67</v>
      </c>
      <c r="AB33" s="916">
        <f>'Confidence intervals'!AB12</f>
        <v>0.7936949983</v>
      </c>
      <c r="AC33" s="921">
        <f>'Confidence intervals'!AC12</f>
        <v>0.85</v>
      </c>
      <c r="AD33" s="920">
        <f>'Confidence intervals'!AD12</f>
        <v>0.67</v>
      </c>
      <c r="AE33" s="916">
        <f>'Confidence intervals'!AE12</f>
        <v>0.7936949983</v>
      </c>
      <c r="AF33" s="921">
        <f>'Confidence intervals'!AF12</f>
        <v>0.85</v>
      </c>
      <c r="AG33" s="920">
        <f>'Confidence intervals'!AG12</f>
        <v>0.67</v>
      </c>
      <c r="AH33" s="916">
        <f>'Confidence intervals'!AH12</f>
        <v>0.7936949983</v>
      </c>
      <c r="AI33" s="921">
        <f>'Confidence intervals'!AI12</f>
        <v>0.85</v>
      </c>
      <c r="AJ33" s="920">
        <f>'Confidence intervals'!AJ12</f>
        <v>0.67</v>
      </c>
      <c r="AK33" s="916">
        <f>'Confidence intervals'!AK12</f>
        <v>0.7936949983</v>
      </c>
      <c r="AL33" s="921">
        <f>'Confidence intervals'!AL12</f>
        <v>0.85</v>
      </c>
      <c r="AM33" s="920">
        <f>'Confidence intervals'!AM12</f>
        <v>0.67</v>
      </c>
      <c r="AN33" s="916">
        <f>'Confidence intervals'!AN12</f>
        <v>0.7936949983</v>
      </c>
      <c r="AO33" s="921">
        <f>'Confidence intervals'!AO12</f>
        <v>0.85</v>
      </c>
      <c r="AP33" s="920">
        <f>'Confidence intervals'!AP12</f>
        <v>0.67</v>
      </c>
      <c r="AQ33" s="916">
        <f>'Confidence intervals'!AQ12</f>
        <v>0.7936949983</v>
      </c>
      <c r="AR33" s="921">
        <f>'Confidence intervals'!AR12</f>
        <v>0.85</v>
      </c>
      <c r="AS33" s="920">
        <f>'Confidence intervals'!AS12</f>
        <v>0.67</v>
      </c>
      <c r="AT33" s="916">
        <f>'Confidence intervals'!AT12</f>
        <v>0.7936949983</v>
      </c>
      <c r="AU33" s="921">
        <f>'Confidence intervals'!AU12</f>
        <v>0.85</v>
      </c>
      <c r="AV33" s="920">
        <f>'Confidence intervals'!AV12</f>
        <v>0.67</v>
      </c>
      <c r="AW33" s="916">
        <f>'Confidence intervals'!AW12</f>
        <v>0.7936949983</v>
      </c>
      <c r="AX33" s="921">
        <f>'Confidence intervals'!AX12</f>
        <v>0.85</v>
      </c>
      <c r="AY33" s="920">
        <f>'Confidence intervals'!AY12</f>
        <v>0.67</v>
      </c>
      <c r="AZ33" s="916">
        <f>'Confidence intervals'!AZ12</f>
        <v>0.7936949983</v>
      </c>
      <c r="BA33" s="921">
        <f>'Confidence intervals'!BA12</f>
        <v>0.85</v>
      </c>
      <c r="BB33" s="920">
        <f>'Confidence intervals'!BB12</f>
        <v>0.67</v>
      </c>
      <c r="BC33" s="916">
        <f>'Confidence intervals'!BC12</f>
        <v>0.7936949983</v>
      </c>
      <c r="BD33" s="921">
        <f>'Confidence intervals'!BD12</f>
        <v>0.85</v>
      </c>
      <c r="BE33" s="920" t="str">
        <f>'Confidence intervals'!BE12</f>
        <v>-</v>
      </c>
      <c r="BF33" s="916" t="str">
        <f>'Confidence intervals'!BF12</f>
        <v>-</v>
      </c>
      <c r="BG33" s="921" t="str">
        <f>'Confidence intervals'!BG12</f>
        <v>-</v>
      </c>
      <c r="BH33" s="885"/>
    </row>
    <row r="34">
      <c r="A34" s="219"/>
      <c r="B34" s="220"/>
      <c r="C34" s="400"/>
      <c r="D34" s="220"/>
      <c r="E34" s="730" t="str">
        <f>'Confidence intervals'!E15</f>
        <v>Adjustment to account for mortalities averted among people age 5 and older</v>
      </c>
      <c r="F34" s="920">
        <f>'Confidence intervals'!F15</f>
        <v>0.03</v>
      </c>
      <c r="G34" s="916">
        <f>'Confidence intervals'!G15</f>
        <v>0.05647913709</v>
      </c>
      <c r="H34" s="921">
        <f>'Confidence intervals'!H15</f>
        <v>0.11</v>
      </c>
      <c r="I34" s="920">
        <f>'Confidence intervals'!I15</f>
        <v>0.03</v>
      </c>
      <c r="J34" s="916">
        <f>'Confidence intervals'!J15</f>
        <v>0.05532441274</v>
      </c>
      <c r="K34" s="921">
        <f>'Confidence intervals'!K15</f>
        <v>0.11</v>
      </c>
      <c r="L34" s="920" t="str">
        <f>'Confidence intervals'!L15</f>
        <v>-</v>
      </c>
      <c r="M34" s="916" t="str">
        <f>'Confidence intervals'!M15</f>
        <v>-</v>
      </c>
      <c r="N34" s="921" t="str">
        <f>'Confidence intervals'!N15</f>
        <v>-</v>
      </c>
      <c r="O34" s="920" t="str">
        <f>'Confidence intervals'!O15</f>
        <v>-</v>
      </c>
      <c r="P34" s="916" t="str">
        <f>'Confidence intervals'!P15</f>
        <v>-</v>
      </c>
      <c r="Q34" s="921" t="str">
        <f>'Confidence intervals'!Q15</f>
        <v>-</v>
      </c>
      <c r="R34" s="920" t="str">
        <f>'Confidence intervals'!R15</f>
        <v>-</v>
      </c>
      <c r="S34" s="916" t="str">
        <f>'Confidence intervals'!S15</f>
        <v>-</v>
      </c>
      <c r="T34" s="921" t="str">
        <f>'Confidence intervals'!T15</f>
        <v>-</v>
      </c>
      <c r="U34" s="920" t="str">
        <f>'Confidence intervals'!U15</f>
        <v>-</v>
      </c>
      <c r="V34" s="916" t="str">
        <f>'Confidence intervals'!V15</f>
        <v>-</v>
      </c>
      <c r="W34" s="921" t="str">
        <f>'Confidence intervals'!W15</f>
        <v>-</v>
      </c>
      <c r="X34" s="920" t="str">
        <f>'Confidence intervals'!X15</f>
        <v>-</v>
      </c>
      <c r="Y34" s="916" t="str">
        <f>'Confidence intervals'!Y15</f>
        <v>-</v>
      </c>
      <c r="Z34" s="921" t="str">
        <f>'Confidence intervals'!Z15</f>
        <v>-</v>
      </c>
      <c r="AA34" s="920">
        <f>'Confidence intervals'!AA15</f>
        <v>0.01</v>
      </c>
      <c r="AB34" s="916">
        <f>'Confidence intervals'!AB15</f>
        <v>0.02341801524</v>
      </c>
      <c r="AC34" s="921">
        <f>'Confidence intervals'!AC15</f>
        <v>0.04</v>
      </c>
      <c r="AD34" s="920">
        <f>'Confidence intervals'!AD15</f>
        <v>0.03</v>
      </c>
      <c r="AE34" s="916">
        <f>'Confidence intervals'!AE15</f>
        <v>0.07413378817</v>
      </c>
      <c r="AF34" s="921">
        <f>'Confidence intervals'!AF15</f>
        <v>0.12</v>
      </c>
      <c r="AG34" s="920">
        <f>'Confidence intervals'!AG15</f>
        <v>0.07</v>
      </c>
      <c r="AH34" s="916">
        <f>'Confidence intervals'!AH15</f>
        <v>0.1285258975</v>
      </c>
      <c r="AI34" s="921">
        <f>'Confidence intervals'!AI15</f>
        <v>0.21</v>
      </c>
      <c r="AJ34" s="920">
        <f>'Confidence intervals'!AJ15</f>
        <v>0.02</v>
      </c>
      <c r="AK34" s="916">
        <f>'Confidence intervals'!AK15</f>
        <v>0.04165347302</v>
      </c>
      <c r="AL34" s="921">
        <f>'Confidence intervals'!AL15</f>
        <v>0.07</v>
      </c>
      <c r="AM34" s="920">
        <f>'Confidence intervals'!AM15</f>
        <v>0.12</v>
      </c>
      <c r="AN34" s="916">
        <f>'Confidence intervals'!AN15</f>
        <v>0.1992293824</v>
      </c>
      <c r="AO34" s="921">
        <f>'Confidence intervals'!AO15</f>
        <v>0.31</v>
      </c>
      <c r="AP34" s="920">
        <f>'Confidence intervals'!AP15</f>
        <v>0.05</v>
      </c>
      <c r="AQ34" s="916">
        <f>'Confidence intervals'!AQ15</f>
        <v>0.08985842305</v>
      </c>
      <c r="AR34" s="921">
        <f>'Confidence intervals'!AR15</f>
        <v>0.15</v>
      </c>
      <c r="AS34" s="920">
        <f>'Confidence intervals'!AS15</f>
        <v>0.19</v>
      </c>
      <c r="AT34" s="916">
        <f>'Confidence intervals'!AT15</f>
        <v>0.2752772144</v>
      </c>
      <c r="AU34" s="921">
        <f>'Confidence intervals'!AU15</f>
        <v>0.41</v>
      </c>
      <c r="AV34" s="920">
        <f>'Confidence intervals'!AV15</f>
        <v>0.06</v>
      </c>
      <c r="AW34" s="916">
        <f>'Confidence intervals'!AW15</f>
        <v>0.1095401963</v>
      </c>
      <c r="AX34" s="921">
        <f>'Confidence intervals'!AX15</f>
        <v>0.18</v>
      </c>
      <c r="AY34" s="920">
        <f>'Confidence intervals'!AY15</f>
        <v>0.01</v>
      </c>
      <c r="AZ34" s="916">
        <f>'Confidence intervals'!AZ15</f>
        <v>0.02391752554</v>
      </c>
      <c r="BA34" s="921">
        <f>'Confidence intervals'!BA15</f>
        <v>0.04</v>
      </c>
      <c r="BB34" s="920">
        <f>'Confidence intervals'!BB15</f>
        <v>0.11</v>
      </c>
      <c r="BC34" s="916">
        <f>'Confidence intervals'!BC15</f>
        <v>0.1768368614</v>
      </c>
      <c r="BD34" s="921">
        <f>'Confidence intervals'!BD15</f>
        <v>0.28</v>
      </c>
      <c r="BE34" s="920" t="str">
        <f>'Confidence intervals'!BE15</f>
        <v>-</v>
      </c>
      <c r="BF34" s="916" t="str">
        <f>'Confidence intervals'!BF15</f>
        <v>-</v>
      </c>
      <c r="BG34" s="921" t="str">
        <f>'Confidence intervals'!BG15</f>
        <v>-</v>
      </c>
      <c r="BH34" s="915"/>
    </row>
    <row r="35">
      <c r="A35" s="219"/>
      <c r="B35" s="220"/>
      <c r="C35" s="400"/>
      <c r="D35" s="400"/>
      <c r="E35" s="730" t="str">
        <f>'Confidence intervals'!E16</f>
        <v>Adjustment to account for developmental benefits (long-term income increases)</v>
      </c>
      <c r="F35" s="920">
        <f>'Confidence intervals'!F16</f>
        <v>0.1</v>
      </c>
      <c r="G35" s="916">
        <f>'Confidence intervals'!G16</f>
        <v>0.1888416074</v>
      </c>
      <c r="H35" s="921">
        <f>'Confidence intervals'!H16</f>
        <v>0.28</v>
      </c>
      <c r="I35" s="920">
        <f>'Confidence intervals'!I16</f>
        <v>0.21</v>
      </c>
      <c r="J35" s="916">
        <f>'Confidence intervals'!J16</f>
        <v>0.3532796077</v>
      </c>
      <c r="K35" s="921">
        <f>'Confidence intervals'!K16</f>
        <v>0.49</v>
      </c>
      <c r="L35" s="920" t="str">
        <f>'Confidence intervals'!L16</f>
        <v>-</v>
      </c>
      <c r="M35" s="916" t="str">
        <f>'Confidence intervals'!M16</f>
        <v>-</v>
      </c>
      <c r="N35" s="921" t="str">
        <f>'Confidence intervals'!N16</f>
        <v>-</v>
      </c>
      <c r="O35" s="920" t="str">
        <f>'Confidence intervals'!O16</f>
        <v>-</v>
      </c>
      <c r="P35" s="916" t="str">
        <f>'Confidence intervals'!P16</f>
        <v>-</v>
      </c>
      <c r="Q35" s="921" t="str">
        <f>'Confidence intervals'!Q16</f>
        <v>-</v>
      </c>
      <c r="R35" s="920" t="str">
        <f>'Confidence intervals'!R16</f>
        <v>-</v>
      </c>
      <c r="S35" s="916" t="str">
        <f>'Confidence intervals'!S16</f>
        <v>-</v>
      </c>
      <c r="T35" s="921" t="str">
        <f>'Confidence intervals'!T16</f>
        <v>-</v>
      </c>
      <c r="U35" s="920" t="str">
        <f>'Confidence intervals'!U16</f>
        <v>-</v>
      </c>
      <c r="V35" s="916" t="str">
        <f>'Confidence intervals'!V16</f>
        <v>-</v>
      </c>
      <c r="W35" s="921" t="str">
        <f>'Confidence intervals'!W16</f>
        <v>-</v>
      </c>
      <c r="X35" s="920" t="str">
        <f>'Confidence intervals'!X16</f>
        <v>-</v>
      </c>
      <c r="Y35" s="916" t="str">
        <f>'Confidence intervals'!Y16</f>
        <v>-</v>
      </c>
      <c r="Z35" s="921" t="str">
        <f>'Confidence intervals'!Z16</f>
        <v>-</v>
      </c>
      <c r="AA35" s="920">
        <f>'Confidence intervals'!AA16</f>
        <v>0.13</v>
      </c>
      <c r="AB35" s="916">
        <f>'Confidence intervals'!AB16</f>
        <v>0.235253093</v>
      </c>
      <c r="AC35" s="921">
        <f>'Confidence intervals'!AC16</f>
        <v>0.35</v>
      </c>
      <c r="AD35" s="920">
        <f>'Confidence intervals'!AD16</f>
        <v>0.2</v>
      </c>
      <c r="AE35" s="916">
        <f>'Confidence intervals'!AE16</f>
        <v>0.3440714016</v>
      </c>
      <c r="AF35" s="921">
        <f>'Confidence intervals'!AF16</f>
        <v>0.48</v>
      </c>
      <c r="AG35" s="920">
        <f>'Confidence intervals'!AG16</f>
        <v>0.21</v>
      </c>
      <c r="AH35" s="916">
        <f>'Confidence intervals'!AH16</f>
        <v>0.3463852551</v>
      </c>
      <c r="AI35" s="921">
        <f>'Confidence intervals'!AI16</f>
        <v>0.49</v>
      </c>
      <c r="AJ35" s="920">
        <f>'Confidence intervals'!AJ16</f>
        <v>0.19</v>
      </c>
      <c r="AK35" s="916">
        <f>'Confidence intervals'!AK16</f>
        <v>0.3223840552</v>
      </c>
      <c r="AL35" s="921">
        <f>'Confidence intervals'!AL16</f>
        <v>0.45</v>
      </c>
      <c r="AM35" s="920">
        <f>'Confidence intervals'!AM16</f>
        <v>0.23</v>
      </c>
      <c r="AN35" s="916">
        <f>'Confidence intervals'!AN16</f>
        <v>0.3672724892</v>
      </c>
      <c r="AO35" s="921">
        <f>'Confidence intervals'!AO16</f>
        <v>0.51</v>
      </c>
      <c r="AP35" s="920">
        <f>'Confidence intervals'!AP16</f>
        <v>0.23</v>
      </c>
      <c r="AQ35" s="916">
        <f>'Confidence intervals'!AQ16</f>
        <v>0.3692348349</v>
      </c>
      <c r="AR35" s="921">
        <f>'Confidence intervals'!AR16</f>
        <v>0.51</v>
      </c>
      <c r="AS35" s="920">
        <f>'Confidence intervals'!AS16</f>
        <v>0.37</v>
      </c>
      <c r="AT35" s="916">
        <f>'Confidence intervals'!AT16</f>
        <v>0.5577321908</v>
      </c>
      <c r="AU35" s="921">
        <f>'Confidence intervals'!AU16</f>
        <v>0.75</v>
      </c>
      <c r="AV35" s="920">
        <f>'Confidence intervals'!AV16</f>
        <v>0.23</v>
      </c>
      <c r="AW35" s="916">
        <f>'Confidence intervals'!AW16</f>
        <v>0.3726536057</v>
      </c>
      <c r="AX35" s="921">
        <f>'Confidence intervals'!AX16</f>
        <v>0.51</v>
      </c>
      <c r="AY35" s="920">
        <f>'Confidence intervals'!AY16</f>
        <v>0.13</v>
      </c>
      <c r="AZ35" s="916">
        <f>'Confidence intervals'!AZ16</f>
        <v>0.2434428711</v>
      </c>
      <c r="BA35" s="921">
        <f>'Confidence intervals'!BA16</f>
        <v>0.35</v>
      </c>
      <c r="BB35" s="920">
        <f>'Confidence intervals'!BB16</f>
        <v>0.35</v>
      </c>
      <c r="BC35" s="916">
        <f>'Confidence intervals'!BC16</f>
        <v>0.541345499</v>
      </c>
      <c r="BD35" s="921">
        <f>'Confidence intervals'!BD16</f>
        <v>0.73</v>
      </c>
      <c r="BE35" s="920" t="str">
        <f>'Confidence intervals'!BE16</f>
        <v>-</v>
      </c>
      <c r="BF35" s="916" t="str">
        <f>'Confidence intervals'!BF16</f>
        <v>-</v>
      </c>
      <c r="BG35" s="921" t="str">
        <f>'Confidence intervals'!BG16</f>
        <v>-</v>
      </c>
      <c r="BH35" s="885"/>
    </row>
    <row r="36">
      <c r="A36" s="219"/>
      <c r="B36" s="220"/>
      <c r="C36" s="400"/>
      <c r="D36" s="220"/>
      <c r="E36" s="730" t="str">
        <f>'Confidence intervals'!E19</f>
        <v>Adjustment for additional program benefits and downsides</v>
      </c>
      <c r="F36" s="920">
        <f>'Confidence intervals'!F19</f>
        <v>0.05</v>
      </c>
      <c r="G36" s="916">
        <f>'Confidence intervals'!G19</f>
        <v>0.191</v>
      </c>
      <c r="H36" s="921">
        <f>'Confidence intervals'!H19</f>
        <v>0.34</v>
      </c>
      <c r="I36" s="920">
        <f>'Confidence intervals'!I19</f>
        <v>0.12</v>
      </c>
      <c r="J36" s="916">
        <f>'Confidence intervals'!J19</f>
        <v>0.241</v>
      </c>
      <c r="K36" s="921">
        <f>'Confidence intervals'!K19</f>
        <v>0.38</v>
      </c>
      <c r="L36" s="920" t="str">
        <f>'Confidence intervals'!L19</f>
        <v>-</v>
      </c>
      <c r="M36" s="916" t="str">
        <f>'Confidence intervals'!M19</f>
        <v>-</v>
      </c>
      <c r="N36" s="921" t="str">
        <f>'Confidence intervals'!N19</f>
        <v>-</v>
      </c>
      <c r="O36" s="920" t="str">
        <f>'Confidence intervals'!O19</f>
        <v>-</v>
      </c>
      <c r="P36" s="916" t="str">
        <f>'Confidence intervals'!P19</f>
        <v>-</v>
      </c>
      <c r="Q36" s="921" t="str">
        <f>'Confidence intervals'!Q19</f>
        <v>-</v>
      </c>
      <c r="R36" s="920" t="str">
        <f>'Confidence intervals'!R19</f>
        <v>-</v>
      </c>
      <c r="S36" s="916" t="str">
        <f>'Confidence intervals'!S19</f>
        <v>-</v>
      </c>
      <c r="T36" s="921" t="str">
        <f>'Confidence intervals'!T19</f>
        <v>-</v>
      </c>
      <c r="U36" s="920" t="str">
        <f>'Confidence intervals'!U19</f>
        <v>-</v>
      </c>
      <c r="V36" s="916" t="str">
        <f>'Confidence intervals'!V19</f>
        <v>-</v>
      </c>
      <c r="W36" s="921" t="str">
        <f>'Confidence intervals'!W19</f>
        <v>-</v>
      </c>
      <c r="X36" s="920" t="str">
        <f>'Confidence intervals'!X19</f>
        <v>-</v>
      </c>
      <c r="Y36" s="916" t="str">
        <f>'Confidence intervals'!Y19</f>
        <v>-</v>
      </c>
      <c r="Z36" s="921" t="str">
        <f>'Confidence intervals'!Z19</f>
        <v>-</v>
      </c>
      <c r="AA36" s="920">
        <f>'Confidence intervals'!AA19</f>
        <v>0.22</v>
      </c>
      <c r="AB36" s="916">
        <f>'Confidence intervals'!AB19</f>
        <v>0.341</v>
      </c>
      <c r="AC36" s="921">
        <f>'Confidence intervals'!AC19</f>
        <v>0.46</v>
      </c>
      <c r="AD36" s="920">
        <f>'Confidence intervals'!AD19</f>
        <v>0.23</v>
      </c>
      <c r="AE36" s="916">
        <f>'Confidence intervals'!AE19</f>
        <v>0.341</v>
      </c>
      <c r="AF36" s="921">
        <f>'Confidence intervals'!AF19</f>
        <v>0.46</v>
      </c>
      <c r="AG36" s="920">
        <f>'Confidence intervals'!AG19</f>
        <v>0.22</v>
      </c>
      <c r="AH36" s="916">
        <f>'Confidence intervals'!AH19</f>
        <v>0.341</v>
      </c>
      <c r="AI36" s="921">
        <f>'Confidence intervals'!AI19</f>
        <v>0.46</v>
      </c>
      <c r="AJ36" s="920">
        <f>'Confidence intervals'!AJ19</f>
        <v>0.23</v>
      </c>
      <c r="AK36" s="916">
        <f>'Confidence intervals'!AK19</f>
        <v>0.341</v>
      </c>
      <c r="AL36" s="921">
        <f>'Confidence intervals'!AL19</f>
        <v>0.47</v>
      </c>
      <c r="AM36" s="920">
        <f>'Confidence intervals'!AM19</f>
        <v>0.22</v>
      </c>
      <c r="AN36" s="916">
        <f>'Confidence intervals'!AN19</f>
        <v>0.341</v>
      </c>
      <c r="AO36" s="921">
        <f>'Confidence intervals'!AO19</f>
        <v>0.45</v>
      </c>
      <c r="AP36" s="920">
        <f>'Confidence intervals'!AP19</f>
        <v>0.23</v>
      </c>
      <c r="AQ36" s="916">
        <f>'Confidence intervals'!AQ19</f>
        <v>0.341</v>
      </c>
      <c r="AR36" s="921">
        <f>'Confidence intervals'!AR19</f>
        <v>0.45</v>
      </c>
      <c r="AS36" s="920">
        <f>'Confidence intervals'!AS19</f>
        <v>0.23</v>
      </c>
      <c r="AT36" s="916">
        <f>'Confidence intervals'!AT19</f>
        <v>0.341</v>
      </c>
      <c r="AU36" s="921">
        <f>'Confidence intervals'!AU19</f>
        <v>0.46</v>
      </c>
      <c r="AV36" s="920">
        <f>'Confidence intervals'!AV19</f>
        <v>0.22</v>
      </c>
      <c r="AW36" s="916">
        <f>'Confidence intervals'!AW19</f>
        <v>0.341</v>
      </c>
      <c r="AX36" s="921">
        <f>'Confidence intervals'!AX19</f>
        <v>0.45</v>
      </c>
      <c r="AY36" s="920">
        <f>'Confidence intervals'!AY19</f>
        <v>0.22</v>
      </c>
      <c r="AZ36" s="916">
        <f>'Confidence intervals'!AZ19</f>
        <v>0.341</v>
      </c>
      <c r="BA36" s="921">
        <f>'Confidence intervals'!BA19</f>
        <v>0.46</v>
      </c>
      <c r="BB36" s="920">
        <f>'Confidence intervals'!BB19</f>
        <v>0.17</v>
      </c>
      <c r="BC36" s="916">
        <f>'Confidence intervals'!BC19</f>
        <v>0.291</v>
      </c>
      <c r="BD36" s="921">
        <f>'Confidence intervals'!BD19</f>
        <v>0.42</v>
      </c>
      <c r="BE36" s="920" t="str">
        <f>'Confidence intervals'!BE19</f>
        <v>-</v>
      </c>
      <c r="BF36" s="916" t="str">
        <f>'Confidence intervals'!BF19</f>
        <v>-</v>
      </c>
      <c r="BG36" s="921" t="str">
        <f>'Confidence intervals'!BG19</f>
        <v>-</v>
      </c>
      <c r="BH36" s="915"/>
    </row>
    <row r="37">
      <c r="A37" s="219"/>
      <c r="B37" s="220"/>
      <c r="C37" s="400"/>
      <c r="D37" s="220"/>
      <c r="E37" s="730" t="str">
        <f>'Confidence intervals'!E20</f>
        <v>Adjustment for grantee-level factors</v>
      </c>
      <c r="F37" s="920">
        <f>'Confidence intervals'!F20</f>
        <v>-0.17</v>
      </c>
      <c r="G37" s="922">
        <v>-0.08</v>
      </c>
      <c r="H37" s="921">
        <f>'Confidence intervals'!H20</f>
        <v>-0.04</v>
      </c>
      <c r="I37" s="920">
        <f>'Confidence intervals'!I20</f>
        <v>-0.17</v>
      </c>
      <c r="J37" s="922">
        <v>-0.08</v>
      </c>
      <c r="K37" s="921">
        <f>'Confidence intervals'!K20</f>
        <v>-0.04</v>
      </c>
      <c r="L37" s="920" t="str">
        <f>'Confidence intervals'!L20</f>
        <v>-</v>
      </c>
      <c r="M37" s="916" t="str">
        <f>'Confidence intervals'!M20</f>
        <v>-</v>
      </c>
      <c r="N37" s="921" t="str">
        <f>'Confidence intervals'!N20</f>
        <v>-</v>
      </c>
      <c r="O37" s="920" t="str">
        <f>'Confidence intervals'!O20</f>
        <v>-</v>
      </c>
      <c r="P37" s="916" t="str">
        <f>'Confidence intervals'!P20</f>
        <v>-</v>
      </c>
      <c r="Q37" s="921" t="str">
        <f>'Confidence intervals'!Q20</f>
        <v>-</v>
      </c>
      <c r="R37" s="920" t="str">
        <f>'Confidence intervals'!R20</f>
        <v>-</v>
      </c>
      <c r="S37" s="916" t="str">
        <f>'Confidence intervals'!S20</f>
        <v>-</v>
      </c>
      <c r="T37" s="921" t="str">
        <f>'Confidence intervals'!T20</f>
        <v>-</v>
      </c>
      <c r="U37" s="920" t="str">
        <f>'Confidence intervals'!U20</f>
        <v>-</v>
      </c>
      <c r="V37" s="916" t="str">
        <f>'Confidence intervals'!V20</f>
        <v>-</v>
      </c>
      <c r="W37" s="921" t="str">
        <f>'Confidence intervals'!W20</f>
        <v>-</v>
      </c>
      <c r="X37" s="920" t="str">
        <f>'Confidence intervals'!X20</f>
        <v>-</v>
      </c>
      <c r="Y37" s="916" t="str">
        <f>'Confidence intervals'!Y20</f>
        <v>-</v>
      </c>
      <c r="Z37" s="921" t="str">
        <f>'Confidence intervals'!Z20</f>
        <v>-</v>
      </c>
      <c r="AA37" s="920">
        <f>'Confidence intervals'!AA20</f>
        <v>-0.17</v>
      </c>
      <c r="AB37" s="922">
        <v>-0.08</v>
      </c>
      <c r="AC37" s="921">
        <f>'Confidence intervals'!AC20</f>
        <v>-0.04</v>
      </c>
      <c r="AD37" s="920">
        <f>'Confidence intervals'!AD20</f>
        <v>-0.17</v>
      </c>
      <c r="AE37" s="922">
        <v>-0.08</v>
      </c>
      <c r="AF37" s="921">
        <f>'Confidence intervals'!AF20</f>
        <v>-0.04</v>
      </c>
      <c r="AG37" s="920">
        <f>'Confidence intervals'!AG20</f>
        <v>-0.17</v>
      </c>
      <c r="AH37" s="922">
        <v>-0.08</v>
      </c>
      <c r="AI37" s="921">
        <f>'Confidence intervals'!AI20</f>
        <v>-0.04</v>
      </c>
      <c r="AJ37" s="920">
        <f>'Confidence intervals'!AJ20</f>
        <v>-0.17</v>
      </c>
      <c r="AK37" s="922">
        <v>-0.08</v>
      </c>
      <c r="AL37" s="921">
        <f>'Confidence intervals'!AL20</f>
        <v>-0.04</v>
      </c>
      <c r="AM37" s="920">
        <f>'Confidence intervals'!AM20</f>
        <v>-0.17</v>
      </c>
      <c r="AN37" s="922">
        <v>-0.08</v>
      </c>
      <c r="AO37" s="921">
        <f>'Confidence intervals'!AO20</f>
        <v>-0.04</v>
      </c>
      <c r="AP37" s="920">
        <f>'Confidence intervals'!AP20</f>
        <v>-0.17</v>
      </c>
      <c r="AQ37" s="922">
        <v>-0.08</v>
      </c>
      <c r="AR37" s="921">
        <f>'Confidence intervals'!AR20</f>
        <v>-0.04</v>
      </c>
      <c r="AS37" s="920">
        <f>'Confidence intervals'!AS20</f>
        <v>-0.17</v>
      </c>
      <c r="AT37" s="922">
        <v>-0.08</v>
      </c>
      <c r="AU37" s="921">
        <f>'Confidence intervals'!AU20</f>
        <v>-0.04</v>
      </c>
      <c r="AV37" s="920">
        <f>'Confidence intervals'!AV20</f>
        <v>-0.17</v>
      </c>
      <c r="AW37" s="922">
        <v>-0.08</v>
      </c>
      <c r="AX37" s="921">
        <f>'Confidence intervals'!AX20</f>
        <v>-0.04</v>
      </c>
      <c r="AY37" s="920">
        <f>'Confidence intervals'!AY20</f>
        <v>-0.17</v>
      </c>
      <c r="AZ37" s="922">
        <v>-0.08</v>
      </c>
      <c r="BA37" s="921">
        <f>'Confidence intervals'!BA20</f>
        <v>-0.04</v>
      </c>
      <c r="BB37" s="920">
        <f>'Confidence intervals'!BB20</f>
        <v>-0.17</v>
      </c>
      <c r="BC37" s="922">
        <v>-0.08</v>
      </c>
      <c r="BD37" s="921">
        <f>'Confidence intervals'!BD20</f>
        <v>-0.04</v>
      </c>
      <c r="BE37" s="920" t="str">
        <f>'Confidence intervals'!BE20</f>
        <v>-</v>
      </c>
      <c r="BF37" s="916" t="str">
        <f>'Confidence intervals'!BF20</f>
        <v>-</v>
      </c>
      <c r="BG37" s="921" t="str">
        <f>'Confidence intervals'!BG20</f>
        <v>-</v>
      </c>
      <c r="BH37" s="615"/>
    </row>
    <row r="38">
      <c r="A38" s="219"/>
      <c r="B38" s="220"/>
      <c r="C38" s="400"/>
      <c r="D38" s="220"/>
      <c r="E38" s="730" t="str">
        <f>'Simple CEA'!E36</f>
        <v>Adjustment for leverage</v>
      </c>
      <c r="F38" s="917" t="s">
        <v>124</v>
      </c>
      <c r="G38" s="916">
        <f t="array" ref="G38">INDEX('Simple CEA'!$A:$Z, 
    MATCH("Adjustment for leverage", 'Simple CEA'!$E:$E, 0), 
    MATCH(1, ('Simple CEA'!$A$2:$Z$2 = F2) * ('Simple CEA'!$A$3:$Z$3 = F3), 0))</f>
        <v>-0.002836339751</v>
      </c>
      <c r="H38" s="921" t="s">
        <v>124</v>
      </c>
      <c r="I38" s="917" t="s">
        <v>124</v>
      </c>
      <c r="J38" s="916">
        <f t="array" ref="J38">INDEX('Simple CEA'!$A:$Z, 
    MATCH("Adjustment for leverage", 'Simple CEA'!$E:$E, 0), 
    MATCH(1, ('Simple CEA'!$A$2:$Z$2 = I2) * ('Simple CEA'!$A$3:$Z$3 = I3), 0))</f>
        <v>-0.008995253969</v>
      </c>
      <c r="K38" s="921" t="s">
        <v>124</v>
      </c>
      <c r="L38" s="920" t="str">
        <f>'Confidence intervals'!L21</f>
        <v>-</v>
      </c>
      <c r="M38" s="923" t="s">
        <v>124</v>
      </c>
      <c r="N38" s="921" t="s">
        <v>124</v>
      </c>
      <c r="O38" s="920" t="str">
        <f>'Confidence intervals'!O21</f>
        <v>-</v>
      </c>
      <c r="P38" s="923" t="s">
        <v>124</v>
      </c>
      <c r="Q38" s="921" t="s">
        <v>124</v>
      </c>
      <c r="R38" s="920" t="str">
        <f>'Confidence intervals'!R21</f>
        <v>-</v>
      </c>
      <c r="S38" s="923" t="s">
        <v>124</v>
      </c>
      <c r="T38" s="921" t="s">
        <v>124</v>
      </c>
      <c r="U38" s="920" t="str">
        <f>'Confidence intervals'!U21</f>
        <v>-</v>
      </c>
      <c r="V38" s="923" t="s">
        <v>124</v>
      </c>
      <c r="W38" s="921" t="s">
        <v>124</v>
      </c>
      <c r="X38" s="920" t="str">
        <f>'Confidence intervals'!X21</f>
        <v>-</v>
      </c>
      <c r="Y38" s="923" t="s">
        <v>124</v>
      </c>
      <c r="Z38" s="921" t="s">
        <v>124</v>
      </c>
      <c r="AA38" s="917" t="s">
        <v>124</v>
      </c>
      <c r="AB38" s="916">
        <f t="array" ref="AB38">INDEX('Simple CEA'!$A:$Z, 
    MATCH("Adjustment for leverage", 'Simple CEA'!$E:$E, 0), 
    MATCH(1, ('Simple CEA'!$A$2:$Z$2 = AA2) * ('Simple CEA'!$A$3:$Z$3 = AA3), 0))</f>
        <v>-0.005587138932</v>
      </c>
      <c r="AC38" s="921" t="s">
        <v>124</v>
      </c>
      <c r="AD38" s="917" t="s">
        <v>124</v>
      </c>
      <c r="AE38" s="916">
        <f t="array" ref="AE38">INDEX('Simple CEA'!$A:$Z, 
    MATCH("Adjustment for leverage", 'Simple CEA'!$E:$E, 0), 
    MATCH(1, ('Simple CEA'!$A$2:$Z$2 = AD2) * ('Simple CEA'!$A$3:$Z$3 = AD3), 0))</f>
        <v>-0.008158529823</v>
      </c>
      <c r="AF38" s="921" t="s">
        <v>124</v>
      </c>
      <c r="AG38" s="917" t="s">
        <v>124</v>
      </c>
      <c r="AH38" s="916">
        <f t="array" ref="AH38">INDEX('Simple CEA'!$A:$Z, 
    MATCH("Adjustment for leverage", 'Simple CEA'!$E:$E, 0), 
    MATCH(1, ('Simple CEA'!$A$2:$Z$2 = AG2) * ('Simple CEA'!$A$3:$Z$3 = AG3), 0))</f>
        <v>-0.009155407931</v>
      </c>
      <c r="AI38" s="921" t="s">
        <v>124</v>
      </c>
      <c r="AJ38" s="917" t="s">
        <v>124</v>
      </c>
      <c r="AK38" s="916">
        <f t="array" ref="AK38">INDEX('Simple CEA'!$A:$Z, 
    MATCH("Adjustment for leverage", 'Simple CEA'!$E:$E, 0), 
    MATCH(1, ('Simple CEA'!$A$2:$Z$2 = AJ2) * ('Simple CEA'!$A$3:$Z$3 = AJ3), 0))</f>
        <v>-0.003988673437</v>
      </c>
      <c r="AL38" s="921" t="s">
        <v>124</v>
      </c>
      <c r="AM38" s="917" t="s">
        <v>124</v>
      </c>
      <c r="AN38" s="916">
        <f t="array" ref="AN38">INDEX('Simple CEA'!$A:$Z, 
    MATCH("Adjustment for leverage", 'Simple CEA'!$E:$E, 0), 
    MATCH(1, ('Simple CEA'!$A$2:$Z$2 = AM2) * ('Simple CEA'!$A$3:$Z$3 = AM3), 0))</f>
        <v>-0.006970331038</v>
      </c>
      <c r="AO38" s="921" t="s">
        <v>124</v>
      </c>
      <c r="AP38" s="917" t="s">
        <v>124</v>
      </c>
      <c r="AQ38" s="916">
        <f t="array" ref="AQ38">INDEX('Simple CEA'!$A:$Z, 
    MATCH("Adjustment for leverage", 'Simple CEA'!$E:$E, 0), 
    MATCH(1, ('Simple CEA'!$A$2:$Z$2 = AP2) * ('Simple CEA'!$A$3:$Z$3 = AP3), 0))</f>
        <v>-0.005302869423</v>
      </c>
      <c r="AR38" s="921" t="s">
        <v>124</v>
      </c>
      <c r="AS38" s="917" t="s">
        <v>124</v>
      </c>
      <c r="AT38" s="916">
        <f t="array" ref="AT38">INDEX('Simple CEA'!$A:$Z, 
    MATCH("Adjustment for leverage", 'Simple CEA'!$E:$E, 0), 
    MATCH(1, ('Simple CEA'!$A$2:$Z$2 = AS2) * ('Simple CEA'!$A$3:$Z$3 = AS3), 0))</f>
        <v>-0.004852275773</v>
      </c>
      <c r="AU38" s="921" t="s">
        <v>124</v>
      </c>
      <c r="AV38" s="917" t="s">
        <v>124</v>
      </c>
      <c r="AW38" s="916">
        <f t="array" ref="AW38">INDEX('Simple CEA'!$A:$Z, 
    MATCH("Adjustment for leverage", 'Simple CEA'!$E:$E, 0), 
    MATCH(1, ('Simple CEA'!$A$2:$Z$2 = AV2) * ('Simple CEA'!$A$3:$Z$3 = AV3), 0))</f>
        <v>-0.007486122481</v>
      </c>
      <c r="AX38" s="921" t="s">
        <v>124</v>
      </c>
      <c r="AY38" s="917" t="s">
        <v>124</v>
      </c>
      <c r="AZ38" s="916">
        <f t="array" ref="AZ38">INDEX('Simple CEA'!$A:$Z, 
    MATCH("Adjustment for leverage", 'Simple CEA'!$E:$E, 0), 
    MATCH(1, ('Simple CEA'!$A$2:$Z$2 = AY2) * ('Simple CEA'!$A$3:$Z$3 = AY3), 0))</f>
        <v>-0.003933090646</v>
      </c>
      <c r="BA38" s="921" t="s">
        <v>124</v>
      </c>
      <c r="BB38" s="917" t="s">
        <v>124</v>
      </c>
      <c r="BC38" s="916">
        <f t="array" ref="BC38">INDEX('Simple CEA'!$A:$Z, 
    MATCH("Adjustment for leverage", 'Simple CEA'!$E:$E, 0), 
    MATCH(1, ('Simple CEA'!$A$2:$Z$2 = BB2) * ('Simple CEA'!$A$3:$Z$3 = BB3), 0))</f>
        <v>-0.002834737873</v>
      </c>
      <c r="BD38" s="921" t="s">
        <v>124</v>
      </c>
      <c r="BE38" s="920" t="str">
        <f>'Confidence intervals'!BE21</f>
        <v>-</v>
      </c>
      <c r="BF38" s="923" t="s">
        <v>124</v>
      </c>
      <c r="BG38" s="921" t="s">
        <v>124</v>
      </c>
      <c r="BH38" s="615"/>
    </row>
    <row r="39">
      <c r="A39" s="219"/>
      <c r="B39" s="220"/>
      <c r="C39" s="400"/>
      <c r="D39" s="400"/>
      <c r="E39" s="627" t="str">
        <f>'Confidence intervals'!E21</f>
        <v>Adjustment for funging</v>
      </c>
      <c r="F39" s="920">
        <f>'Confidence intervals'!F21</f>
        <v>-0.64</v>
      </c>
      <c r="G39" s="916">
        <f>'Confidence intervals'!G21</f>
        <v>-0.426621249</v>
      </c>
      <c r="H39" s="921">
        <f>'Confidence intervals'!H21</f>
        <v>-0.23</v>
      </c>
      <c r="I39" s="920">
        <f>'Confidence intervals'!I21</f>
        <v>-0.43</v>
      </c>
      <c r="J39" s="916">
        <f>'Confidence intervals'!J21</f>
        <v>-0.2598473716</v>
      </c>
      <c r="K39" s="921">
        <f>'Confidence intervals'!K21</f>
        <v>-0.13</v>
      </c>
      <c r="L39" s="920" t="str">
        <f>'Confidence intervals'!L21</f>
        <v>-</v>
      </c>
      <c r="M39" s="916" t="str">
        <f>'Confidence intervals'!M21</f>
        <v>-</v>
      </c>
      <c r="N39" s="921" t="str">
        <f>'Confidence intervals'!N21</f>
        <v>-</v>
      </c>
      <c r="O39" s="920" t="str">
        <f>'Confidence intervals'!O21</f>
        <v>-</v>
      </c>
      <c r="P39" s="916" t="str">
        <f>'Confidence intervals'!P21</f>
        <v>-</v>
      </c>
      <c r="Q39" s="921" t="str">
        <f>'Confidence intervals'!Q21</f>
        <v>-</v>
      </c>
      <c r="R39" s="920" t="str">
        <f>'Confidence intervals'!R21</f>
        <v>-</v>
      </c>
      <c r="S39" s="916" t="str">
        <f>'Confidence intervals'!S21</f>
        <v>-</v>
      </c>
      <c r="T39" s="921" t="str">
        <f>'Confidence intervals'!T21</f>
        <v>-</v>
      </c>
      <c r="U39" s="920" t="str">
        <f>'Confidence intervals'!U21</f>
        <v>-</v>
      </c>
      <c r="V39" s="916" t="str">
        <f>'Confidence intervals'!V21</f>
        <v>-</v>
      </c>
      <c r="W39" s="921" t="str">
        <f>'Confidence intervals'!W21</f>
        <v>-</v>
      </c>
      <c r="X39" s="920" t="str">
        <f>'Confidence intervals'!X21</f>
        <v>-</v>
      </c>
      <c r="Y39" s="916" t="str">
        <f>'Confidence intervals'!Y21</f>
        <v>-</v>
      </c>
      <c r="Z39" s="921" t="str">
        <f>'Confidence intervals'!Z21</f>
        <v>-</v>
      </c>
      <c r="AA39" s="920">
        <f>'Confidence intervals'!AA21</f>
        <v>-0.33</v>
      </c>
      <c r="AB39" s="916">
        <f>'Confidence intervals'!AB21</f>
        <v>-0.1637379572</v>
      </c>
      <c r="AC39" s="921">
        <f>'Confidence intervals'!AC21</f>
        <v>-0.09</v>
      </c>
      <c r="AD39" s="920">
        <f>'Confidence intervals'!AD21</f>
        <v>-0.21</v>
      </c>
      <c r="AE39" s="916">
        <f>'Confidence intervals'!AE21</f>
        <v>-0.07646619323</v>
      </c>
      <c r="AF39" s="921">
        <f>'Confidence intervals'!AF21</f>
        <v>-0.05</v>
      </c>
      <c r="AG39" s="920">
        <f>'Confidence intervals'!AG21</f>
        <v>-0.14</v>
      </c>
      <c r="AH39" s="916">
        <f>'Confidence intervals'!AH21</f>
        <v>-0.07359063388</v>
      </c>
      <c r="AI39" s="921">
        <f>'Confidence intervals'!AI21</f>
        <v>-0.03</v>
      </c>
      <c r="AJ39" s="920">
        <f>'Confidence intervals'!AJ21</f>
        <v>-0.36</v>
      </c>
      <c r="AK39" s="916">
        <f>'Confidence intervals'!AK21</f>
        <v>-0.1741124306</v>
      </c>
      <c r="AL39" s="921">
        <f>'Confidence intervals'!AL21</f>
        <v>-0.1</v>
      </c>
      <c r="AM39" s="920">
        <f>'Confidence intervals'!AM21</f>
        <v>-0.21</v>
      </c>
      <c r="AN39" s="916">
        <f>'Confidence intervals'!AN21</f>
        <v>-0.07989362945</v>
      </c>
      <c r="AO39" s="921">
        <f>'Confidence intervals'!AO21</f>
        <v>-0.05</v>
      </c>
      <c r="AP39" s="920">
        <f>'Confidence intervals'!AP21</f>
        <v>-0.35</v>
      </c>
      <c r="AQ39" s="916">
        <f>'Confidence intervals'!AQ21</f>
        <v>-0.1655829432</v>
      </c>
      <c r="AR39" s="921">
        <f>'Confidence intervals'!AR21</f>
        <v>-0.1</v>
      </c>
      <c r="AS39" s="920">
        <f>'Confidence intervals'!AS21</f>
        <v>-0.27</v>
      </c>
      <c r="AT39" s="916">
        <f>'Confidence intervals'!AT21</f>
        <v>-0.1685074178</v>
      </c>
      <c r="AU39" s="921">
        <f>'Confidence intervals'!AU21</f>
        <v>-0.07</v>
      </c>
      <c r="AV39" s="920">
        <f>'Confidence intervals'!AV21</f>
        <v>-0.32</v>
      </c>
      <c r="AW39" s="916">
        <f>'Confidence intervals'!AW21</f>
        <v>-0.1514130403</v>
      </c>
      <c r="AX39" s="921">
        <f>'Confidence intervals'!AX21</f>
        <v>-0.09</v>
      </c>
      <c r="AY39" s="920">
        <f>'Confidence intervals'!AY21</f>
        <v>-0.35</v>
      </c>
      <c r="AZ39" s="916">
        <f>'Confidence intervals'!AZ21</f>
        <v>-0.1744731779</v>
      </c>
      <c r="BA39" s="921">
        <f>'Confidence intervals'!BA21</f>
        <v>-0.1</v>
      </c>
      <c r="BB39" s="920">
        <f>'Confidence intervals'!BB21</f>
        <v>-0.78</v>
      </c>
      <c r="BC39" s="916">
        <f>'Confidence intervals'!BC21</f>
        <v>-0.5115769106</v>
      </c>
      <c r="BD39" s="921">
        <f>'Confidence intervals'!BD21</f>
        <v>-0.29</v>
      </c>
      <c r="BE39" s="920" t="str">
        <f>'Confidence intervals'!BE21</f>
        <v>-</v>
      </c>
      <c r="BF39" s="916" t="str">
        <f>'Confidence intervals'!BF21</f>
        <v>-</v>
      </c>
      <c r="BG39" s="921" t="str">
        <f>'Confidence intervals'!BG21</f>
        <v>-</v>
      </c>
      <c r="BH39" s="885"/>
    </row>
    <row r="40">
      <c r="A40" s="219"/>
      <c r="B40" s="220"/>
      <c r="C40" s="400"/>
      <c r="D40" s="220"/>
      <c r="E40" s="627" t="str">
        <f>'Simple CEA'!E21</f>
        <v>Moral value of averting the death of a person under age five</v>
      </c>
      <c r="F40" s="917" t="s">
        <v>124</v>
      </c>
      <c r="G40" s="924">
        <f>IFERROR(__xludf.DUMMYFUNCTION("FILTER('Simple CEA'!$H:$H,'Simple CEA'!$E:$E=$E$40)"),116.25262)</f>
        <v>116.25262</v>
      </c>
      <c r="H40" s="909" t="s">
        <v>124</v>
      </c>
      <c r="I40" s="917" t="s">
        <v>124</v>
      </c>
      <c r="J40" s="924">
        <f>IFERROR(__xludf.DUMMYFUNCTION("FILTER('Simple CEA'!$H:$H,'Simple CEA'!$E:$E=$E$40)"),116.25262)</f>
        <v>116.25262</v>
      </c>
      <c r="K40" s="909" t="s">
        <v>124</v>
      </c>
      <c r="L40" s="917" t="s">
        <v>124</v>
      </c>
      <c r="M40" s="923" t="s">
        <v>124</v>
      </c>
      <c r="N40" s="909" t="s">
        <v>124</v>
      </c>
      <c r="O40" s="917" t="s">
        <v>124</v>
      </c>
      <c r="P40" s="923" t="s">
        <v>124</v>
      </c>
      <c r="Q40" s="909" t="s">
        <v>124</v>
      </c>
      <c r="R40" s="917" t="s">
        <v>124</v>
      </c>
      <c r="S40" s="923" t="s">
        <v>124</v>
      </c>
      <c r="T40" s="909" t="s">
        <v>124</v>
      </c>
      <c r="U40" s="917" t="s">
        <v>124</v>
      </c>
      <c r="V40" s="923" t="s">
        <v>124</v>
      </c>
      <c r="W40" s="909" t="s">
        <v>124</v>
      </c>
      <c r="X40" s="917" t="s">
        <v>124</v>
      </c>
      <c r="Y40" s="923" t="s">
        <v>124</v>
      </c>
      <c r="Z40" s="909" t="s">
        <v>124</v>
      </c>
      <c r="AA40" s="917" t="s">
        <v>124</v>
      </c>
      <c r="AB40" s="924">
        <f>IFERROR(__xludf.DUMMYFUNCTION("FILTER('Simple CEA'!$H:$H,'Simple CEA'!$E:$E=$E$40)"),116.25262)</f>
        <v>116.25262</v>
      </c>
      <c r="AC40" s="909" t="s">
        <v>124</v>
      </c>
      <c r="AD40" s="917" t="s">
        <v>124</v>
      </c>
      <c r="AE40" s="924">
        <f>IFERROR(__xludf.DUMMYFUNCTION("FILTER('Simple CEA'!$H:$H,'Simple CEA'!$E:$E=$E$40)"),116.25262)</f>
        <v>116.25262</v>
      </c>
      <c r="AF40" s="909" t="s">
        <v>124</v>
      </c>
      <c r="AG40" s="917" t="s">
        <v>124</v>
      </c>
      <c r="AH40" s="924">
        <f>IFERROR(__xludf.DUMMYFUNCTION("FILTER('Simple CEA'!$H:$H,'Simple CEA'!$E:$E=$E$40)"),116.25262)</f>
        <v>116.25262</v>
      </c>
      <c r="AI40" s="909" t="s">
        <v>124</v>
      </c>
      <c r="AJ40" s="917" t="s">
        <v>124</v>
      </c>
      <c r="AK40" s="924">
        <f>IFERROR(__xludf.DUMMYFUNCTION("FILTER('Simple CEA'!$H:$H,'Simple CEA'!$E:$E=$E$40)"),116.25262)</f>
        <v>116.25262</v>
      </c>
      <c r="AL40" s="909" t="s">
        <v>124</v>
      </c>
      <c r="AM40" s="917" t="s">
        <v>124</v>
      </c>
      <c r="AN40" s="924">
        <f>IFERROR(__xludf.DUMMYFUNCTION("FILTER('Simple CEA'!$H:$H,'Simple CEA'!$E:$E=$E$40)"),116.25262)</f>
        <v>116.25262</v>
      </c>
      <c r="AO40" s="909" t="s">
        <v>124</v>
      </c>
      <c r="AP40" s="917" t="s">
        <v>124</v>
      </c>
      <c r="AQ40" s="924">
        <f>IFERROR(__xludf.DUMMYFUNCTION("FILTER('Simple CEA'!$H:$H,'Simple CEA'!$E:$E=$E$40)"),116.25262)</f>
        <v>116.25262</v>
      </c>
      <c r="AR40" s="909" t="s">
        <v>124</v>
      </c>
      <c r="AS40" s="917" t="s">
        <v>124</v>
      </c>
      <c r="AT40" s="924">
        <f>IFERROR(__xludf.DUMMYFUNCTION("FILTER('Simple CEA'!$H:$H,'Simple CEA'!$E:$E=$E$40)"),116.25262)</f>
        <v>116.25262</v>
      </c>
      <c r="AU40" s="909" t="s">
        <v>124</v>
      </c>
      <c r="AV40" s="917" t="s">
        <v>124</v>
      </c>
      <c r="AW40" s="924">
        <f>IFERROR(__xludf.DUMMYFUNCTION("FILTER('Simple CEA'!$H:$H,'Simple CEA'!$E:$E=$E$40)"),116.25262)</f>
        <v>116.25262</v>
      </c>
      <c r="AX40" s="909" t="s">
        <v>124</v>
      </c>
      <c r="AY40" s="917" t="s">
        <v>124</v>
      </c>
      <c r="AZ40" s="924">
        <f>IFERROR(__xludf.DUMMYFUNCTION("FILTER('Simple CEA'!$H:$H,'Simple CEA'!$E:$E=$E$40)"),116.25262)</f>
        <v>116.25262</v>
      </c>
      <c r="BA40" s="909" t="s">
        <v>124</v>
      </c>
      <c r="BB40" s="917" t="s">
        <v>124</v>
      </c>
      <c r="BC40" s="924">
        <f>IFERROR(__xludf.DUMMYFUNCTION("FILTER('Simple CEA'!$H:$H,'Simple CEA'!$E:$E=$E$40)"),116.25262)</f>
        <v>116.25262</v>
      </c>
      <c r="BD40" s="909" t="s">
        <v>124</v>
      </c>
      <c r="BE40" s="917" t="s">
        <v>124</v>
      </c>
      <c r="BF40" s="923" t="s">
        <v>124</v>
      </c>
      <c r="BG40" s="909" t="s">
        <v>124</v>
      </c>
      <c r="BH40" s="885"/>
    </row>
    <row r="41">
      <c r="A41" s="219"/>
      <c r="B41" s="220"/>
      <c r="C41" s="400"/>
      <c r="D41" s="220"/>
      <c r="E41" s="508" t="s">
        <v>438</v>
      </c>
      <c r="F41" s="907" t="s">
        <v>124</v>
      </c>
      <c r="G41" s="925">
        <f>'Main CEA'!$H$133</f>
        <v>0.00333</v>
      </c>
      <c r="H41" s="909" t="s">
        <v>124</v>
      </c>
      <c r="I41" s="907" t="s">
        <v>124</v>
      </c>
      <c r="J41" s="925">
        <f>'Main CEA'!$H$133</f>
        <v>0.00333</v>
      </c>
      <c r="K41" s="909" t="s">
        <v>124</v>
      </c>
      <c r="L41" s="907" t="s">
        <v>124</v>
      </c>
      <c r="M41" s="923" t="s">
        <v>124</v>
      </c>
      <c r="N41" s="909" t="s">
        <v>124</v>
      </c>
      <c r="O41" s="907" t="s">
        <v>124</v>
      </c>
      <c r="P41" s="923" t="s">
        <v>124</v>
      </c>
      <c r="Q41" s="909" t="s">
        <v>124</v>
      </c>
      <c r="R41" s="907" t="s">
        <v>124</v>
      </c>
      <c r="S41" s="923" t="s">
        <v>124</v>
      </c>
      <c r="T41" s="909" t="s">
        <v>124</v>
      </c>
      <c r="U41" s="907" t="s">
        <v>124</v>
      </c>
      <c r="V41" s="923" t="s">
        <v>124</v>
      </c>
      <c r="W41" s="909" t="s">
        <v>124</v>
      </c>
      <c r="X41" s="907" t="s">
        <v>124</v>
      </c>
      <c r="Y41" s="923" t="s">
        <v>124</v>
      </c>
      <c r="Z41" s="909" t="s">
        <v>124</v>
      </c>
      <c r="AA41" s="907" t="s">
        <v>124</v>
      </c>
      <c r="AB41" s="925">
        <f>'Main CEA'!$H$133</f>
        <v>0.00333</v>
      </c>
      <c r="AC41" s="909" t="s">
        <v>124</v>
      </c>
      <c r="AD41" s="907" t="s">
        <v>124</v>
      </c>
      <c r="AE41" s="925">
        <f>'Main CEA'!$H$133</f>
        <v>0.00333</v>
      </c>
      <c r="AF41" s="909" t="s">
        <v>124</v>
      </c>
      <c r="AG41" s="907" t="s">
        <v>124</v>
      </c>
      <c r="AH41" s="925">
        <f>'Main CEA'!$H$133</f>
        <v>0.00333</v>
      </c>
      <c r="AI41" s="909" t="s">
        <v>124</v>
      </c>
      <c r="AJ41" s="907" t="s">
        <v>124</v>
      </c>
      <c r="AK41" s="925">
        <f>'Main CEA'!$H$133</f>
        <v>0.00333</v>
      </c>
      <c r="AL41" s="909" t="s">
        <v>124</v>
      </c>
      <c r="AM41" s="907" t="s">
        <v>124</v>
      </c>
      <c r="AN41" s="925">
        <f>'Main CEA'!$H$133</f>
        <v>0.00333</v>
      </c>
      <c r="AO41" s="909" t="s">
        <v>124</v>
      </c>
      <c r="AP41" s="907" t="s">
        <v>124</v>
      </c>
      <c r="AQ41" s="925">
        <f>'Main CEA'!$H$133</f>
        <v>0.00333</v>
      </c>
      <c r="AR41" s="909" t="s">
        <v>124</v>
      </c>
      <c r="AS41" s="907" t="s">
        <v>124</v>
      </c>
      <c r="AT41" s="925">
        <f>'Main CEA'!$H$133</f>
        <v>0.00333</v>
      </c>
      <c r="AU41" s="909" t="s">
        <v>124</v>
      </c>
      <c r="AV41" s="907" t="s">
        <v>124</v>
      </c>
      <c r="AW41" s="925">
        <f>'Main CEA'!$H$133</f>
        <v>0.00333</v>
      </c>
      <c r="AX41" s="909" t="s">
        <v>124</v>
      </c>
      <c r="AY41" s="907" t="s">
        <v>124</v>
      </c>
      <c r="AZ41" s="925">
        <f>'Main CEA'!$H$133</f>
        <v>0.00333</v>
      </c>
      <c r="BA41" s="909" t="s">
        <v>124</v>
      </c>
      <c r="BB41" s="907" t="s">
        <v>124</v>
      </c>
      <c r="BC41" s="925">
        <f>'Main CEA'!$H$133</f>
        <v>0.00333</v>
      </c>
      <c r="BD41" s="909" t="s">
        <v>124</v>
      </c>
      <c r="BE41" s="907" t="s">
        <v>124</v>
      </c>
      <c r="BF41" s="923" t="s">
        <v>124</v>
      </c>
      <c r="BG41" s="909" t="s">
        <v>124</v>
      </c>
      <c r="BH41" s="885"/>
    </row>
    <row r="42">
      <c r="A42" s="219"/>
      <c r="B42" s="220"/>
      <c r="C42" s="400"/>
      <c r="D42" s="220"/>
      <c r="E42" s="400"/>
      <c r="F42" s="926"/>
      <c r="G42" s="827"/>
      <c r="H42" s="927"/>
      <c r="I42" s="926"/>
      <c r="J42" s="827"/>
      <c r="K42" s="927"/>
      <c r="L42" s="926"/>
      <c r="M42" s="826"/>
      <c r="N42" s="927"/>
      <c r="O42" s="926"/>
      <c r="P42" s="826"/>
      <c r="Q42" s="927"/>
      <c r="R42" s="926"/>
      <c r="S42" s="826"/>
      <c r="T42" s="927"/>
      <c r="U42" s="926"/>
      <c r="V42" s="826"/>
      <c r="W42" s="927"/>
      <c r="X42" s="926"/>
      <c r="Y42" s="827"/>
      <c r="Z42" s="927"/>
      <c r="AA42" s="926"/>
      <c r="AB42" s="827"/>
      <c r="AC42" s="927"/>
      <c r="AD42" s="926"/>
      <c r="AE42" s="827"/>
      <c r="AF42" s="927"/>
      <c r="AG42" s="926"/>
      <c r="AH42" s="827"/>
      <c r="AI42" s="927"/>
      <c r="AJ42" s="926"/>
      <c r="AK42" s="827"/>
      <c r="AL42" s="927"/>
      <c r="AM42" s="926"/>
      <c r="AN42" s="827"/>
      <c r="AO42" s="927"/>
      <c r="AP42" s="926"/>
      <c r="AQ42" s="827"/>
      <c r="AR42" s="927"/>
      <c r="AS42" s="926"/>
      <c r="AT42" s="827"/>
      <c r="AU42" s="927"/>
      <c r="AV42" s="926"/>
      <c r="AW42" s="827"/>
      <c r="AX42" s="927"/>
      <c r="AY42" s="926"/>
      <c r="AZ42" s="827"/>
      <c r="BA42" s="927"/>
      <c r="BB42" s="926"/>
      <c r="BC42" s="827"/>
      <c r="BD42" s="927"/>
      <c r="BE42" s="926"/>
      <c r="BF42" s="827"/>
      <c r="BG42" s="927"/>
      <c r="BH42" s="223"/>
    </row>
  </sheetData>
  <mergeCells count="61">
    <mergeCell ref="X3:Z3"/>
    <mergeCell ref="AA3:AC3"/>
    <mergeCell ref="X2:Z2"/>
    <mergeCell ref="AA2:AC2"/>
    <mergeCell ref="A3:E3"/>
    <mergeCell ref="F3:H3"/>
    <mergeCell ref="I3:K3"/>
    <mergeCell ref="L3:N3"/>
    <mergeCell ref="O3:Q3"/>
    <mergeCell ref="AS5:AU5"/>
    <mergeCell ref="AV5:AX5"/>
    <mergeCell ref="AY5:BA5"/>
    <mergeCell ref="BB5:BD5"/>
    <mergeCell ref="BE5:BG5"/>
    <mergeCell ref="X5:Z5"/>
    <mergeCell ref="AA5:AC5"/>
    <mergeCell ref="AD5:AF5"/>
    <mergeCell ref="AG5:AI5"/>
    <mergeCell ref="AJ5:AL5"/>
    <mergeCell ref="AM5:AO5"/>
    <mergeCell ref="AP5:AR5"/>
    <mergeCell ref="A6:E6"/>
    <mergeCell ref="A7:E7"/>
    <mergeCell ref="A24:E24"/>
    <mergeCell ref="A27:E27"/>
    <mergeCell ref="A5:E5"/>
    <mergeCell ref="F5:H5"/>
    <mergeCell ref="I5:K5"/>
    <mergeCell ref="L5:N5"/>
    <mergeCell ref="O5:Q5"/>
    <mergeCell ref="R5:T5"/>
    <mergeCell ref="U5:W5"/>
    <mergeCell ref="AD2:AF2"/>
    <mergeCell ref="AG2:AI2"/>
    <mergeCell ref="AD3:AF3"/>
    <mergeCell ref="AG3:AI3"/>
    <mergeCell ref="AJ2:AL2"/>
    <mergeCell ref="AM2:AO2"/>
    <mergeCell ref="AJ3:AL3"/>
    <mergeCell ref="AM3:AO3"/>
    <mergeCell ref="AP2:AR2"/>
    <mergeCell ref="AS2:AU2"/>
    <mergeCell ref="AP3:AR3"/>
    <mergeCell ref="AS3:AU3"/>
    <mergeCell ref="AV2:AX2"/>
    <mergeCell ref="AY2:BA2"/>
    <mergeCell ref="AV3:AX3"/>
    <mergeCell ref="AY3:BA3"/>
    <mergeCell ref="BB2:BD2"/>
    <mergeCell ref="BE2:BG2"/>
    <mergeCell ref="BB3:BD3"/>
    <mergeCell ref="BE3:BG3"/>
    <mergeCell ref="F1:BG1"/>
    <mergeCell ref="F2:H2"/>
    <mergeCell ref="I2:K2"/>
    <mergeCell ref="L2:N2"/>
    <mergeCell ref="O2:Q2"/>
    <mergeCell ref="R2:T2"/>
    <mergeCell ref="U2:W2"/>
    <mergeCell ref="R3:T3"/>
    <mergeCell ref="U3:W3"/>
  </mergeCells>
  <drawing r:id="rId2"/>
  <legacyDrawing r:id="rId3"/>
</worksheet>
</file>